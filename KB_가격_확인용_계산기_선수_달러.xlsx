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12690" tabRatio="500" activeTab="1"/>
  </bookViews>
  <sheets>
    <sheet name="Sheet1" sheetId="1" r:id="rId1"/>
    <sheet name="Sheet2" sheetId="2" r:id="rId2"/>
  </sheets>
  <definedNames>
    <definedName name="_xlnm.Print_Area" localSheetId="1">Sheet2!$A$1:$J$28</definedName>
  </definedNames>
  <calcPr calcId="1257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/>
  <c r="G12"/>
  <c r="F12"/>
  <c r="E12"/>
  <c r="D12"/>
  <c r="C12"/>
  <c r="A12"/>
  <c r="H23"/>
  <c r="A11" l="1"/>
  <c r="A10"/>
  <c r="A9"/>
  <c r="A8"/>
  <c r="A7"/>
  <c r="A6"/>
  <c r="C11"/>
  <c r="C10"/>
  <c r="C9"/>
  <c r="C8"/>
  <c r="C7"/>
  <c r="C6"/>
  <c r="C5"/>
  <c r="H22" l="1"/>
  <c r="G11"/>
  <c r="A23"/>
  <c r="F11"/>
  <c r="E11"/>
  <c r="E10"/>
  <c r="D11"/>
  <c r="A27"/>
  <c r="A26"/>
  <c r="A25"/>
  <c r="A24"/>
  <c r="H12" s="1"/>
  <c r="A22"/>
  <c r="H21"/>
  <c r="A21"/>
  <c r="H20"/>
  <c r="A20"/>
  <c r="H19"/>
  <c r="A19"/>
  <c r="D18"/>
  <c r="G18" s="1"/>
  <c r="H18"/>
  <c r="A18"/>
  <c r="N17"/>
  <c r="G17"/>
  <c r="A14"/>
  <c r="A13"/>
  <c r="G10"/>
  <c r="F10"/>
  <c r="D10"/>
  <c r="G9"/>
  <c r="F9"/>
  <c r="E9"/>
  <c r="D9"/>
  <c r="G8"/>
  <c r="F8"/>
  <c r="E8"/>
  <c r="D8"/>
  <c r="G7"/>
  <c r="F7"/>
  <c r="E7"/>
  <c r="D7"/>
  <c r="G6"/>
  <c r="F6"/>
  <c r="E6"/>
  <c r="D6"/>
  <c r="F5"/>
  <c r="D5"/>
  <c r="B5"/>
  <c r="A5"/>
  <c r="F17" s="1"/>
  <c r="E4"/>
  <c r="H10" l="1"/>
  <c r="H6"/>
  <c r="H11"/>
  <c r="H7"/>
  <c r="H9"/>
  <c r="F18"/>
  <c r="H17"/>
  <c r="I17" s="1"/>
  <c r="I6" s="1"/>
  <c r="H8"/>
  <c r="D19"/>
  <c r="I18"/>
  <c r="I7" s="1"/>
  <c r="G19" l="1"/>
  <c r="I19" s="1"/>
  <c r="I8" s="1"/>
  <c r="F19"/>
  <c r="D20"/>
  <c r="F20" s="1"/>
  <c r="G20" l="1"/>
  <c r="I20" s="1"/>
  <c r="I9" s="1"/>
  <c r="D21"/>
  <c r="F21" s="1"/>
  <c r="D22" l="1"/>
  <c r="G21"/>
  <c r="I21" s="1"/>
  <c r="I10" s="1"/>
  <c r="D23" l="1"/>
  <c r="F22"/>
  <c r="G22"/>
  <c r="I22" s="1"/>
  <c r="I11" s="1"/>
  <c r="D24" l="1"/>
  <c r="D25" s="1"/>
  <c r="D26" s="1"/>
  <c r="F23"/>
  <c r="G23"/>
  <c r="I23" s="1"/>
  <c r="I12" s="1"/>
</calcChain>
</file>

<file path=xl/sharedStrings.xml><?xml version="1.0" encoding="utf-8"?>
<sst xmlns="http://schemas.openxmlformats.org/spreadsheetml/2006/main" count="21" uniqueCount="19">
  <si>
    <r>
      <rPr>
        <sz val="11"/>
        <color rgb="FFFF0000"/>
        <rFont val="Noto Sans CJK SC"/>
        <family val="2"/>
      </rPr>
      <t>결제일만 수기입력</t>
    </r>
    <r>
      <rPr>
        <sz val="11"/>
        <color rgb="FFFF0000"/>
        <rFont val="맑은 고딕"/>
        <family val="3"/>
        <charset val="129"/>
      </rPr>
      <t xml:space="preserve">/ </t>
    </r>
    <r>
      <rPr>
        <sz val="11"/>
        <color rgb="FFFF0000"/>
        <rFont val="Noto Sans CJK SC"/>
        <family val="2"/>
      </rPr>
      <t>회신</t>
    </r>
    <r>
      <rPr>
        <sz val="11"/>
        <color rgb="FFFF0000"/>
        <rFont val="맑은 고딕"/>
        <family val="3"/>
        <charset val="129"/>
      </rPr>
      <t xml:space="preserve">: </t>
    </r>
    <r>
      <rPr>
        <sz val="11"/>
        <color rgb="FFFF0000"/>
        <rFont val="Noto Sans CJK SC"/>
        <family val="2"/>
      </rPr>
      <t>캡처도구</t>
    </r>
    <r>
      <rPr>
        <sz val="11"/>
        <color rgb="FFFF0000"/>
        <rFont val="맑은 고딕"/>
        <family val="3"/>
        <charset val="129"/>
      </rPr>
      <t>&gt;</t>
    </r>
    <r>
      <rPr>
        <sz val="11"/>
        <color rgb="FFFF0000"/>
        <rFont val="Noto Sans CJK SC"/>
        <family val="2"/>
      </rPr>
      <t xml:space="preserve">메일 본문 </t>
    </r>
    <r>
      <rPr>
        <sz val="11"/>
        <color rgb="FFFF0000"/>
        <rFont val="맑은 고딕"/>
        <family val="3"/>
        <charset val="129"/>
      </rPr>
      <t>ctrl + v</t>
    </r>
  </si>
  <si>
    <t>회색음영부분 입력금지</t>
  </si>
  <si>
    <t>거래일</t>
  </si>
  <si>
    <t>결제일</t>
  </si>
  <si>
    <t>KBAM Position</t>
  </si>
  <si>
    <t>Spot Price</t>
  </si>
  <si>
    <t>Swap Point</t>
  </si>
  <si>
    <t>Forward Rate</t>
  </si>
  <si>
    <t>Annualized Rate (%)</t>
  </si>
  <si>
    <t>Value Date</t>
  </si>
  <si>
    <t>Spot Rate</t>
  </si>
  <si>
    <t>Swap point</t>
  </si>
  <si>
    <t>Nominal</t>
  </si>
  <si>
    <t>기간</t>
  </si>
  <si>
    <t>Annualize</t>
  </si>
  <si>
    <r>
      <rPr>
        <b/>
        <sz val="11"/>
        <rFont val="Noto Sans CJK SC"/>
        <family val="2"/>
      </rPr>
      <t xml:space="preserve">▼ 입력 </t>
    </r>
    <r>
      <rPr>
        <b/>
        <sz val="11"/>
        <rFont val="KB금융 본문체 Light"/>
        <family val="3"/>
        <charset val="129"/>
      </rPr>
      <t>(</t>
    </r>
    <r>
      <rPr>
        <b/>
        <sz val="11"/>
        <rFont val="Noto Sans CJK SC"/>
        <family val="2"/>
      </rPr>
      <t>통화</t>
    </r>
    <r>
      <rPr>
        <b/>
        <sz val="11"/>
        <rFont val="KB금융 본문체 Light"/>
        <family val="3"/>
        <charset val="129"/>
      </rPr>
      <t>/</t>
    </r>
    <r>
      <rPr>
        <b/>
        <sz val="11"/>
        <rFont val="Noto Sans CJK SC"/>
        <family val="2"/>
      </rPr>
      <t>금액은 여기만 수정하면 위 표에 자동 반영</t>
    </r>
    <r>
      <rPr>
        <b/>
        <sz val="11"/>
        <rFont val="KB금융 본문체 Light"/>
        <family val="3"/>
        <charset val="129"/>
      </rPr>
      <t>)</t>
    </r>
  </si>
  <si>
    <t>통화</t>
  </si>
  <si>
    <t>금액</t>
  </si>
  <si>
    <t>USD</t>
    <phoneticPr fontId="19" type="noConversion"/>
  </si>
</sst>
</file>

<file path=xl/styles.xml><?xml version="1.0" encoding="utf-8"?>
<styleSheet xmlns="http://schemas.openxmlformats.org/spreadsheetml/2006/main">
  <numFmts count="6">
    <numFmt numFmtId="176" formatCode="m/d/yyyy"/>
    <numFmt numFmtId="177" formatCode="_(* #,##0_);_(* \(#,##0\);_(* \-_);_(@_)"/>
    <numFmt numFmtId="178" formatCode="_-* #,##0.00_-;\-* #,##0.00_-;_-* \-_-;_-@_-"/>
    <numFmt numFmtId="179" formatCode="0.000%"/>
    <numFmt numFmtId="180" formatCode="0.0%"/>
    <numFmt numFmtId="181" formatCode="General&quot;M&quot;"/>
  </numFmts>
  <fonts count="21"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1"/>
      <color rgb="FFFF0000"/>
      <name val="Noto Sans CJK SC"/>
      <family val="2"/>
    </font>
    <font>
      <sz val="11"/>
      <color rgb="FFFF0000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rgb="FF000000"/>
      <name val="Noto Sans CJK SC"/>
      <family val="2"/>
    </font>
    <font>
      <b/>
      <sz val="12"/>
      <color rgb="FF000000"/>
      <name val="KB금융 본문체 Light"/>
      <family val="3"/>
      <charset val="129"/>
    </font>
    <font>
      <b/>
      <sz val="12"/>
      <color rgb="FF4E4E4E"/>
      <name val="KB금융 본문체 Light"/>
      <family val="3"/>
      <charset val="129"/>
    </font>
    <font>
      <sz val="12"/>
      <color rgb="FF4E4E4E"/>
      <name val="KB금융 본문체 Light"/>
      <family val="3"/>
      <charset val="129"/>
    </font>
    <font>
      <sz val="12"/>
      <color rgb="FF000000"/>
      <name val="KB금융 본문체 Light"/>
      <family val="3"/>
      <charset val="129"/>
    </font>
    <font>
      <b/>
      <sz val="12"/>
      <name val="KB금융 본문체 Light"/>
      <family val="3"/>
      <charset val="129"/>
    </font>
    <font>
      <b/>
      <sz val="12"/>
      <name val="Noto Sans CJK SC"/>
      <family val="2"/>
    </font>
    <font>
      <b/>
      <sz val="9"/>
      <color rgb="FF000000"/>
      <name val="KB금융 본문체 Light"/>
      <family val="3"/>
      <charset val="129"/>
    </font>
    <font>
      <sz val="12"/>
      <color theme="1"/>
      <name val="KB금융 본문체 Light"/>
      <family val="3"/>
      <charset val="129"/>
    </font>
    <font>
      <sz val="9"/>
      <color rgb="FF4E4E4E"/>
      <name val="KB금융 본문체 Light"/>
      <family val="3"/>
      <charset val="129"/>
    </font>
    <font>
      <b/>
      <sz val="11"/>
      <name val="Noto Sans CJK SC"/>
      <family val="2"/>
    </font>
    <font>
      <b/>
      <sz val="11"/>
      <name val="KB금융 본문체 Light"/>
      <family val="3"/>
      <charset val="129"/>
    </font>
    <font>
      <b/>
      <sz val="11"/>
      <color rgb="FF0000FF"/>
      <name val="KB금융 본문체 Light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5" tint="0.79998168889431442"/>
        <bgColor indexed="64"/>
      </patternFill>
    </fill>
    <fill>
      <patternFill patternType="darkUp">
        <fgColor rgb="FFD9D9D9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BE5D6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177" fontId="18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6" fillId="2" borderId="2" xfId="1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178" fontId="6" fillId="2" borderId="3" xfId="1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10" fontId="7" fillId="2" borderId="3" xfId="0" applyNumberFormat="1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179" fontId="7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0" fontId="7" fillId="2" borderId="5" xfId="0" applyNumberFormat="1" applyFont="1" applyFill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179" fontId="7" fillId="2" borderId="3" xfId="0" applyNumberFormat="1" applyFont="1" applyFill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80" fontId="7" fillId="2" borderId="3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5" fillId="0" borderId="0" xfId="0" applyFont="1" applyAlignment="1"/>
    <xf numFmtId="14" fontId="7" fillId="2" borderId="3" xfId="0" applyNumberFormat="1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14" fontId="7" fillId="7" borderId="2" xfId="0" applyNumberFormat="1" applyFont="1" applyFill="1" applyBorder="1" applyAlignment="1">
      <alignment horizontal="center" vertical="center"/>
    </xf>
    <xf numFmtId="14" fontId="7" fillId="7" borderId="3" xfId="0" applyNumberFormat="1" applyFont="1" applyFill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14" fontId="7" fillId="8" borderId="14" xfId="0" applyNumberFormat="1" applyFont="1" applyFill="1" applyBorder="1" applyAlignment="1">
      <alignment horizontal="center" vertical="center"/>
    </xf>
    <xf numFmtId="14" fontId="8" fillId="8" borderId="15" xfId="0" applyNumberFormat="1" applyFont="1" applyFill="1" applyBorder="1" applyAlignment="1">
      <alignment horizontal="center" vertical="center"/>
    </xf>
    <xf numFmtId="14" fontId="4" fillId="9" borderId="12" xfId="0" applyNumberFormat="1" applyFont="1" applyFill="1" applyBorder="1" applyAlignment="1">
      <alignment horizontal="center" vertical="center"/>
    </xf>
    <xf numFmtId="0" fontId="15" fillId="0" borderId="6" xfId="0" applyFont="1" applyBorder="1" applyAlignment="1"/>
    <xf numFmtId="0" fontId="17" fillId="3" borderId="7" xfId="0" applyFont="1" applyFill="1" applyBorder="1" applyAlignment="1">
      <alignment horizontal="center"/>
    </xf>
    <xf numFmtId="0" fontId="15" fillId="0" borderId="10" xfId="0" applyFont="1" applyBorder="1" applyAlignment="1"/>
    <xf numFmtId="178" fontId="17" fillId="3" borderId="11" xfId="0" applyNumberFormat="1" applyFont="1" applyFill="1" applyBorder="1" applyAlignment="1"/>
    <xf numFmtId="181" fontId="13" fillId="0" borderId="5" xfId="0" applyNumberFormat="1" applyFont="1" applyBorder="1" applyAlignment="1">
      <alignment horizontal="right" vertical="center" indent="1"/>
    </xf>
    <xf numFmtId="181" fontId="13" fillId="0" borderId="3" xfId="0" applyNumberFormat="1" applyFont="1" applyBorder="1" applyAlignment="1">
      <alignment horizontal="right" vertical="center" indent="1"/>
    </xf>
    <xf numFmtId="181" fontId="20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</cellXfs>
  <cellStyles count="2">
    <cellStyle name="Excel Built-in Comma [0]" xfId="1"/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E4E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view="pageBreakPreview" zoomScaleNormal="100" workbookViewId="0">
      <selection activeCell="G4" sqref="G4"/>
    </sheetView>
  </sheetViews>
  <sheetFormatPr defaultColWidth="8.5" defaultRowHeight="16.5"/>
  <sheetData/>
  <phoneticPr fontId="19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showGridLines="0" tabSelected="1" view="pageBreakPreview" zoomScale="85" zoomScaleNormal="100" zoomScalePageLayoutView="85" workbookViewId="0">
      <selection activeCell="E23" sqref="E23"/>
    </sheetView>
  </sheetViews>
  <sheetFormatPr defaultColWidth="8.5" defaultRowHeight="16.5"/>
  <cols>
    <col min="1" max="1" width="9" style="1" customWidth="1"/>
    <col min="2" max="2" width="13.25" style="2" customWidth="1"/>
    <col min="3" max="3" width="16.625" style="2" customWidth="1"/>
    <col min="4" max="4" width="17" style="2" customWidth="1"/>
    <col min="5" max="5" width="20.625" style="2" customWidth="1"/>
    <col min="6" max="6" width="15.75" style="2" customWidth="1"/>
    <col min="7" max="7" width="13.25" style="2" customWidth="1"/>
    <col min="8" max="8" width="15.75" style="2" customWidth="1"/>
    <col min="9" max="9" width="24.5" style="2" customWidth="1"/>
    <col min="10" max="10" width="7.125" style="2" customWidth="1"/>
    <col min="11" max="11" width="19" style="2" customWidth="1"/>
    <col min="14" max="14" width="10.25" style="2" hidden="1" customWidth="1"/>
  </cols>
  <sheetData>
    <row r="1" spans="1:14" ht="16.5" customHeight="1">
      <c r="B1" s="58" t="s">
        <v>0</v>
      </c>
      <c r="C1" s="58"/>
      <c r="D1" s="58"/>
      <c r="E1" s="58"/>
      <c r="F1" s="58"/>
    </row>
    <row r="2" spans="1:14" ht="17.25" customHeight="1">
      <c r="B2" s="3" t="s">
        <v>1</v>
      </c>
      <c r="C2" s="4"/>
      <c r="D2" s="4"/>
      <c r="E2" s="4"/>
    </row>
    <row r="3" spans="1:14" ht="17.25" customHeight="1">
      <c r="B3" s="3"/>
      <c r="C3" s="4"/>
      <c r="D3" s="4"/>
      <c r="E3" s="4"/>
    </row>
    <row r="4" spans="1:14" ht="17.25" customHeight="1">
      <c r="B4" s="5" t="s">
        <v>2</v>
      </c>
      <c r="C4" s="5" t="s">
        <v>3</v>
      </c>
      <c r="D4" s="6" t="s">
        <v>4</v>
      </c>
      <c r="E4" s="7" t="str">
        <f>$C$30&amp;" Amount"</f>
        <v>USD Amount</v>
      </c>
      <c r="F4" s="6" t="s">
        <v>5</v>
      </c>
      <c r="G4" s="6" t="s">
        <v>6</v>
      </c>
      <c r="H4" s="6" t="s">
        <v>7</v>
      </c>
      <c r="I4" s="6" t="s">
        <v>8</v>
      </c>
    </row>
    <row r="5" spans="1:14" ht="22.5" customHeight="1">
      <c r="A5" s="1">
        <f>$E$17/100</f>
        <v>-0.34</v>
      </c>
      <c r="B5" s="35">
        <f ca="1">TODAY()</f>
        <v>46283</v>
      </c>
      <c r="C5" s="45">
        <f>B16</f>
        <v>46295</v>
      </c>
      <c r="D5" s="8" t="str">
        <f>$C$30&amp;" BUY"</f>
        <v>USD BUY</v>
      </c>
      <c r="E5" s="9">
        <f>$C$31+72011</f>
        <v>3000000</v>
      </c>
      <c r="F5" s="8">
        <f t="shared" ref="F5:F12" si="0">$D$17</f>
        <v>1385.5</v>
      </c>
      <c r="G5" s="10"/>
      <c r="H5" s="8"/>
      <c r="I5" s="8"/>
    </row>
    <row r="6" spans="1:14" ht="22.5" customHeight="1">
      <c r="A6" s="57">
        <f t="shared" ref="A6:A11" si="1">B17</f>
        <v>1</v>
      </c>
      <c r="B6" s="34"/>
      <c r="C6" s="46">
        <f t="shared" ref="C6:C12" si="2">C17</f>
        <v>46311</v>
      </c>
      <c r="D6" s="11" t="str">
        <f t="shared" ref="D6:D12" si="3">$C$30&amp;" SELL"</f>
        <v>USD SELL</v>
      </c>
      <c r="E6" s="13">
        <f t="shared" ref="E6:E12" si="4">$C$31</f>
        <v>2927989</v>
      </c>
      <c r="F6" s="11">
        <f t="shared" si="0"/>
        <v>1385.5</v>
      </c>
      <c r="G6" s="14">
        <f t="shared" ref="G6:G11" si="5">E17</f>
        <v>-34</v>
      </c>
      <c r="H6" s="14">
        <f t="shared" ref="H6:H11" si="6">F6+A18</f>
        <v>1385.16</v>
      </c>
      <c r="I6" s="15">
        <f t="shared" ref="I6:I12" si="7">I17</f>
        <v>-5.5981595092024546E-3</v>
      </c>
    </row>
    <row r="7" spans="1:14" ht="22.5" customHeight="1">
      <c r="A7" s="57">
        <f t="shared" si="1"/>
        <v>2</v>
      </c>
      <c r="B7" s="34"/>
      <c r="C7" s="46">
        <f t="shared" si="2"/>
        <v>46387</v>
      </c>
      <c r="D7" s="11" t="str">
        <f t="shared" si="3"/>
        <v>USD SELL</v>
      </c>
      <c r="E7" s="13">
        <f t="shared" si="4"/>
        <v>2927989</v>
      </c>
      <c r="F7" s="11">
        <f t="shared" si="0"/>
        <v>1385.5</v>
      </c>
      <c r="G7" s="14">
        <f t="shared" si="5"/>
        <v>-271</v>
      </c>
      <c r="H7" s="14">
        <f t="shared" si="6"/>
        <v>1382.79</v>
      </c>
      <c r="I7" s="16">
        <f t="shared" si="7"/>
        <v>-7.7601085779737348E-3</v>
      </c>
    </row>
    <row r="8" spans="1:14" ht="22.5" customHeight="1">
      <c r="A8" s="57">
        <f t="shared" si="1"/>
        <v>3</v>
      </c>
      <c r="B8" s="34"/>
      <c r="C8" s="46">
        <f t="shared" si="2"/>
        <v>46477</v>
      </c>
      <c r="D8" s="11" t="str">
        <f t="shared" si="3"/>
        <v>USD SELL</v>
      </c>
      <c r="E8" s="13">
        <f t="shared" si="4"/>
        <v>2927989</v>
      </c>
      <c r="F8" s="11">
        <f t="shared" si="0"/>
        <v>1385.5</v>
      </c>
      <c r="G8" s="14">
        <f t="shared" si="5"/>
        <v>-631</v>
      </c>
      <c r="H8" s="14">
        <f t="shared" si="6"/>
        <v>1379.19</v>
      </c>
      <c r="I8" s="16">
        <f t="shared" si="7"/>
        <v>-9.1336487402889424E-3</v>
      </c>
    </row>
    <row r="9" spans="1:14" ht="22.5" customHeight="1">
      <c r="A9" s="57">
        <f t="shared" si="1"/>
        <v>4</v>
      </c>
      <c r="B9" s="34"/>
      <c r="C9" s="46">
        <f t="shared" si="2"/>
        <v>46563</v>
      </c>
      <c r="D9" s="11" t="str">
        <f t="shared" si="3"/>
        <v>USD SELL</v>
      </c>
      <c r="E9" s="13">
        <f t="shared" si="4"/>
        <v>2927989</v>
      </c>
      <c r="F9" s="11">
        <f t="shared" si="0"/>
        <v>1385.5</v>
      </c>
      <c r="G9" s="14">
        <f t="shared" si="5"/>
        <v>-979</v>
      </c>
      <c r="H9" s="14">
        <f t="shared" si="6"/>
        <v>1375.71</v>
      </c>
      <c r="I9" s="16">
        <f t="shared" si="7"/>
        <v>-9.6235261799985997E-3</v>
      </c>
    </row>
    <row r="10" spans="1:14" ht="22.5" customHeight="1">
      <c r="A10" s="57">
        <f t="shared" si="1"/>
        <v>5</v>
      </c>
      <c r="B10" s="34"/>
      <c r="C10" s="46">
        <f t="shared" si="2"/>
        <v>46630</v>
      </c>
      <c r="D10" s="11" t="str">
        <f t="shared" si="3"/>
        <v>USD SELL</v>
      </c>
      <c r="E10" s="13">
        <f t="shared" si="4"/>
        <v>2927989</v>
      </c>
      <c r="F10" s="11">
        <f t="shared" si="0"/>
        <v>1385.5</v>
      </c>
      <c r="G10" s="14">
        <f t="shared" si="5"/>
        <v>-1249</v>
      </c>
      <c r="H10" s="14">
        <f t="shared" si="6"/>
        <v>1373.01</v>
      </c>
      <c r="I10" s="16">
        <f t="shared" si="7"/>
        <v>-9.8220912758473951E-3</v>
      </c>
    </row>
    <row r="11" spans="1:14" ht="22.5" customHeight="1">
      <c r="A11" s="57">
        <f t="shared" si="1"/>
        <v>6</v>
      </c>
      <c r="B11" s="34"/>
      <c r="C11" s="46">
        <f t="shared" si="2"/>
        <v>46660</v>
      </c>
      <c r="D11" s="11" t="str">
        <f t="shared" si="3"/>
        <v>USD SELL</v>
      </c>
      <c r="E11" s="13">
        <f t="shared" si="4"/>
        <v>2927989</v>
      </c>
      <c r="F11" s="11">
        <f t="shared" si="0"/>
        <v>1385.5</v>
      </c>
      <c r="G11" s="14">
        <f t="shared" si="5"/>
        <v>-1364</v>
      </c>
      <c r="H11" s="14">
        <f t="shared" si="6"/>
        <v>1371.86</v>
      </c>
      <c r="I11" s="16">
        <f t="shared" si="7"/>
        <v>-9.844821364128474E-3</v>
      </c>
    </row>
    <row r="12" spans="1:14" ht="22.5" customHeight="1">
      <c r="A12" s="57">
        <f t="shared" ref="A12" si="8">B23</f>
        <v>7</v>
      </c>
      <c r="B12" s="34"/>
      <c r="C12" s="46">
        <f t="shared" si="2"/>
        <v>0</v>
      </c>
      <c r="D12" s="11" t="str">
        <f t="shared" si="3"/>
        <v>USD SELL</v>
      </c>
      <c r="E12" s="13">
        <f t="shared" si="4"/>
        <v>2927989</v>
      </c>
      <c r="F12" s="11">
        <f t="shared" si="0"/>
        <v>1385.5</v>
      </c>
      <c r="G12" s="14">
        <f t="shared" ref="G12" si="9">E23</f>
        <v>0</v>
      </c>
      <c r="H12" s="14">
        <f t="shared" ref="H12" si="10">F12+A24</f>
        <v>1385.5</v>
      </c>
      <c r="I12" s="16">
        <f t="shared" si="7"/>
        <v>0</v>
      </c>
    </row>
    <row r="13" spans="1:14" ht="22.5" customHeight="1">
      <c r="A13" s="1">
        <f>$E$25/100</f>
        <v>0</v>
      </c>
      <c r="B13" s="36"/>
      <c r="C13" s="12"/>
      <c r="D13" s="17"/>
      <c r="E13" s="18"/>
      <c r="F13" s="17"/>
      <c r="G13" s="19"/>
      <c r="H13" s="17"/>
      <c r="I13" s="18"/>
    </row>
    <row r="14" spans="1:14" ht="22.5" customHeight="1">
      <c r="A14" s="1">
        <f>$E$26/100</f>
        <v>0</v>
      </c>
      <c r="B14" s="36"/>
      <c r="C14" s="12"/>
      <c r="D14" s="17"/>
      <c r="E14" s="18"/>
      <c r="F14" s="17"/>
      <c r="G14" s="19"/>
      <c r="H14" s="17"/>
      <c r="I14" s="18"/>
    </row>
    <row r="15" spans="1:14" ht="17.25" customHeight="1" thickBot="1"/>
    <row r="16" spans="1:14" ht="18" customHeight="1" thickBot="1">
      <c r="B16" s="50">
        <v>46295</v>
      </c>
      <c r="C16" s="47" t="s">
        <v>9</v>
      </c>
      <c r="D16" s="37" t="s">
        <v>10</v>
      </c>
      <c r="E16" s="38" t="s">
        <v>11</v>
      </c>
      <c r="F16" s="20" t="s">
        <v>7</v>
      </c>
      <c r="G16" s="20" t="s">
        <v>12</v>
      </c>
      <c r="H16" s="21" t="s">
        <v>13</v>
      </c>
      <c r="I16" s="20" t="s">
        <v>14</v>
      </c>
      <c r="N16" s="22" t="s">
        <v>6</v>
      </c>
    </row>
    <row r="17" spans="1:14" ht="21.75" customHeight="1" thickBot="1">
      <c r="B17" s="55">
        <v>1</v>
      </c>
      <c r="C17" s="48">
        <v>46311</v>
      </c>
      <c r="D17" s="39">
        <v>1385.5</v>
      </c>
      <c r="E17" s="40">
        <v>-34</v>
      </c>
      <c r="F17" s="23">
        <f t="shared" ref="F17:F23" si="11">D17+A5</f>
        <v>1385.16</v>
      </c>
      <c r="G17" s="24">
        <f t="shared" ref="G17:G23" si="12">(E17/100)/D17</f>
        <v>-2.4539877300613498E-4</v>
      </c>
      <c r="H17" s="25">
        <f t="shared" ref="H17:H23" si="13">C17-$B$16</f>
        <v>16</v>
      </c>
      <c r="I17" s="26">
        <f t="shared" ref="I17:I23" si="14">G17*365/H17</f>
        <v>-5.5981595092024546E-3</v>
      </c>
      <c r="N17" s="27">
        <f>G5/100</f>
        <v>0</v>
      </c>
    </row>
    <row r="18" spans="1:14" ht="21.75" customHeight="1" thickBot="1">
      <c r="A18" s="1">
        <f>$E$17/100</f>
        <v>-0.34</v>
      </c>
      <c r="B18" s="56">
        <v>2</v>
      </c>
      <c r="C18" s="48">
        <v>46387</v>
      </c>
      <c r="D18" s="43">
        <f t="shared" ref="D18:D26" si="15">D17</f>
        <v>1385.5</v>
      </c>
      <c r="E18" s="40">
        <v>-271</v>
      </c>
      <c r="F18" s="23">
        <f t="shared" si="11"/>
        <v>1386.5</v>
      </c>
      <c r="G18" s="28">
        <f t="shared" si="12"/>
        <v>-1.9559725730783112E-3</v>
      </c>
      <c r="H18" s="11">
        <f t="shared" si="13"/>
        <v>92</v>
      </c>
      <c r="I18" s="15">
        <f t="shared" si="14"/>
        <v>-7.7601085779737348E-3</v>
      </c>
      <c r="N18" s="29"/>
    </row>
    <row r="19" spans="1:14" ht="21.75" customHeight="1" thickBot="1">
      <c r="A19" s="1">
        <f>$E$18/100</f>
        <v>-2.71</v>
      </c>
      <c r="B19" s="56">
        <v>3</v>
      </c>
      <c r="C19" s="48">
        <v>46477</v>
      </c>
      <c r="D19" s="43">
        <f t="shared" si="15"/>
        <v>1385.5</v>
      </c>
      <c r="E19" s="40">
        <v>-631</v>
      </c>
      <c r="F19" s="23">
        <f t="shared" si="11"/>
        <v>1387.5</v>
      </c>
      <c r="G19" s="28">
        <f t="shared" si="12"/>
        <v>-4.5543125225550344E-3</v>
      </c>
      <c r="H19" s="11">
        <f t="shared" si="13"/>
        <v>182</v>
      </c>
      <c r="I19" s="15">
        <f t="shared" si="14"/>
        <v>-9.1336487402889424E-3</v>
      </c>
      <c r="N19" s="29"/>
    </row>
    <row r="20" spans="1:14" ht="21.75" customHeight="1" thickBot="1">
      <c r="A20" s="1">
        <f>$E$19/100</f>
        <v>-6.31</v>
      </c>
      <c r="B20" s="56">
        <v>4</v>
      </c>
      <c r="C20" s="48">
        <v>46563</v>
      </c>
      <c r="D20" s="43">
        <f t="shared" si="15"/>
        <v>1385.5</v>
      </c>
      <c r="E20" s="40">
        <v>-979</v>
      </c>
      <c r="F20" s="23">
        <f t="shared" si="11"/>
        <v>1388.5</v>
      </c>
      <c r="G20" s="28">
        <f t="shared" si="12"/>
        <v>-7.0660411403825332E-3</v>
      </c>
      <c r="H20" s="11">
        <f t="shared" si="13"/>
        <v>268</v>
      </c>
      <c r="I20" s="15">
        <f t="shared" si="14"/>
        <v>-9.6235261799985997E-3</v>
      </c>
      <c r="N20" s="29"/>
    </row>
    <row r="21" spans="1:14" ht="21.75" customHeight="1" thickBot="1">
      <c r="A21" s="1">
        <f>$E$20/100</f>
        <v>-9.7899999999999991</v>
      </c>
      <c r="B21" s="56">
        <v>5</v>
      </c>
      <c r="C21" s="48">
        <v>46630</v>
      </c>
      <c r="D21" s="43">
        <f t="shared" si="15"/>
        <v>1385.5</v>
      </c>
      <c r="E21" s="40">
        <v>-1249</v>
      </c>
      <c r="F21" s="23">
        <f t="shared" si="11"/>
        <v>1389.5</v>
      </c>
      <c r="G21" s="28">
        <f t="shared" si="12"/>
        <v>-9.0147961024900757E-3</v>
      </c>
      <c r="H21" s="11">
        <f t="shared" si="13"/>
        <v>335</v>
      </c>
      <c r="I21" s="15">
        <f t="shared" si="14"/>
        <v>-9.8220912758473951E-3</v>
      </c>
      <c r="N21" s="29"/>
    </row>
    <row r="22" spans="1:14" ht="21.75" customHeight="1" thickBot="1">
      <c r="A22" s="1">
        <f>$E$21/100</f>
        <v>-12.49</v>
      </c>
      <c r="B22" s="56">
        <v>6</v>
      </c>
      <c r="C22" s="48">
        <v>46660</v>
      </c>
      <c r="D22" s="43">
        <f t="shared" si="15"/>
        <v>1385.5</v>
      </c>
      <c r="E22" s="40">
        <v>-1364</v>
      </c>
      <c r="F22" s="23">
        <f t="shared" si="11"/>
        <v>1390.5</v>
      </c>
      <c r="G22" s="28">
        <f t="shared" si="12"/>
        <v>-9.844821364128474E-3</v>
      </c>
      <c r="H22" s="11">
        <f t="shared" si="13"/>
        <v>365</v>
      </c>
      <c r="I22" s="15">
        <f t="shared" si="14"/>
        <v>-9.844821364128474E-3</v>
      </c>
      <c r="N22" s="29"/>
    </row>
    <row r="23" spans="1:14" ht="21.75" customHeight="1" thickBot="1">
      <c r="A23" s="1">
        <f>$E$22/100</f>
        <v>-13.64</v>
      </c>
      <c r="B23" s="56">
        <v>7</v>
      </c>
      <c r="C23" s="48"/>
      <c r="D23" s="43">
        <f t="shared" si="15"/>
        <v>1385.5</v>
      </c>
      <c r="E23" s="41"/>
      <c r="F23" s="23">
        <f t="shared" si="11"/>
        <v>1391.5</v>
      </c>
      <c r="G23" s="28">
        <f t="shared" si="12"/>
        <v>0</v>
      </c>
      <c r="H23" s="11">
        <f t="shared" si="13"/>
        <v>-46295</v>
      </c>
      <c r="I23" s="15">
        <f t="shared" si="14"/>
        <v>0</v>
      </c>
      <c r="N23" s="29"/>
    </row>
    <row r="24" spans="1:14" ht="21.75" customHeight="1">
      <c r="A24" s="1">
        <f>$E$23/100</f>
        <v>0</v>
      </c>
      <c r="B24" s="56">
        <v>8</v>
      </c>
      <c r="C24" s="48"/>
      <c r="D24" s="43">
        <f t="shared" si="15"/>
        <v>1385.5</v>
      </c>
      <c r="E24" s="41"/>
      <c r="F24" s="30"/>
      <c r="G24" s="15"/>
      <c r="H24" s="11"/>
      <c r="I24" s="31"/>
    </row>
    <row r="25" spans="1:14" ht="21.75" customHeight="1">
      <c r="A25" s="1">
        <f>$E$24/100</f>
        <v>0</v>
      </c>
      <c r="B25" s="56">
        <v>9</v>
      </c>
      <c r="C25" s="48"/>
      <c r="D25" s="43">
        <f t="shared" si="15"/>
        <v>1385.5</v>
      </c>
      <c r="E25" s="41"/>
      <c r="F25" s="30"/>
      <c r="G25" s="15"/>
      <c r="H25" s="11"/>
      <c r="I25" s="31"/>
    </row>
    <row r="26" spans="1:14" ht="21.75" customHeight="1" thickBot="1">
      <c r="A26" s="1">
        <f>$E$25/100</f>
        <v>0</v>
      </c>
      <c r="B26" s="56">
        <v>10</v>
      </c>
      <c r="C26" s="49"/>
      <c r="D26" s="44">
        <f t="shared" si="15"/>
        <v>1385.5</v>
      </c>
      <c r="E26" s="42"/>
      <c r="F26" s="30"/>
      <c r="G26" s="15"/>
      <c r="H26" s="11"/>
      <c r="I26" s="31"/>
    </row>
    <row r="27" spans="1:14" ht="21.75" customHeight="1">
      <c r="A27" s="1">
        <f>$E$26/100</f>
        <v>0</v>
      </c>
    </row>
    <row r="28" spans="1:14">
      <c r="B28" s="32"/>
      <c r="C28" s="32"/>
      <c r="D28" s="32"/>
    </row>
    <row r="29" spans="1:14" ht="17.25" thickBot="1">
      <c r="B29" s="33" t="s">
        <v>15</v>
      </c>
    </row>
    <row r="30" spans="1:14">
      <c r="B30" s="51" t="s">
        <v>16</v>
      </c>
      <c r="C30" s="52" t="s">
        <v>18</v>
      </c>
    </row>
    <row r="31" spans="1:14" ht="17.25" thickBot="1">
      <c r="B31" s="53" t="s">
        <v>17</v>
      </c>
      <c r="C31" s="54">
        <v>2927989</v>
      </c>
    </row>
  </sheetData>
  <mergeCells count="1">
    <mergeCell ref="B1:F1"/>
  </mergeCells>
  <phoneticPr fontId="19" type="noConversion"/>
  <pageMargins left="0.7" right="0.7" top="0.75" bottom="0.75" header="0.511811023622047" footer="0.511811023622047"/>
  <pageSetup paperSize="9" scale="55" orientation="portrait" horizontalDpi="300" verticalDpi="300" r:id="rId1"/>
  <colBreaks count="1" manualBreakCount="1">
    <brk id="9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안재원</dc:creator>
  <cp:lastModifiedBy>2170480</cp:lastModifiedBy>
  <cp:revision>0</cp:revision>
  <dcterms:created xsi:type="dcterms:W3CDTF">2025-07-17T23:17:34Z</dcterms:created>
  <dcterms:modified xsi:type="dcterms:W3CDTF">2026-09-18T04:03:37Z</dcterms:modified>
  <dc:language>en-US</dc:language>
</cp:coreProperties>
</file>