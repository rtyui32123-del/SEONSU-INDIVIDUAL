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I:\innoecm_group+\(920)자금운용부\※ (외화) CORP 영업\1. 운용사관련파일\"/>
    </mc:Choice>
  </mc:AlternateContent>
  <xr:revisionPtr revIDLastSave="0" documentId="13_ncr:1_{04589F8D-FB0D-487C-9443-B5E5C2F6154D}" xr6:coauthVersionLast="47" xr6:coauthVersionMax="47" xr10:uidLastSave="{00000000-0000-0000-0000-000000000000}"/>
  <bookViews>
    <workbookView xWindow="-120" yWindow="-120" windowWidth="29040" windowHeight="15720" tabRatio="809" firstSheet="1" activeTab="1" xr2:uid="{00000000-000D-0000-FFFF-FFFF00000000}"/>
  </bookViews>
  <sheets>
    <sheet name="펀드전체(환전제외)" sheetId="31" r:id="rId1"/>
    <sheet name="환전펀드(전체운용사)" sheetId="18" r:id="rId2"/>
    <sheet name="다올" sheetId="21" r:id="rId3"/>
    <sheet name="현대인베" sheetId="9" r:id="rId4"/>
    <sheet name="유진" sheetId="7" r:id="rId5"/>
    <sheet name="골든" sheetId="1" r:id="rId6"/>
    <sheet name="유리" sheetId="6" r:id="rId7"/>
    <sheet name="한투" sheetId="36" r:id="rId8"/>
    <sheet name="카디안" sheetId="24" r:id="rId9"/>
    <sheet name="우리" sheetId="23" r:id="rId10"/>
    <sheet name="키움" sheetId="25" r:id="rId11"/>
    <sheet name="한화" sheetId="14" r:id="rId12"/>
    <sheet name="IM에셋" sheetId="33" r:id="rId13"/>
    <sheet name="브이자산운용" sheetId="4" r:id="rId14"/>
    <sheet name="IBK" sheetId="37" r:id="rId15"/>
    <sheet name="현대" sheetId="12" r:id="rId16"/>
    <sheet name="DB" sheetId="8" r:id="rId17"/>
    <sheet name="KB" sheetId="30" r:id="rId18"/>
    <sheet name="삼성" sheetId="20" r:id="rId19"/>
    <sheet name="신한" sheetId="32" r:id="rId20"/>
    <sheet name="흥국" sheetId="10" r:id="rId21"/>
    <sheet name="하나UBS" sheetId="19" r:id="rId22"/>
    <sheet name=" 우리(공모)LIST" sheetId="27" state="hidden" r:id="rId23"/>
    <sheet name="한투(공모)" sheetId="28" state="hidden" r:id="rId24"/>
    <sheet name="미래" sheetId="35" r:id="rId25"/>
  </sheets>
  <definedNames>
    <definedName name="_xlnm._FilterDatabase" localSheetId="22" hidden="1">' 우리(공모)LIST'!$A$3:$Q$47</definedName>
    <definedName name="_xlnm._FilterDatabase" localSheetId="16" hidden="1">DB!$B$1:$L$19</definedName>
    <definedName name="_xlnm._FilterDatabase" localSheetId="17" hidden="1">KB!$B$1:$M$5</definedName>
    <definedName name="_xlnm._FilterDatabase" localSheetId="2" hidden="1">다올!$B$1:$O$15</definedName>
    <definedName name="_xlnm._FilterDatabase" localSheetId="13" hidden="1">브이자산운용!#REF!</definedName>
    <definedName name="_xlnm._FilterDatabase" localSheetId="18" hidden="1">삼성!$B$1:$L$60</definedName>
    <definedName name="_xlnm._FilterDatabase" localSheetId="9" hidden="1">우리!$B$1:$M$114</definedName>
    <definedName name="_xlnm._FilterDatabase" localSheetId="4" hidden="1">유진!$B$1:$M$29</definedName>
    <definedName name="_xlnm._FilterDatabase" localSheetId="8" hidden="1">카디안!$B$1:$L$34</definedName>
    <definedName name="_xlnm._FilterDatabase" localSheetId="10" hidden="1">키움!$B$1:$M$27</definedName>
    <definedName name="_xlnm._FilterDatabase" localSheetId="0" hidden="1">'펀드전체(환전제외)'!$A$1:$J$552</definedName>
    <definedName name="_xlnm._FilterDatabase" localSheetId="21" hidden="1">하나UBS!$B$1:$Q$26</definedName>
    <definedName name="_xlnm._FilterDatabase" localSheetId="7" hidden="1">한투!$B$116:$M$143</definedName>
    <definedName name="_xlnm._FilterDatabase" localSheetId="23" hidden="1">'한투(공모)'!$A$18:$B$23</definedName>
    <definedName name="_xlnm._FilterDatabase" localSheetId="11" hidden="1">한화!$B$1:$M$37</definedName>
    <definedName name="_xlnm._FilterDatabase" localSheetId="15" hidden="1">현대!#REF!</definedName>
    <definedName name="_xlnm._FilterDatabase" localSheetId="1" hidden="1">'환전펀드(전체운용사)'!$A$1:$C$903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"02/14/2020 02:20:33"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55" i="18" l="1"/>
  <c r="B38" i="31" l="1"/>
  <c r="B351" i="31" l="1"/>
  <c r="B459" i="31" l="1"/>
  <c r="B167" i="31" l="1"/>
  <c r="B3" i="31" l="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59" i="31"/>
  <c r="B60" i="31"/>
  <c r="B61" i="31"/>
  <c r="B62" i="31"/>
  <c r="B63" i="31"/>
  <c r="B64" i="31"/>
  <c r="B65" i="31"/>
  <c r="B66" i="31"/>
  <c r="B67" i="31"/>
  <c r="B68" i="31"/>
  <c r="B69" i="31"/>
  <c r="B70" i="31"/>
  <c r="B71" i="31"/>
  <c r="B72" i="31"/>
  <c r="B73" i="31"/>
  <c r="B74" i="31"/>
  <c r="B75" i="31"/>
  <c r="B76" i="31"/>
  <c r="B77" i="31"/>
  <c r="B78" i="31"/>
  <c r="B79" i="31"/>
  <c r="B80" i="31"/>
  <c r="B81" i="31"/>
  <c r="B82" i="31"/>
  <c r="B83" i="31"/>
  <c r="B84" i="31"/>
  <c r="B85" i="31"/>
  <c r="B86" i="31"/>
  <c r="B87" i="31"/>
  <c r="B88" i="31"/>
  <c r="B89" i="31"/>
  <c r="B90" i="31"/>
  <c r="B91" i="31"/>
  <c r="B92" i="31"/>
  <c r="B93" i="31"/>
  <c r="B94" i="31"/>
  <c r="B95" i="31"/>
  <c r="B96" i="31"/>
  <c r="B97" i="31"/>
  <c r="B98" i="31"/>
  <c r="B99" i="31"/>
  <c r="B100" i="31"/>
  <c r="B101" i="31"/>
  <c r="B102" i="31"/>
  <c r="B103" i="31"/>
  <c r="B104" i="31"/>
  <c r="B105" i="31"/>
  <c r="B106" i="31"/>
  <c r="B107" i="31"/>
  <c r="B108" i="31"/>
  <c r="B109" i="31"/>
  <c r="B110" i="31"/>
  <c r="B111" i="31"/>
  <c r="B112" i="31"/>
  <c r="B113" i="31"/>
  <c r="B114" i="31"/>
  <c r="B115" i="31"/>
  <c r="B116" i="31"/>
  <c r="B117" i="31"/>
  <c r="B118" i="31"/>
  <c r="B119" i="31"/>
  <c r="B120" i="31"/>
  <c r="B121" i="31"/>
  <c r="B122" i="31"/>
  <c r="B123" i="31"/>
  <c r="B124" i="31"/>
  <c r="B125" i="31"/>
  <c r="B126" i="31"/>
  <c r="B127" i="31"/>
  <c r="B128" i="31"/>
  <c r="B129" i="31"/>
  <c r="B130" i="31"/>
  <c r="B131" i="31"/>
  <c r="B132" i="31"/>
  <c r="B133" i="31"/>
  <c r="B134" i="31"/>
  <c r="B135" i="31"/>
  <c r="B136" i="31"/>
  <c r="B137" i="31"/>
  <c r="B138" i="31"/>
  <c r="B139" i="31"/>
  <c r="B140" i="31"/>
  <c r="B141" i="31"/>
  <c r="B142" i="31"/>
  <c r="B143" i="31"/>
  <c r="B144" i="31"/>
  <c r="B145" i="31"/>
  <c r="B146" i="31"/>
  <c r="B147" i="31"/>
  <c r="B148" i="31"/>
  <c r="B149" i="31"/>
  <c r="B150" i="31"/>
  <c r="B151" i="31"/>
  <c r="B152" i="31"/>
  <c r="B153" i="31"/>
  <c r="B154" i="31"/>
  <c r="B155" i="31"/>
  <c r="B156" i="31"/>
  <c r="B157" i="31"/>
  <c r="B158" i="31"/>
  <c r="B159" i="31"/>
  <c r="B160" i="31"/>
  <c r="B161" i="31"/>
  <c r="B162" i="31"/>
  <c r="B163" i="31"/>
  <c r="B164" i="31"/>
  <c r="B165" i="31"/>
  <c r="B166" i="31"/>
  <c r="B168" i="31"/>
  <c r="B169" i="31"/>
  <c r="B170" i="31"/>
  <c r="B171" i="31"/>
  <c r="B172" i="31"/>
  <c r="B173" i="31"/>
  <c r="B174" i="31"/>
  <c r="B175" i="31"/>
  <c r="B176" i="31"/>
  <c r="B177" i="31"/>
  <c r="B178" i="31"/>
  <c r="B179" i="31"/>
  <c r="B180" i="31"/>
  <c r="B181" i="31"/>
  <c r="B182" i="31"/>
  <c r="B183" i="31"/>
  <c r="B184" i="31"/>
  <c r="B185" i="31"/>
  <c r="B186" i="31"/>
  <c r="B187" i="31"/>
  <c r="B188" i="31"/>
  <c r="B189" i="31"/>
  <c r="B190" i="31"/>
  <c r="B191" i="31"/>
  <c r="B192" i="31"/>
  <c r="B193" i="31"/>
  <c r="B194" i="31"/>
  <c r="B195" i="31"/>
  <c r="B196" i="31"/>
  <c r="B197" i="31"/>
  <c r="B198" i="31"/>
  <c r="B199" i="31"/>
  <c r="B200" i="31"/>
  <c r="B201" i="31"/>
  <c r="B202" i="31"/>
  <c r="B203" i="31"/>
  <c r="B204" i="31"/>
  <c r="B205" i="31"/>
  <c r="B206" i="31"/>
  <c r="B207" i="31"/>
  <c r="B208" i="31"/>
  <c r="B209" i="31"/>
  <c r="B210" i="31"/>
  <c r="B211" i="31"/>
  <c r="B212" i="31"/>
  <c r="B213" i="31"/>
  <c r="B214" i="31"/>
  <c r="B215" i="31"/>
  <c r="B216" i="31"/>
  <c r="B217" i="31"/>
  <c r="B218" i="31"/>
  <c r="B219" i="31"/>
  <c r="B220" i="31"/>
  <c r="B221" i="31"/>
  <c r="B222" i="31"/>
  <c r="B223" i="31"/>
  <c r="B224" i="31"/>
  <c r="B225" i="31"/>
  <c r="B226" i="31"/>
  <c r="B227" i="31"/>
  <c r="B228" i="31"/>
  <c r="B229" i="31"/>
  <c r="B230" i="31"/>
  <c r="B231" i="31"/>
  <c r="B232" i="31"/>
  <c r="B233" i="31"/>
  <c r="B234" i="31"/>
  <c r="B235" i="31"/>
  <c r="B236" i="31"/>
  <c r="B237" i="31"/>
  <c r="B238" i="31"/>
  <c r="B239" i="31"/>
  <c r="B240" i="31"/>
  <c r="B241" i="31"/>
  <c r="B242" i="31"/>
  <c r="B243" i="31"/>
  <c r="B244" i="31"/>
  <c r="B245" i="31"/>
  <c r="B246" i="31"/>
  <c r="B247" i="31"/>
  <c r="B248" i="31"/>
  <c r="B249" i="31"/>
  <c r="B250" i="31"/>
  <c r="B251" i="31"/>
  <c r="B252" i="31"/>
  <c r="B253" i="31"/>
  <c r="B254" i="31"/>
  <c r="B255" i="31"/>
  <c r="B256" i="31"/>
  <c r="B257" i="31"/>
  <c r="B258" i="31"/>
  <c r="B259" i="31"/>
  <c r="B260" i="31"/>
  <c r="B261" i="31"/>
  <c r="B262" i="31"/>
  <c r="B263" i="31"/>
  <c r="B264" i="31"/>
  <c r="B265" i="31"/>
  <c r="B266" i="31"/>
  <c r="B267" i="31"/>
  <c r="B268" i="31"/>
  <c r="B269" i="31"/>
  <c r="B270" i="31"/>
  <c r="B271" i="31"/>
  <c r="B272" i="31"/>
  <c r="B273" i="31"/>
  <c r="B274" i="31"/>
  <c r="B275" i="31"/>
  <c r="B276" i="31"/>
  <c r="B277" i="31"/>
  <c r="B278" i="31"/>
  <c r="B279" i="31"/>
  <c r="B280" i="31"/>
  <c r="B281" i="31"/>
  <c r="B282" i="31"/>
  <c r="B283" i="31"/>
  <c r="B284" i="31"/>
  <c r="B285" i="31"/>
  <c r="B286" i="31"/>
  <c r="B287" i="31"/>
  <c r="B288" i="31"/>
  <c r="B289" i="31"/>
  <c r="B290" i="31"/>
  <c r="B291" i="31"/>
  <c r="B292" i="31"/>
  <c r="B293" i="31"/>
  <c r="B294" i="31"/>
  <c r="B295" i="31"/>
  <c r="B296" i="31"/>
  <c r="B297" i="31"/>
  <c r="B298" i="31"/>
  <c r="B299" i="31"/>
  <c r="B300" i="31"/>
  <c r="B301" i="31"/>
  <c r="B302" i="31"/>
  <c r="B303" i="31"/>
  <c r="B304" i="31"/>
  <c r="B305" i="31"/>
  <c r="B306" i="31"/>
  <c r="B307" i="31"/>
  <c r="B308" i="31"/>
  <c r="B309" i="31"/>
  <c r="B310" i="31"/>
  <c r="B311" i="31"/>
  <c r="B312" i="31"/>
  <c r="B313" i="31"/>
  <c r="B314" i="31"/>
  <c r="B315" i="31"/>
  <c r="B316" i="31"/>
  <c r="B317" i="31"/>
  <c r="B318" i="31"/>
  <c r="B319" i="31"/>
  <c r="B320" i="31"/>
  <c r="B321" i="31"/>
  <c r="B322" i="31"/>
  <c r="B323" i="31"/>
  <c r="B324" i="31"/>
  <c r="B325" i="31"/>
  <c r="B326" i="31"/>
  <c r="B327" i="31"/>
  <c r="B328" i="31"/>
  <c r="B329" i="31"/>
  <c r="B330" i="31"/>
  <c r="B331" i="31"/>
  <c r="B332" i="31"/>
  <c r="B333" i="31"/>
  <c r="B334" i="31"/>
  <c r="B335" i="31"/>
  <c r="B336" i="31"/>
  <c r="B337" i="31"/>
  <c r="B338" i="31"/>
  <c r="B339" i="31"/>
  <c r="B340" i="31"/>
  <c r="B341" i="31"/>
  <c r="B342" i="31"/>
  <c r="B343" i="31"/>
  <c r="B344" i="31"/>
  <c r="B345" i="31"/>
  <c r="B346" i="31"/>
  <c r="B347" i="31"/>
  <c r="B348" i="31"/>
  <c r="B349" i="31"/>
  <c r="B350" i="31"/>
  <c r="B352" i="31"/>
  <c r="B353" i="31"/>
  <c r="B354" i="31"/>
  <c r="B355" i="31"/>
  <c r="B356" i="31"/>
  <c r="B357" i="31"/>
  <c r="B358" i="31"/>
  <c r="B359" i="31"/>
  <c r="B360" i="31"/>
  <c r="B361" i="31"/>
  <c r="B362" i="31"/>
  <c r="B363" i="31"/>
  <c r="B364" i="31"/>
  <c r="B365" i="31"/>
  <c r="B366" i="31"/>
  <c r="B367" i="31"/>
  <c r="B368" i="31"/>
  <c r="B369" i="31"/>
  <c r="B370" i="31"/>
  <c r="B371" i="31"/>
  <c r="B372" i="31"/>
  <c r="B373" i="31"/>
  <c r="B374" i="31"/>
  <c r="B375" i="31"/>
  <c r="B376" i="31"/>
  <c r="B377" i="31"/>
  <c r="B378" i="31"/>
  <c r="B379" i="31"/>
  <c r="B380" i="31"/>
  <c r="B381" i="31"/>
  <c r="B382" i="31"/>
  <c r="B383" i="31"/>
  <c r="B384" i="31"/>
  <c r="B385" i="31"/>
  <c r="B386" i="31"/>
  <c r="B387" i="31"/>
  <c r="B388" i="31"/>
  <c r="B389" i="31"/>
  <c r="B390" i="31"/>
  <c r="B391" i="31"/>
  <c r="B392" i="31"/>
  <c r="B393" i="31"/>
  <c r="B394" i="31"/>
  <c r="B395" i="31"/>
  <c r="B396" i="31"/>
  <c r="B397" i="31"/>
  <c r="B398" i="31"/>
  <c r="B399" i="31"/>
  <c r="B400" i="31"/>
  <c r="B401" i="31"/>
  <c r="B402" i="31"/>
  <c r="B403" i="31"/>
  <c r="B404" i="31"/>
  <c r="B405" i="31"/>
  <c r="B406" i="31"/>
  <c r="B407" i="31"/>
  <c r="B408" i="31"/>
  <c r="B409" i="31"/>
  <c r="B410" i="31"/>
  <c r="B411" i="31"/>
  <c r="B412" i="31"/>
  <c r="B413" i="31"/>
  <c r="B414" i="31"/>
  <c r="B415" i="31"/>
  <c r="B416" i="31"/>
  <c r="B417" i="31"/>
  <c r="B418" i="31"/>
  <c r="B419" i="31"/>
  <c r="B420" i="31"/>
  <c r="B421" i="31"/>
  <c r="B422" i="31"/>
  <c r="B423" i="31"/>
  <c r="B424" i="31"/>
  <c r="B425" i="31"/>
  <c r="B426" i="31"/>
  <c r="B427" i="31"/>
  <c r="B428" i="31"/>
  <c r="B429" i="31"/>
  <c r="B430" i="31"/>
  <c r="B431" i="31"/>
  <c r="B432" i="31"/>
  <c r="B433" i="31"/>
  <c r="B434" i="31"/>
  <c r="B435" i="31"/>
  <c r="B436" i="31"/>
  <c r="B437" i="31"/>
  <c r="B438" i="31"/>
  <c r="B439" i="31"/>
  <c r="B440" i="31"/>
  <c r="B441" i="31"/>
  <c r="B442" i="31"/>
  <c r="B443" i="31"/>
  <c r="B444" i="31"/>
  <c r="B445" i="31"/>
  <c r="B446" i="31"/>
  <c r="B447" i="31"/>
  <c r="B448" i="31"/>
  <c r="B449" i="31"/>
  <c r="B450" i="31"/>
  <c r="B451" i="31"/>
  <c r="B452" i="31"/>
  <c r="B453" i="31"/>
  <c r="B454" i="31"/>
  <c r="B455" i="31"/>
  <c r="B456" i="31"/>
  <c r="B457" i="31"/>
  <c r="B458" i="31"/>
  <c r="B460" i="31"/>
  <c r="B461" i="31"/>
  <c r="B462" i="31"/>
  <c r="B463" i="31"/>
  <c r="B464" i="31"/>
  <c r="B465" i="31"/>
  <c r="B466" i="31"/>
  <c r="B467" i="31"/>
  <c r="B468" i="31"/>
  <c r="B469" i="31"/>
  <c r="B470" i="31"/>
  <c r="B471" i="31"/>
  <c r="B472" i="31"/>
  <c r="B473" i="31"/>
  <c r="B474" i="31"/>
  <c r="B475" i="31"/>
  <c r="B476" i="31"/>
  <c r="B477" i="31"/>
  <c r="B478" i="31"/>
  <c r="B479" i="31"/>
  <c r="B480" i="31"/>
  <c r="B481" i="31"/>
  <c r="B482" i="31"/>
  <c r="B483" i="31"/>
  <c r="B484" i="31"/>
  <c r="B485" i="31"/>
  <c r="B486" i="31"/>
  <c r="B487" i="31"/>
  <c r="B488" i="31"/>
  <c r="B489" i="31"/>
  <c r="B490" i="31"/>
  <c r="B491" i="31"/>
  <c r="B492" i="31"/>
  <c r="B493" i="31"/>
  <c r="B494" i="31"/>
  <c r="B495" i="31"/>
  <c r="B496" i="31"/>
  <c r="B497" i="31"/>
  <c r="B498" i="31"/>
  <c r="B499" i="31"/>
  <c r="B500" i="31"/>
  <c r="B501" i="31"/>
  <c r="B502" i="31"/>
  <c r="B503" i="31"/>
  <c r="B504" i="31"/>
  <c r="B505" i="31"/>
  <c r="B506" i="31"/>
  <c r="B507" i="31"/>
  <c r="B508" i="31"/>
  <c r="B509" i="31"/>
  <c r="B510" i="31"/>
  <c r="B511" i="31"/>
  <c r="B512" i="31"/>
  <c r="B513" i="31"/>
  <c r="B514" i="31"/>
  <c r="B515" i="31"/>
  <c r="B516" i="31"/>
  <c r="B517" i="31"/>
  <c r="B518" i="31"/>
  <c r="B519" i="31"/>
  <c r="B520" i="31"/>
  <c r="B521" i="31"/>
  <c r="B522" i="31"/>
  <c r="B523" i="31"/>
  <c r="B524" i="31"/>
  <c r="B525" i="31"/>
  <c r="B526" i="31"/>
  <c r="B527" i="31"/>
  <c r="B528" i="31"/>
  <c r="B529" i="31"/>
  <c r="B530" i="31"/>
  <c r="B531" i="31"/>
  <c r="B532" i="31"/>
  <c r="B533" i="31"/>
  <c r="B534" i="31"/>
  <c r="B535" i="31"/>
  <c r="B536" i="31"/>
  <c r="B537" i="31"/>
  <c r="B538" i="31"/>
  <c r="B539" i="31"/>
  <c r="B540" i="31"/>
  <c r="B541" i="31"/>
  <c r="B542" i="31"/>
  <c r="B543" i="31"/>
  <c r="B544" i="31"/>
  <c r="B545" i="31"/>
  <c r="B546" i="31"/>
  <c r="B547" i="31"/>
  <c r="B548" i="31"/>
  <c r="B549" i="31"/>
  <c r="B550" i="31"/>
  <c r="B551" i="31"/>
  <c r="B552" i="31"/>
  <c r="B2" i="31"/>
  <c r="L24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MasterVD</author>
    <author>Administrator</author>
    <author>김유빈(2070415)</author>
  </authors>
  <commentList>
    <comment ref="J79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운용보고서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J9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맑은 고딕"/>
            <family val="2"/>
            <charset val="129"/>
          </rPr>
          <t xml:space="preserve">추가형, 종류형, 모자형 
메타버스 및 우주산업 관련 업종에서 시장을 선도하는 우량한 글로벌 주식에 장기 투자하여 수익 달성 
국내 시장 및 미국, 유럽, 일본, 홍콩, 중국본토 등 글로벌
시장에서 상장된 메타버스 및 우주산업 관련 선도기업에 
투자하여 장기적인 수익추구 
선별된 메타버스 및 우주산업 관련 종목 투자 및 테마 ETF투자
모투자신탁의 외화자산의 80% 수준으로 환헤지 실시 
</t>
        </r>
      </text>
    </comment>
    <comment ref="J91" authorId="0" shapeId="0" xr:uid="{00000000-0006-0000-0000-000003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
증권형, 개방형, 추가형, 종류형
집합투자재산의 50% 이상을 증권에 투자하는 집합투자기구
글로벌 증권 시장에 상장된 구독경제 관련 상장지수 
집합투자기국의 집합투자증권 및 주식 등에 투자하여 장기적으로 투자대상자산의 가치상승에 따른 수익을 추구 하는 펀드 
구독경제 : 반복적인 매출을 통해 안정적인 현금흐름을 제공함으로써 장기 성장성이 기대되는 산업 
80% 내외로 환헤지 수행 예정임. 
</t>
        </r>
      </text>
    </comment>
    <comment ref="J92" authorId="0" shapeId="0" xr:uid="{00000000-0006-0000-0000-000004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
단독수익자 
개방형, 추가형 펀드 
투자전략 : 투자신탁의 대부분을 글로벌 주식 관련 상장지수집합투자기구의 집합투자증권 (ETF) 에 분산투자하여 장기적으로 투자대상자산의 가치상승에 따른 수익을 추구하는 펀드 
집합투자증권에의 투자는 이 투자신탁 자산총액의 60% 이상을 함.  </t>
        </r>
      </text>
    </comment>
    <comment ref="J9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맑은 고딕"/>
            <family val="2"/>
            <charset val="129"/>
          </rPr>
          <t xml:space="preserve">추가형, 종류형, 모자형 
메타버스 및 우주산업 관련 업종에서 시장을 선도하는 우량한 글로벌 주식에 장기 투자하여 수익 달성 
국내 시장 및 미국, 유럽, 일본, 홍콩, 중국본토 등 글로벌
시장에서 상장된 메타버스 및 우주산업 관련 선도기업에 
투자하여 장기적인 수익추구 
선별된 메타버스 및 우주산업 관련 종목 투자 및 테마 ETF투자
모투자신탁의 외화자산의 80% 수준으로 환헤지 실시 
</t>
        </r>
      </text>
    </comment>
    <comment ref="J9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채권혼합형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공모형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추가형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개방형
중국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기업이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채권에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안정적인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이자수익을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추구하는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상장된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중국
본토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공모주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투자전략으로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집합투자기구에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선별적으로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장기적으로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벤치마크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초과수익을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추구함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환율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변동성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80~100% </t>
        </r>
        <r>
          <rPr>
            <b/>
            <sz val="9"/>
            <color indexed="81"/>
            <rFont val="돋움"/>
            <family val="3"/>
            <charset val="129"/>
          </rPr>
          <t>수준으로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환헤지실시할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예정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해외자산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익스포져</t>
        </r>
        <r>
          <rPr>
            <b/>
            <sz val="9"/>
            <color indexed="81"/>
            <rFont val="Tahoma"/>
            <family val="2"/>
          </rPr>
          <t xml:space="preserve"> 60~90% </t>
        </r>
        <r>
          <rPr>
            <b/>
            <sz val="9"/>
            <color indexed="81"/>
            <rFont val="돋움"/>
            <family val="3"/>
            <charset val="129"/>
          </rPr>
          <t>안에서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높은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신용등급을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보유한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중국채권투자를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안정적인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이자수익추구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중국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본토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거래소에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상장된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우량주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과학혁신판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투자
</t>
        </r>
      </text>
    </comment>
    <comment ref="J97" authorId="0" shapeId="0" xr:uid="{00000000-0006-0000-0000-000007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
운용규모 : 1,000억원 
펀드설정일 : 2022.08.05
예상테너 : 6개월 
증권형, 개방형, 추가형, 사모형 
집합투자재산의 100분의 50을 초과하여 증권에 투자하는 집합투자기구 
채권, 주식, 자산유동화증권, 어음 등 
운용전략 : TOP-DOWN 글로벌 자산배분 프로세스
BOTTOM UP 분석으로 세부 자산군/투자 ETF 선정 및 비중 결정 
</t>
        </r>
      </text>
    </comment>
    <comment ref="J98" authorId="0" shapeId="0" xr:uid="{00000000-0006-0000-0000-000008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
테너 :6개월 
규모 : 1000억원이상 
운용전략 : 시장의 추세를 추종하며 상승장에서 수익 극대화, 하락장에서 리스크 관리 
자산별 비중 한도 설정 
주식 60% 이하, 채권 40% 이상, 대체자산 20% 이하 
EMP (ETF Mnaaged Portfolio)를 통한 적극적 멀티에셋 
자산배분 펀드 
</t>
        </r>
      </text>
    </comment>
    <comment ref="J103" authorId="0" shapeId="0" xr:uid="{00000000-0006-0000-0000-000009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
증권(재간접형) 개방형, 추가형, 사모형 
이 투자신탁은 채권에 주로 투자하는 집합투자기구의 집합투자증권을 주된 투자대상으로 하여 수익을 추구하는 것을 목적으로 함.
</t>
        </r>
      </text>
    </comment>
    <comment ref="J107" authorId="0" shapeId="0" xr:uid="{00000000-0006-0000-0000-00000A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운용규모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펀드설정일</t>
        </r>
        <r>
          <rPr>
            <sz val="9"/>
            <color indexed="81"/>
            <rFont val="Tahoma"/>
            <family val="2"/>
          </rPr>
          <t xml:space="preserve"> 2022.07.11
</t>
        </r>
        <r>
          <rPr>
            <sz val="9"/>
            <color indexed="81"/>
            <rFont val="돋움"/>
            <family val="3"/>
            <charset val="129"/>
          </rPr>
          <t>통화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테너</t>
        </r>
        <r>
          <rPr>
            <sz val="9"/>
            <color indexed="81"/>
            <rFont val="Tahoma"/>
            <family val="2"/>
          </rPr>
          <t xml:space="preserve"> : USD, GBP, EUR, JPYR, HKD / 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사모형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해외에서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집합투자증권에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편입할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예정이며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레버리지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인버스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해외채권</t>
        </r>
        <r>
          <rPr>
            <sz val="9"/>
            <color indexed="81"/>
            <rFont val="Tahoma"/>
            <family val="2"/>
          </rPr>
          <t xml:space="preserve"> etf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초장기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중장기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축채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이머징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투자함</t>
        </r>
        <r>
          <rPr>
            <sz val="9"/>
            <color indexed="81"/>
            <rFont val="Tahoma"/>
            <family val="2"/>
          </rPr>
          <t xml:space="preserve">. 
</t>
        </r>
      </text>
    </comment>
    <comment ref="J130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
TENOR 3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예상설정액</t>
        </r>
        <r>
          <rPr>
            <sz val="9"/>
            <color indexed="81"/>
            <rFont val="Tahoma"/>
            <family val="2"/>
          </rPr>
          <t xml:space="preserve"> 200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상품유형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혼합자산형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전문투자형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 
(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선진국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부동산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보증</t>
        </r>
        <r>
          <rPr>
            <sz val="9"/>
            <color indexed="81"/>
            <rFont val="Tahoma"/>
            <family val="2"/>
          </rPr>
          <t xml:space="preserve"> MBS </t>
        </r>
        <r>
          <rPr>
            <sz val="9"/>
            <color indexed="81"/>
            <rFont val="돋움"/>
            <family val="3"/>
            <charset val="129"/>
          </rPr>
          <t>펀드에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안정적인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피투자펀드</t>
        </r>
        <r>
          <rPr>
            <sz val="9"/>
            <color indexed="81"/>
            <rFont val="Tahoma"/>
            <family val="2"/>
          </rPr>
          <t xml:space="preserve"> 
STARWOOD REAL ESTATE INCOME TRUST
BLACKROCK GLOBAL FUNDS US GOVERNMENT MORTGATE FUND 
</t>
        </r>
        <r>
          <rPr>
            <sz val="9"/>
            <color indexed="81"/>
            <rFont val="돋움"/>
            <family val="3"/>
            <charset val="129"/>
          </rPr>
          <t>투자대상대부분이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신용등급</t>
        </r>
        <r>
          <rPr>
            <sz val="9"/>
            <color indexed="81"/>
            <rFont val="Tahoma"/>
            <family val="2"/>
          </rPr>
          <t xml:space="preserve"> AAA</t>
        </r>
        <r>
          <rPr>
            <sz val="9"/>
            <color indexed="81"/>
            <rFont val="돋움"/>
            <family val="3"/>
            <charset val="129"/>
          </rPr>
          <t>이면서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보증하는</t>
        </r>
        <r>
          <rPr>
            <sz val="9"/>
            <color indexed="81"/>
            <rFont val="Tahoma"/>
            <family val="2"/>
          </rPr>
          <t xml:space="preserve"> MBS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편입예정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비상장리츠</t>
        </r>
        <r>
          <rPr>
            <sz val="9"/>
            <color indexed="81"/>
            <rFont val="Tahoma"/>
            <family val="2"/>
          </rPr>
          <t xml:space="preserve"> (45%) 
- 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주요도시의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부동산을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투자자에게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배당하는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>MBS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(55%)
- GSE(</t>
        </r>
        <r>
          <rPr>
            <sz val="9"/>
            <color indexed="81"/>
            <rFont val="돋움"/>
            <family val="3"/>
            <charset val="129"/>
          </rPr>
          <t>정부보증기업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FANNIE MAE, FREDDIE MAC, GINNIE MAE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보증하는</t>
        </r>
        <r>
          <rPr>
            <sz val="9"/>
            <color indexed="81"/>
            <rFont val="Tahoma"/>
            <family val="2"/>
          </rPr>
          <t xml:space="preserve"> AGENCY MBS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투자
</t>
        </r>
      </text>
    </comment>
    <comment ref="J145" authorId="0" shapeId="0" xr:uid="{00000000-0006-0000-0000-00000C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은행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금융지주가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달러표시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
국내발행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상대적으로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달러표시채권에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환헤지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개월에서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코코본드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조건부후순위채권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평상시에는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인정받지만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발행주체의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부실금융기관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예정사유가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발생할때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원리금이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전환되거나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상각되는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지칭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편입하는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우리은행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신종자본증권인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코코본드이며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은행은</t>
        </r>
        <r>
          <rPr>
            <sz val="9"/>
            <color indexed="81"/>
            <rFont val="Tahoma"/>
            <family val="2"/>
          </rPr>
          <t xml:space="preserve"> bis</t>
        </r>
        <r>
          <rPr>
            <sz val="9"/>
            <color indexed="81"/>
            <rFont val="돋움"/>
            <family val="3"/>
            <charset val="129"/>
          </rPr>
          <t>자기자본비율상승등의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규제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효과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기대와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통상적인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자본조달이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어려운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보통주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잉여금으로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코코본드를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발행함</t>
        </r>
        <r>
          <rPr>
            <sz val="9"/>
            <color indexed="81"/>
            <rFont val="Tahoma"/>
            <family val="2"/>
          </rPr>
          <t xml:space="preserve">. 
</t>
        </r>
      </text>
    </comment>
    <comment ref="J146" authorId="0" shapeId="0" xr:uid="{00000000-0006-0000-0000-00000D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북미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</t>
        </r>
        <r>
          <rPr>
            <sz val="9"/>
            <color indexed="81"/>
            <rFont val="Tahoma"/>
            <family val="2"/>
          </rPr>
          <t xml:space="preserve"> MIDDLE MARKET </t>
        </r>
        <r>
          <rPr>
            <sz val="9"/>
            <color indexed="81"/>
            <rFont val="돋움"/>
            <family val="3"/>
            <charset val="129"/>
          </rPr>
          <t>기업을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역외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집합투자기구와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아시아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지역기업들을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대상으로</t>
        </r>
        <r>
          <rPr>
            <sz val="9"/>
            <color indexed="81"/>
            <rFont val="Tahoma"/>
            <family val="2"/>
          </rPr>
          <t xml:space="preserve"> Capital solution, Deleveraging 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역외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집합투자기구의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각각</t>
        </r>
        <r>
          <rPr>
            <sz val="9"/>
            <color indexed="81"/>
            <rFont val="Tahoma"/>
            <family val="2"/>
          </rPr>
          <t xml:space="preserve"> 70:30 </t>
        </r>
        <r>
          <rPr>
            <sz val="9"/>
            <color indexed="81"/>
            <rFont val="돋움"/>
            <family val="3"/>
            <charset val="129"/>
          </rPr>
          <t>비율로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연동되어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발행되는</t>
        </r>
        <r>
          <rPr>
            <sz val="9"/>
            <color indexed="81"/>
            <rFont val="Tahoma"/>
            <family val="2"/>
          </rPr>
          <t xml:space="preserve"> Note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투자대상으로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기간별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산업별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지역별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분산화된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폐쇄형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캐피탈콜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계약서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최초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납입일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환율변동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회피를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환헷지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캐피탈콜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추가투자신탁금을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NOTE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신용등급은</t>
        </r>
        <r>
          <rPr>
            <sz val="9"/>
            <color indexed="81"/>
            <rFont val="Tahoma"/>
            <family val="2"/>
          </rPr>
          <t xml:space="preserve"> A- </t>
        </r>
      </text>
    </comment>
    <comment ref="J148" authorId="0" shapeId="0" xr:uid="{00000000-0006-0000-0000-00000E000000}">
      <text>
        <r>
          <rPr>
            <sz val="9"/>
            <color indexed="81"/>
            <rFont val="Tahoma"/>
            <family val="2"/>
          </rPr>
          <t xml:space="preserve">2021.12.03 
</t>
        </r>
        <r>
          <rPr>
            <sz val="9"/>
            <color indexed="81"/>
            <rFont val="돋움"/>
            <family val="3"/>
            <charset val="129"/>
          </rPr>
          <t>업데이트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J150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은행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금융지주가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달러표시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
국내발행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상대적으로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달러표시채권에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환헤지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개월에서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거래통화</t>
        </r>
        <r>
          <rPr>
            <sz val="9"/>
            <color indexed="81"/>
            <rFont val="Tahoma"/>
            <family val="2"/>
          </rPr>
          <t xml:space="preserve"> : USD, EUR
</t>
        </r>
        <r>
          <rPr>
            <sz val="9"/>
            <color indexed="81"/>
            <rFont val="돋움"/>
            <family val="3"/>
            <charset val="129"/>
          </rPr>
          <t>기간</t>
        </r>
        <r>
          <rPr>
            <sz val="9"/>
            <color indexed="81"/>
            <rFont val="Tahoma"/>
            <family val="2"/>
          </rPr>
          <t xml:space="preserve"> : 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유럽소재</t>
        </r>
        <r>
          <rPr>
            <sz val="9"/>
            <color indexed="81"/>
            <rFont val="Tahoma"/>
            <family val="2"/>
          </rPr>
          <t xml:space="preserve"> Large mid cap </t>
        </r>
        <r>
          <rPr>
            <sz val="9"/>
            <color indexed="81"/>
            <rFont val="돋움"/>
            <family val="3"/>
            <charset val="129"/>
          </rPr>
          <t>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선순위대출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딜소싱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능력을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보유한</t>
        </r>
        <r>
          <rPr>
            <sz val="9"/>
            <color indexed="81"/>
            <rFont val="Tahoma"/>
            <family val="2"/>
          </rPr>
          <t xml:space="preserve"> ing</t>
        </r>
        <r>
          <rPr>
            <sz val="9"/>
            <color indexed="81"/>
            <rFont val="돋움"/>
            <family val="3"/>
            <charset val="129"/>
          </rPr>
          <t>은행이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제안하고</t>
        </r>
        <r>
          <rPr>
            <sz val="9"/>
            <color indexed="81"/>
            <rFont val="Tahoma"/>
            <family val="2"/>
          </rPr>
          <t xml:space="preserve"> river rock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선별적으로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펀드레버리지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없이</t>
        </r>
        <r>
          <rPr>
            <sz val="9"/>
            <color indexed="81"/>
            <rFont val="Tahoma"/>
            <family val="2"/>
          </rPr>
          <t xml:space="preserve"> NET IRR </t>
        </r>
        <r>
          <rPr>
            <sz val="9"/>
            <color indexed="81"/>
            <rFont val="돋움"/>
            <family val="3"/>
            <charset val="129"/>
          </rPr>
          <t>유로</t>
        </r>
        <r>
          <rPr>
            <sz val="9"/>
            <color indexed="81"/>
            <rFont val="Tahoma"/>
            <family val="2"/>
          </rPr>
          <t xml:space="preserve"> 4~5% </t>
        </r>
        <r>
          <rPr>
            <sz val="9"/>
            <color indexed="81"/>
            <rFont val="돋움"/>
            <family val="3"/>
            <charset val="129"/>
          </rPr>
          <t>목표로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전통적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선순위대출에만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RiverRock European Capital Partner LLP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역외펀드인</t>
        </r>
        <r>
          <rPr>
            <sz val="9"/>
            <color indexed="81"/>
            <rFont val="Tahoma"/>
            <family val="2"/>
          </rPr>
          <t xml:space="preserve"> river rock senior loan fund1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지분투자를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구조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위험</t>
        </r>
        <r>
          <rPr>
            <sz val="9"/>
            <color indexed="81"/>
            <rFont val="Tahoma"/>
            <family val="2"/>
          </rPr>
          <t xml:space="preserve"> : 4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원금에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RiverRock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2009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설립된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대체투자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전문회사로</t>
        </r>
        <r>
          <rPr>
            <sz val="9"/>
            <color indexed="81"/>
            <rFont val="Tahoma"/>
            <family val="2"/>
          </rPr>
          <t xml:space="preserve"> 53</t>
        </r>
        <r>
          <rPr>
            <sz val="9"/>
            <color indexed="81"/>
            <rFont val="돋움"/>
            <family val="3"/>
            <charset val="129"/>
          </rPr>
          <t>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임직원이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유럽회사</t>
        </r>
        <r>
          <rPr>
            <sz val="9"/>
            <color indexed="81"/>
            <rFont val="Tahoma"/>
            <family val="2"/>
          </rPr>
          <t xml:space="preserve"> direct lending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부동산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인프라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사모대출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투자플랫폼을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제공하고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
</t>
        </r>
      </text>
    </comment>
    <comment ref="J155" authorId="0" shapeId="0" xr:uid="{00000000-0006-0000-0000-000010000000}">
      <text>
        <r>
          <rPr>
            <sz val="9"/>
            <color indexed="81"/>
            <rFont val="돋움"/>
            <family val="3"/>
            <charset val="129"/>
          </rPr>
          <t>사모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패쇄형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단위형</t>
        </r>
        <r>
          <rPr>
            <sz val="9"/>
            <color indexed="81"/>
            <rFont val="Tahoma"/>
            <family val="2"/>
          </rPr>
          <t xml:space="preserve"> 
Global Direct Lending 2021 </t>
        </r>
        <r>
          <rPr>
            <sz val="9"/>
            <color indexed="81"/>
            <rFont val="돋움"/>
            <family val="3"/>
            <charset val="129"/>
          </rPr>
          <t>투자에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연동되어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발행되는</t>
        </r>
        <r>
          <rPr>
            <sz val="9"/>
            <color indexed="81"/>
            <rFont val="Tahoma"/>
            <family val="2"/>
          </rPr>
          <t xml:space="preserve"> Bain Capital Funding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9"/>
            <color indexed="81"/>
            <rFont val="돋움"/>
            <family val="3"/>
            <charset val="129"/>
          </rPr>
          <t>투자등급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폐쇄형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캐피탈콜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계약서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최초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납입일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환율변동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회피를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환헷지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캐피탈콜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추가투자신탁금을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NOTE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신용등급은</t>
        </r>
        <r>
          <rPr>
            <sz val="9"/>
            <color indexed="81"/>
            <rFont val="Tahoma"/>
            <family val="2"/>
          </rPr>
          <t xml:space="preserve"> A- </t>
        </r>
      </text>
    </comment>
    <comment ref="J161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북미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</t>
        </r>
        <r>
          <rPr>
            <sz val="9"/>
            <color indexed="81"/>
            <rFont val="Tahoma"/>
            <family val="2"/>
          </rPr>
          <t xml:space="preserve"> MIDDLE MARKET </t>
        </r>
        <r>
          <rPr>
            <sz val="9"/>
            <color indexed="81"/>
            <rFont val="돋움"/>
            <family val="3"/>
            <charset val="129"/>
          </rPr>
          <t>기업을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역외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집합투자기구와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아시아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지역기업들을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대상으로</t>
        </r>
        <r>
          <rPr>
            <sz val="9"/>
            <color indexed="81"/>
            <rFont val="Tahoma"/>
            <family val="2"/>
          </rPr>
          <t xml:space="preserve"> Capital solution, Deleveraging 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역외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집합투자기구의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각각</t>
        </r>
        <r>
          <rPr>
            <sz val="9"/>
            <color indexed="81"/>
            <rFont val="Tahoma"/>
            <family val="2"/>
          </rPr>
          <t xml:space="preserve"> 70:30 </t>
        </r>
        <r>
          <rPr>
            <sz val="9"/>
            <color indexed="81"/>
            <rFont val="돋움"/>
            <family val="3"/>
            <charset val="129"/>
          </rPr>
          <t>비율로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연동되어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발행되는</t>
        </r>
        <r>
          <rPr>
            <sz val="9"/>
            <color indexed="81"/>
            <rFont val="Tahoma"/>
            <family val="2"/>
          </rPr>
          <t xml:space="preserve"> Note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투자대상으로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기간별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산업별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지역별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분산화된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폐쇄형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캐피탈콜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계약서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최초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납입일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환율변동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회피를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환헷지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캐피탈콜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추가투자신탁금을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NOTE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신용등급은</t>
        </r>
        <r>
          <rPr>
            <sz val="9"/>
            <color indexed="81"/>
            <rFont val="Tahoma"/>
            <family val="2"/>
          </rPr>
          <t xml:space="preserve"> A- </t>
        </r>
      </text>
    </comment>
    <comment ref="J214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모투자신탁은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해외채권에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레그메이슨브랜디와인글로벌인컴펀드에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투자신탁재산의</t>
        </r>
        <r>
          <rPr>
            <sz val="9"/>
            <color indexed="81"/>
            <rFont val="Tahoma"/>
            <family val="2"/>
          </rPr>
          <t xml:space="preserve"> 60%</t>
        </r>
        <r>
          <rPr>
            <sz val="9"/>
            <color indexed="81"/>
            <rFont val="돋움"/>
            <family val="3"/>
            <charset val="129"/>
          </rPr>
          <t>이상을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미국을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전세계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회사채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하이일드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이머징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레그메이슨브랜디와인글로벌인컴펀드를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피투자펀드로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다양한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시장상황에서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수익률을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극대화하여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J226" authorId="0" shapeId="0" xr:uid="{00000000-0006-0000-0000-000013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주식형 펀드
이 투자신탁의 모투자신탁은 해외주식에 주로 투자하는 프랭클린테크놀로지 펀드에 투자신탁 재산의 60% 이상을투자하여 수익을 추구하는 펀드 
미국을 포함한 전세계 테크놀로지의 개발, 발전 및 활용을 통해 
이익을 창출할 것으로 예상되는 기업의 주식에 투자하여 수익을 추구하기 위해 프랭클린 테크놀로지 펀드를 피투자펀드로 선정. 
미국 및 전세계 테크놀로지 주식에 투자하여 성장기회를 추구 
</t>
        </r>
      </text>
    </comment>
    <comment ref="J241" authorId="0" shapeId="0" xr:uid="{00000000-0006-0000-0000-000014000000}">
      <text>
        <r>
          <rPr>
            <sz val="9"/>
            <color indexed="81"/>
            <rFont val="맑은 고딕"/>
            <family val="2"/>
            <charset val="129"/>
          </rPr>
          <t xml:space="preserve">개방형, 추가형, 증권형 (혼합채권-재간접형) 
4등급 
국내외 주식, 채권 및 대체자산 관련 집합투자증권에 주로 투자하는 투자신탁으로 장기적인 목표수익률을 연환산 4-5%로 설정하고 글로벌 자산배분모델 등을 활용하여 국내외 주식, 채권 및 대체자산 등 다양한 자산에 투자하여 목표 수익률 달성을 추구하는펀드 
고위험자산에는 50% 미만 투자 
(주식,상품, 파생상품 등) 
</t>
        </r>
      </text>
    </comment>
    <comment ref="J257" authorId="0" shapeId="0" xr:uid="{00000000-0006-0000-0000-000015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개방형, 추가형, 종류형 
국내외 상장된 ETF 중 미국, 중국, 한국 등 BBIG (배터리, 바이오, 인터넷, 게임 등) 업종 및 기타 연관 산업에 투자, 로보어드바이저 알로리즘 활용
외화표시자산 순자산총액의 90% 범위내에서 환헤지 실행
</t>
        </r>
      </text>
    </comment>
    <comment ref="J262" authorId="0" shapeId="0" xr:uid="{00000000-0006-0000-0000-000016000000}">
      <text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MG </t>
        </r>
        <r>
          <rPr>
            <sz val="9"/>
            <color indexed="81"/>
            <rFont val="돋움"/>
            <family val="3"/>
            <charset val="129"/>
          </rPr>
          <t>손보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J269" authorId="0" shapeId="0" xr:uid="{00000000-0006-0000-0000-000017000000}">
      <text>
        <r>
          <rPr>
            <sz val="9"/>
            <color indexed="81"/>
            <rFont val="돋움"/>
            <family val="3"/>
            <charset val="129"/>
          </rPr>
          <t>혼합자산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모자형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미국시장에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우선주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하이일드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리츠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다양한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투자사는</t>
        </r>
        <r>
          <rPr>
            <sz val="9"/>
            <color indexed="81"/>
            <rFont val="Tahoma"/>
            <family val="2"/>
          </rPr>
          <t xml:space="preserve"> ETF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분산투자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구성하여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적극적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안정된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펀드임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환헤지는</t>
        </r>
        <r>
          <rPr>
            <sz val="9"/>
            <color indexed="81"/>
            <rFont val="Tahoma"/>
            <family val="2"/>
          </rPr>
          <t xml:space="preserve"> 80~100% </t>
        </r>
        <r>
          <rPr>
            <sz val="9"/>
            <color indexed="81"/>
            <rFont val="돋움"/>
            <family val="3"/>
            <charset val="129"/>
          </rPr>
          <t>실시예정임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J270" authorId="0" shapeId="0" xr:uid="{00000000-0006-0000-0000-000018000000}">
      <text>
        <r>
          <rPr>
            <sz val="9"/>
            <color indexed="81"/>
            <rFont val="돋움"/>
            <family val="3"/>
            <charset val="129"/>
          </rPr>
          <t>해외투자분의</t>
        </r>
        <r>
          <rPr>
            <sz val="9"/>
            <color indexed="81"/>
            <rFont val="Tahoma"/>
            <family val="2"/>
          </rPr>
          <t xml:space="preserve"> 80~100% </t>
        </r>
        <r>
          <rPr>
            <sz val="9"/>
            <color indexed="81"/>
            <rFont val="돋움"/>
            <family val="3"/>
            <charset val="129"/>
          </rPr>
          <t>수준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국고채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통안채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신용등급</t>
        </r>
        <r>
          <rPr>
            <sz val="9"/>
            <color indexed="81"/>
            <rFont val="Tahoma"/>
            <family val="2"/>
          </rPr>
          <t xml:space="preserve"> A- </t>
        </r>
        <r>
          <rPr>
            <sz val="9"/>
            <color indexed="81"/>
            <rFont val="돋움"/>
            <family val="3"/>
            <charset val="129"/>
          </rPr>
          <t>이상의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채권에</t>
        </r>
        <r>
          <rPr>
            <sz val="9"/>
            <color indexed="81"/>
            <rFont val="Tahoma"/>
            <family val="2"/>
          </rPr>
          <t xml:space="preserve"> 60%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해외에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혼합채권형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종류형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J271" authorId="0" shapeId="0" xr:uid="{00000000-0006-0000-0000-000019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추가형, 개방형, 종류형 
증권(재간접형) 
투자목적 : 국내외 주식 채권 대체자산 등에 주로 투자하는 집합투자증권을 주된 투자대상자산으로 하여 수익을 추구하는 것을 목적으로 함. 
</t>
        </r>
      </text>
    </comment>
    <comment ref="J274" authorId="0" shapeId="0" xr:uid="{00000000-0006-0000-0000-00001A000000}">
      <text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MG </t>
        </r>
        <r>
          <rPr>
            <sz val="9"/>
            <color indexed="81"/>
            <rFont val="돋움"/>
            <family val="3"/>
            <charset val="129"/>
          </rPr>
          <t>손보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J276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해외시장에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상장된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투자신탁재산의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대부분을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상승에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자본소득을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모자형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J277" authorId="0" shapeId="0" xr:uid="{00000000-0006-0000-0000-00001C000000}">
      <text>
        <r>
          <rPr>
            <sz val="9"/>
            <color indexed="81"/>
            <rFont val="Tahoma"/>
            <family val="2"/>
          </rPr>
          <t>BPEA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아시아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성장형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경영권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매수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펀드는</t>
        </r>
        <r>
          <rPr>
            <sz val="9"/>
            <color indexed="81"/>
            <rFont val="Tahoma"/>
            <family val="2"/>
          </rPr>
          <t xml:space="preserve"> baring private equity asia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hexaware </t>
        </r>
        <r>
          <rPr>
            <sz val="9"/>
            <color indexed="81"/>
            <rFont val="돋움"/>
            <family val="3"/>
            <charset val="129"/>
          </rPr>
          <t>인수금융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중순위대출채권에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투자함</t>
        </r>
        <r>
          <rPr>
            <sz val="9"/>
            <color indexed="81"/>
            <rFont val="Tahoma"/>
            <family val="2"/>
          </rPr>
          <t xml:space="preserve"> 
Hexaware :  </t>
        </r>
        <r>
          <rPr>
            <sz val="9"/>
            <color indexed="81"/>
            <rFont val="돋움"/>
            <family val="3"/>
            <charset val="129"/>
          </rPr>
          <t>인도</t>
        </r>
        <r>
          <rPr>
            <sz val="9"/>
            <color indexed="81"/>
            <rFont val="Tahoma"/>
            <family val="2"/>
          </rPr>
          <t>it</t>
        </r>
        <r>
          <rPr>
            <sz val="9"/>
            <color indexed="81"/>
            <rFont val="돋움"/>
            <family val="3"/>
            <charset val="129"/>
          </rPr>
          <t>솔루션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기업</t>
        </r>
        <r>
          <rPr>
            <sz val="9"/>
            <color indexed="81"/>
            <rFont val="Tahoma"/>
            <family val="2"/>
          </rPr>
          <t xml:space="preserve"> , </t>
        </r>
        <r>
          <rPr>
            <sz val="9"/>
            <color indexed="81"/>
            <rFont val="돋움"/>
            <family val="3"/>
            <charset val="129"/>
          </rPr>
          <t>정보기술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비지니스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프로세스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아웃소싱제공업체
동사의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>, 1990</t>
        </r>
        <r>
          <rPr>
            <sz val="9"/>
            <color indexed="81"/>
            <rFont val="돋움"/>
            <family val="3"/>
            <charset val="129"/>
          </rPr>
          <t>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설립된</t>
        </r>
        <r>
          <rPr>
            <sz val="9"/>
            <color indexed="81"/>
            <rFont val="Tahoma"/>
            <family val="2"/>
          </rPr>
          <t xml:space="preserve"> IT</t>
        </r>
        <r>
          <rPr>
            <sz val="9"/>
            <color indexed="81"/>
            <rFont val="돋움"/>
            <family val="3"/>
            <charset val="129"/>
          </rPr>
          <t>서비스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업체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>ib</t>
        </r>
        <r>
          <rPr>
            <sz val="9"/>
            <color indexed="81"/>
            <rFont val="돋움"/>
            <family val="3"/>
            <charset val="129"/>
          </rPr>
          <t>들도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참여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포인트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안정적인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성장성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우수한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안정성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가시성
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신뢰도와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투명성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우수한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재무안정성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현금창출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능력
모집금액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천만불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상당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투자원금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감안하여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신한금융투자가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중순위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대출채권을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양수할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예정이며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중순위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차주발생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담보로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제공됨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원리금은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상환되는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농협중앙회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단독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캐피탈콜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약정가능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>or 12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fwd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예정임</t>
        </r>
        <r>
          <rPr>
            <sz val="9"/>
            <color indexed="81"/>
            <rFont val="Tahoma"/>
            <family val="2"/>
          </rPr>
          <t xml:space="preserve">
BPEA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아시아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사모펀드로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투자수익률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실현중이며</t>
        </r>
        <r>
          <rPr>
            <sz val="9"/>
            <color indexed="81"/>
            <rFont val="Tahoma"/>
            <family val="2"/>
          </rPr>
          <t xml:space="preserve"> BPEA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파트너들은</t>
        </r>
        <r>
          <rPr>
            <sz val="9"/>
            <color indexed="81"/>
            <rFont val="Tahoma"/>
            <family val="2"/>
          </rPr>
          <t xml:space="preserve"> IT</t>
        </r>
        <r>
          <rPr>
            <sz val="9"/>
            <color indexed="81"/>
            <rFont val="돋움"/>
            <family val="3"/>
            <charset val="129"/>
          </rPr>
          <t>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투자경험이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풍부하여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성공적인</t>
        </r>
        <r>
          <rPr>
            <sz val="9"/>
            <color indexed="81"/>
            <rFont val="Tahoma"/>
            <family val="2"/>
          </rPr>
          <t xml:space="preserve"> VALUE-UP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시현함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펀드만기</t>
        </r>
        <r>
          <rPr>
            <sz val="9"/>
            <color indexed="81"/>
            <rFont val="Tahoma"/>
            <family val="2"/>
          </rPr>
          <t xml:space="preserve"> : 5</t>
        </r>
        <r>
          <rPr>
            <sz val="9"/>
            <color indexed="81"/>
            <rFont val="돋움"/>
            <family val="3"/>
            <charset val="129"/>
          </rPr>
          <t>년이나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주요투자대상자산의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투자원리금회수금원과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조기상환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J278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과학기술공제회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전문건설공제조합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J279" authorId="0" shapeId="0" xr:uid="{00000000-0006-0000-0000-00001E000000}">
      <text>
        <r>
          <rPr>
            <sz val="9"/>
            <color indexed="81"/>
            <rFont val="돋움"/>
            <family val="3"/>
            <charset val="129"/>
          </rPr>
          <t>증권형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국내외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채권등에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국내외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대체자산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분산투자를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
자본이득을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주요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>이내
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실행예정임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J307" authorId="0" shapeId="0" xr:uid="{00000000-0006-0000-0000-00001F000000}">
      <text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투자대상으로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80% 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J308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AB Sustainable global 
thematic portfolio class
</t>
        </r>
        <r>
          <rPr>
            <sz val="9"/>
            <color indexed="81"/>
            <rFont val="돋움"/>
            <family val="3"/>
            <charset val="129"/>
          </rPr>
          <t>해외거래소에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해외지수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추종</t>
        </r>
        <r>
          <rPr>
            <sz val="9"/>
            <color indexed="81"/>
            <rFont val="Tahoma"/>
            <family val="2"/>
          </rPr>
          <t xml:space="preserve">  etf </t>
        </r>
        <r>
          <rPr>
            <sz val="9"/>
            <color indexed="81"/>
            <rFont val="돋움"/>
            <family val="3"/>
            <charset val="129"/>
          </rPr>
          <t>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주요투자대상으로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환헤지는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>원칙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J311" authorId="0" shapeId="0" xr:uid="{00000000-0006-0000-0000-000021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증권형, 개방형, 추가형 
채권관련 집합투자증권에 투자하는 모투자신탁의 수익증권을 주된 투자대상자산으로 함 
아시아채권에 투자하는 해외 PIMCO FUND 애 재간접으로 투자 
주요통화표시 아시아 크레딧 채권 펀드로 유연한 투자전략을 구사하여 투자자에게 매력적이고 안정적인 인컴을 제공하는 것을 주된 목적으로 함. 
벤치마크 :  JP MORGAN ASIA CREDIT INDEX 
</t>
        </r>
      </text>
    </comment>
    <comment ref="J312" authorId="0" shapeId="0" xr:uid="{00000000-0006-0000-0000-000022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증권형, 개방형, 추가형 
채권관련 집합투자증권에 투자하는 모투자신탁의 수익증권을 주된 투자대상자산으로 함 
</t>
        </r>
      </text>
    </comment>
    <comment ref="J326" authorId="0" shapeId="0" xr:uid="{00000000-0006-0000-0000-000023000000}">
      <text>
        <r>
          <rPr>
            <sz val="9"/>
            <color indexed="81"/>
            <rFont val="돋움"/>
            <family val="3"/>
            <charset val="129"/>
          </rPr>
          <t>증권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재간접형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종류형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목표시점을</t>
        </r>
        <r>
          <rPr>
            <sz val="9"/>
            <color indexed="81"/>
            <rFont val="Tahoma"/>
            <family val="2"/>
          </rPr>
          <t xml:space="preserve"> 2050</t>
        </r>
        <r>
          <rPr>
            <sz val="9"/>
            <color indexed="81"/>
            <rFont val="돋움"/>
            <family val="3"/>
            <charset val="129"/>
          </rPr>
          <t>년으로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시장상황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한국인의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생애주기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대체자산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집합투자증권의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투자비중을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탄력적으로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순자산평가액의</t>
        </r>
        <r>
          <rPr>
            <sz val="9"/>
            <color indexed="81"/>
            <rFont val="Tahoma"/>
            <family val="2"/>
          </rPr>
          <t xml:space="preserve"> 70+-30%</t>
        </r>
        <r>
          <rPr>
            <sz val="9"/>
            <color indexed="81"/>
            <rFont val="돋움"/>
            <family val="3"/>
            <charset val="129"/>
          </rPr>
          <t>수준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J332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증권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재간접형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모자형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종류형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외화표시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자산의</t>
        </r>
        <r>
          <rPr>
            <sz val="9"/>
            <color indexed="81"/>
            <rFont val="Tahoma"/>
            <family val="2"/>
          </rPr>
          <t xml:space="preserve"> 90% </t>
        </r>
        <r>
          <rPr>
            <sz val="9"/>
            <color indexed="81"/>
            <rFont val="돋움"/>
            <family val="3"/>
            <charset val="129"/>
          </rPr>
          <t>수준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헤지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테크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미디어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통신서비스포함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경제활동을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집합투자증권</t>
        </r>
        <r>
          <rPr>
            <sz val="9"/>
            <color indexed="81"/>
            <rFont val="Tahoma"/>
            <family val="2"/>
          </rPr>
          <t xml:space="preserve"> (JP MORGAN FUND)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US TECHNOLOGY FUND 
-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리서치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플렛폼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숙련된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매니저</t>
        </r>
        <r>
          <rPr>
            <sz val="9"/>
            <color indexed="81"/>
            <rFont val="Tahoma"/>
            <family val="2"/>
          </rPr>
          <t xml:space="preserve"> 
- </t>
        </r>
        <r>
          <rPr>
            <sz val="9"/>
            <color indexed="81"/>
            <rFont val="돋움"/>
            <family val="3"/>
            <charset val="129"/>
          </rPr>
          <t>테크섹터에서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유연한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</t>
        </r>
        <r>
          <rPr>
            <sz val="9"/>
            <color indexed="81"/>
            <rFont val="Tahoma"/>
            <family val="2"/>
          </rPr>
          <t xml:space="preserve"> 
- </t>
        </r>
        <r>
          <rPr>
            <sz val="9"/>
            <color indexed="81"/>
            <rFont val="돋움"/>
            <family val="3"/>
            <charset val="129"/>
          </rPr>
          <t>테크섹터에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집중하여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장기적으로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자본이익을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J347" authorId="1" shapeId="0" xr:uid="{00000000-0006-0000-0000-00002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J348" authorId="0" shapeId="0" xr:uid="{00000000-0006-0000-0000-000026000000}">
      <text>
        <r>
          <rPr>
            <sz val="9"/>
            <color indexed="81"/>
            <rFont val="돋움"/>
            <family val="3"/>
            <charset val="129"/>
          </rPr>
          <t xml:space="preserve">
투자전략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투자신탁재산의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대부분을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 
(</t>
        </r>
        <r>
          <rPr>
            <sz val="9"/>
            <color indexed="81"/>
            <rFont val="돋움"/>
            <family val="3"/>
            <charset val="129"/>
          </rPr>
          <t>하이일드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전환사채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주택저당증권</t>
        </r>
        <r>
          <rPr>
            <sz val="9"/>
            <color indexed="81"/>
            <rFont val="Tahoma"/>
            <family val="2"/>
          </rPr>
          <t xml:space="preserve">(MBS) </t>
        </r>
        <r>
          <rPr>
            <sz val="9"/>
            <color indexed="81"/>
            <rFont val="돋움"/>
            <family val="3"/>
            <charset val="129"/>
          </rPr>
          <t>자산유동화증권</t>
        </r>
        <r>
          <rPr>
            <sz val="9"/>
            <color indexed="81"/>
            <rFont val="Tahoma"/>
            <family val="2"/>
          </rPr>
          <t xml:space="preserve">(ABS) </t>
        </r>
        <r>
          <rPr>
            <sz val="9"/>
            <color indexed="81"/>
            <rFont val="돋움"/>
            <family val="3"/>
            <charset val="129"/>
          </rPr>
          <t>등에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집합투자증권에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추구함</t>
        </r>
        <r>
          <rPr>
            <sz val="9"/>
            <color indexed="81"/>
            <rFont val="Tahoma"/>
            <family val="2"/>
          </rPr>
          <t xml:space="preserve">.
PIMCO Funds: Global Investors Series plc - Income Fund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종류형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모자형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혼합자산</t>
        </r>
        <r>
          <rPr>
            <sz val="9"/>
            <color indexed="81"/>
            <rFont val="Tahoma"/>
            <family val="2"/>
          </rPr>
          <t xml:space="preserve"> 
PIMCO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시장상황에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다양한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분산투자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꾸준하고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안정적인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인컴펀드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자본보전을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추구하면서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쌓아가는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J349" authorId="2" shapeId="0" xr:uid="{00000000-0006-0000-0000-000027000000}">
      <text>
        <r>
          <rPr>
            <b/>
            <sz val="9"/>
            <color indexed="81"/>
            <rFont val="돋움"/>
            <family val="3"/>
            <charset val="129"/>
          </rPr>
          <t>중국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본토와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역외주식에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상위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종목에</t>
        </r>
        <r>
          <rPr>
            <b/>
            <sz val="9"/>
            <color indexed="81"/>
            <rFont val="Tahoma"/>
            <family val="2"/>
          </rPr>
          <t xml:space="preserve"> 60% </t>
        </r>
        <r>
          <rPr>
            <b/>
            <sz val="9"/>
            <color indexed="81"/>
            <rFont val="돋움"/>
            <family val="3"/>
            <charset val="129"/>
          </rPr>
          <t>수준으로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내재가치와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성장성이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기업에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투자함</t>
        </r>
        <r>
          <rPr>
            <b/>
            <sz val="9"/>
            <color indexed="81"/>
            <rFont val="Tahoma"/>
            <family val="2"/>
          </rPr>
          <t xml:space="preserve">.  </t>
        </r>
        <r>
          <rPr>
            <b/>
            <sz val="9"/>
            <color indexed="81"/>
            <rFont val="돋움"/>
            <family val="3"/>
            <charset val="129"/>
          </rPr>
          <t>환헤지는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자산의</t>
        </r>
        <r>
          <rPr>
            <b/>
            <sz val="9"/>
            <color indexed="81"/>
            <rFont val="Tahoma"/>
            <family val="2"/>
          </rPr>
          <t xml:space="preserve"> 90%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헤지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J352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MasterVD: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사모펀드로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환매신청을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상황이며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부실자산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상환이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지연되고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유동성관리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미국에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초단기</t>
        </r>
        <r>
          <rPr>
            <sz val="9"/>
            <color indexed="81"/>
            <rFont val="Tahoma"/>
            <family val="2"/>
          </rPr>
          <t xml:space="preserve"> etf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2023.06.30 </t>
        </r>
        <r>
          <rPr>
            <sz val="9"/>
            <color indexed="81"/>
            <rFont val="돋움"/>
            <family val="3"/>
            <charset val="129"/>
          </rPr>
          <t>평가기준일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
순자산가치</t>
        </r>
        <r>
          <rPr>
            <sz val="9"/>
            <color indexed="81"/>
            <rFont val="Tahoma"/>
            <family val="2"/>
          </rPr>
          <t xml:space="preserve"> 703,724,771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MasterVD</author>
  </authors>
  <commentList>
    <comment ref="I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맑은 고딕"/>
            <family val="2"/>
            <charset val="129"/>
          </rPr>
          <t xml:space="preserve">추가형, 종류형, 모자형 
메타버스 및 우주산업 관련 업종에서 시장을 선도하는 우량한 글로벌 주식에 장기 투자하여 수익 달성 
국내 시장 및 미국, 유럽, 일본, 홍콩, 중국본토 등 글로벌
시장에서 상장된 메타버스 및 우주산업 관련 선도기업에 
투자하여 장기적인 수익추구 
선별된 메타버스 및 우주산업 관련 종목 투자 및 테마 ETF투자
모투자신탁의 외화자산의 80% 수준으로 환헤지 실시 
</t>
        </r>
      </text>
    </comment>
    <comment ref="I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맑은 고딕"/>
            <family val="2"/>
            <charset val="129"/>
          </rPr>
          <t xml:space="preserve">추가형, 종류형, 모자형 
메타버스 및 우주산업 관련 업종에서 시장을 선도하는 우량한 글로벌 주식에 장기 투자하여 수익 달성 
국내 시장 및 미국, 유럽, 일본, 홍콩, 중국본토 등 글로벌
시장에서 상장된 메타버스 및 우주산업 관련 선도기업에 
투자하여 장기적인 수익추구 
선별된 메타버스 및 우주산업 관련 종목 투자 및 테마 ETF투자
모투자신탁의 외화자산의 80% 수준으로 환헤지 실시 
</t>
        </r>
      </text>
    </comment>
    <comment ref="I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채권혼합형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공모형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추가형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개방형
중국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기업이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채권에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안정적인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이자수익을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추구하는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상장된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중국
본토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공모주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투자전략으로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집합투자기구에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선별적으로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장기적으로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벤치마크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초과수익을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추구함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환율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변동성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80~100% </t>
        </r>
        <r>
          <rPr>
            <b/>
            <sz val="9"/>
            <color indexed="81"/>
            <rFont val="돋움"/>
            <family val="3"/>
            <charset val="129"/>
          </rPr>
          <t>수준으로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환헤지실시할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예정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해외자산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익스포져</t>
        </r>
        <r>
          <rPr>
            <b/>
            <sz val="9"/>
            <color indexed="81"/>
            <rFont val="Tahoma"/>
            <family val="2"/>
          </rPr>
          <t xml:space="preserve"> 60~90% </t>
        </r>
        <r>
          <rPr>
            <b/>
            <sz val="9"/>
            <color indexed="81"/>
            <rFont val="돋움"/>
            <family val="3"/>
            <charset val="129"/>
          </rPr>
          <t>안에서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높은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신용등급을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보유한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중국채권투자를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안정적인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이자수익추구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중국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본토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거래소에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상장된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우량주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과학혁신판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투자
</t>
        </r>
      </text>
    </comment>
    <comment ref="I8" authorId="0" shapeId="0" xr:uid="{00000000-0006-0000-0200-000004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
증권(재간접형) 개방형, 추가형, 사모형 
이 투자신탁은 채권에 주로 투자하는 집합투자기구의 집합투자증권을 주된 투자대상으로 하여 수익을 추구하는 것을 목적으로 함.
</t>
        </r>
      </text>
    </comment>
    <comment ref="I13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운용규모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펀드설정일</t>
        </r>
        <r>
          <rPr>
            <sz val="9"/>
            <color indexed="81"/>
            <rFont val="Tahoma"/>
            <family val="2"/>
          </rPr>
          <t xml:space="preserve"> 2022.07.11
</t>
        </r>
        <r>
          <rPr>
            <sz val="9"/>
            <color indexed="81"/>
            <rFont val="돋움"/>
            <family val="3"/>
            <charset val="129"/>
          </rPr>
          <t>통화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테너</t>
        </r>
        <r>
          <rPr>
            <sz val="9"/>
            <color indexed="81"/>
            <rFont val="Tahoma"/>
            <family val="2"/>
          </rPr>
          <t xml:space="preserve"> : USD, GBP, EUR, JPYR, HKD / 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사모형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해외에서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집합투자증권에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편입할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예정이며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레버리지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인버스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해외채권</t>
        </r>
        <r>
          <rPr>
            <sz val="9"/>
            <color indexed="81"/>
            <rFont val="Tahoma"/>
            <family val="2"/>
          </rPr>
          <t xml:space="preserve"> etf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초장기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중장기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축채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이머징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투자함</t>
        </r>
        <r>
          <rPr>
            <sz val="9"/>
            <color indexed="81"/>
            <rFont val="Tahoma"/>
            <family val="2"/>
          </rPr>
          <t xml:space="preserve">. 
</t>
        </r>
      </text>
    </comment>
    <comment ref="I42" authorId="0" shapeId="0" xr:uid="{00000000-0006-0000-0200-000006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
증권형, 개방형, 추가형, 종류형
집합투자재산의 50% 이상을 증권에 투자하는 집합투자기구
글로벌 증권 시장에 상장된 구독경제 관련 상장지수 
집합투자기국의 집합투자증권 및 주식 등에 투자하여 장기적으로 투자대상자산의 가치상승에 따른 수익을 추구 하는 펀드 
구독경제 : 반복적인 매출을 통해 안정적인 현금흐름을 제공함으로써 장기 성장성이 기대되는 산업 
80% 내외로 환헤지 수행 예정임. 
</t>
        </r>
      </text>
    </comment>
    <comment ref="I43" authorId="0" shapeId="0" xr:uid="{00000000-0006-0000-0200-000007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운용규모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펀드설정일</t>
        </r>
        <r>
          <rPr>
            <sz val="9"/>
            <color indexed="81"/>
            <rFont val="Tahoma"/>
            <family val="2"/>
          </rPr>
          <t xml:space="preserve"> 2022.07.11
</t>
        </r>
        <r>
          <rPr>
            <sz val="9"/>
            <color indexed="81"/>
            <rFont val="돋움"/>
            <family val="3"/>
            <charset val="129"/>
          </rPr>
          <t>통화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테너</t>
        </r>
        <r>
          <rPr>
            <sz val="9"/>
            <color indexed="81"/>
            <rFont val="Tahoma"/>
            <family val="2"/>
          </rPr>
          <t xml:space="preserve"> : USD, GBP, EUR, JPYR, HKD / 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사모형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해외에서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집합투자증권에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편입할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예정이며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레버리지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인버스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해외채권</t>
        </r>
        <r>
          <rPr>
            <sz val="9"/>
            <color indexed="81"/>
            <rFont val="Tahoma"/>
            <family val="2"/>
          </rPr>
          <t xml:space="preserve"> etf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초장기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중장기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축채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이머징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투자함</t>
        </r>
        <r>
          <rPr>
            <sz val="9"/>
            <color indexed="81"/>
            <rFont val="Tahoma"/>
            <family val="2"/>
          </rPr>
          <t xml:space="preserve">. 
</t>
        </r>
      </text>
    </comment>
    <comment ref="I44" authorId="0" shapeId="0" xr:uid="{00000000-0006-0000-0200-000008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
운용규모 : 1,000억원 
펀드설정일 : 2022.08.05
예상테너 : 6개월 
증권형, 개방형, 추가형, 사모형 
집합투자재산의 100분의 50을 초과하여 증권에 투자하는 집합투자기구 
채권, 주식, 자산유동화증권, 어음 등 
운용전략 : TOP-DOWN 글로벌 자산배분 프로세스
BOTTOM UP 분석으로 세부 자산군/투자 ETF 선정 및 비중 결정 
</t>
        </r>
      </text>
    </comment>
    <comment ref="I47" authorId="0" shapeId="0" xr:uid="{00000000-0006-0000-0200-000009000000}">
      <text>
        <r>
          <rPr>
            <sz val="9"/>
            <color indexed="81"/>
            <rFont val="돋움"/>
            <family val="3"/>
            <charset val="129"/>
          </rPr>
          <t>운용규모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약</t>
        </r>
        <r>
          <rPr>
            <sz val="9"/>
            <color indexed="81"/>
            <rFont val="Tahoma"/>
            <family val="2"/>
          </rPr>
          <t xml:space="preserve"> 500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통화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테너</t>
        </r>
        <r>
          <rPr>
            <sz val="9"/>
            <color indexed="81"/>
            <rFont val="Tahoma"/>
            <family val="2"/>
          </rPr>
          <t xml:space="preserve"> : USD, EUR, JPY, HKD, GBP 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스타일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섹터를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주식형</t>
        </r>
        <r>
          <rPr>
            <sz val="9"/>
            <color indexed="81"/>
            <rFont val="Tahoma"/>
            <family val="2"/>
          </rPr>
          <t xml:space="preserve"> EMP 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중심으로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섹터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적극적인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위험조정수익률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극대화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8" authorId="0" shapeId="0" xr:uid="{00000000-0006-0000-0200-00000A000000}">
      <text>
        <r>
          <rPr>
            <sz val="9"/>
            <color indexed="81"/>
            <rFont val="돋움"/>
            <family val="3"/>
            <charset val="129"/>
          </rPr>
          <t xml:space="preserve">
운용전략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시장의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추종하여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상승장에서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극대화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하락장에서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위험자산간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효과를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가져오는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모멘텀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위험자산과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안전자산간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효과를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가져오는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모멘텀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자산별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60%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대체자산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
1. </t>
        </r>
        <r>
          <rPr>
            <sz val="9"/>
            <color indexed="81"/>
            <rFont val="돋움"/>
            <family val="3"/>
            <charset val="129"/>
          </rPr>
          <t>최근</t>
        </r>
        <r>
          <rPr>
            <sz val="9"/>
            <color indexed="81"/>
            <rFont val="Tahoma"/>
            <family val="2"/>
          </rPr>
          <t xml:space="preserve"> 1,3,6,12 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평균수익률을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상위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>내외의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>선정된</t>
        </r>
        <r>
          <rPr>
            <sz val="9"/>
            <color indexed="81"/>
            <rFont val="Tahoma"/>
            <family val="2"/>
          </rPr>
          <t xml:space="preserve"> ETF </t>
        </r>
        <r>
          <rPr>
            <sz val="9"/>
            <color indexed="81"/>
            <rFont val="돋움"/>
            <family val="3"/>
            <charset val="129"/>
          </rPr>
          <t>각각의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음의값을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채권형</t>
        </r>
        <r>
          <rPr>
            <sz val="9"/>
            <color indexed="81"/>
            <rFont val="Tahoma"/>
            <family val="2"/>
          </rPr>
          <t xml:space="preserve"> ETF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
3. </t>
        </r>
        <r>
          <rPr>
            <sz val="9"/>
            <color indexed="81"/>
            <rFont val="돋움"/>
            <family val="3"/>
            <charset val="129"/>
          </rPr>
          <t>시장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sz val="9"/>
            <color indexed="81"/>
            <rFont val="돋움"/>
            <family val="3"/>
            <charset val="129"/>
          </rPr>
          <t>대체자산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비중의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4. 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성과가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비중을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축소해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안정성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향상
</t>
        </r>
      </text>
    </comment>
    <comment ref="I49" authorId="0" shapeId="0" xr:uid="{00000000-0006-0000-0200-00000B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
단독수익자 
개방형, 추가형 펀드 
투자전략 : 투자신탁의 대부분을 글로벌 주식 관련 상장지수집합투자기구의 집합투자증권 (ETF) 에 분산투자하여 장기적으로 투자대상자산의 가치상승에 따른 수익을 추구하는 펀드 
집합투자증권에의 투자는 이 투자신탁 자산총액의 60% 이상을 함.  </t>
        </r>
      </text>
    </comment>
    <comment ref="I51" authorId="0" shapeId="0" xr:uid="{00000000-0006-0000-0200-00000C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
테너 :6개월 
규모 : 1000억원이상 
운용전략 : 시장의 추세를 추종하며 상승장에서 수익 극대화, 하락장에서 리스크 관리 
자산별 비중 한도 설정 
주식 60% 이하, 채권 40% 이상, 대체자산 20% 이하 
EMP (ETF Mnaaged Portfolio)를 통한 적극적 멀티에셋 
자산배분 펀드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MasterVD</author>
  </authors>
  <commentList>
    <comment ref="I2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운용보고서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수신</t>
        </r>
        <r>
          <rPr>
            <b/>
            <sz val="9"/>
            <color indexed="81"/>
            <rFont val="Tahoma"/>
            <family val="2"/>
          </rPr>
          <t xml:space="preserve"> (202106)</t>
        </r>
      </text>
    </comment>
    <comment ref="I4" authorId="0" shapeId="0" xr:uid="{00000000-0006-0000-0300-000002000000}">
      <text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중소기업중앙회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홈앤캐피탈
사모형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패쇄형
</t>
        </r>
        <r>
          <rPr>
            <sz val="9"/>
            <color indexed="81"/>
            <rFont val="Tahoma"/>
            <family val="2"/>
          </rPr>
          <t xml:space="preserve">CAPITAL CALL </t>
        </r>
        <r>
          <rPr>
            <sz val="9"/>
            <color indexed="81"/>
            <rFont val="돋움"/>
            <family val="3"/>
            <charset val="129"/>
          </rPr>
          <t>약정서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보유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무역금융채권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가입되어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: 80% 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" authorId="0" shapeId="0" xr:uid="{00000000-0006-0000-0300-000003000000}">
      <text>
        <r>
          <rPr>
            <sz val="9"/>
            <color indexed="81"/>
            <rFont val="돋움"/>
            <family val="3"/>
            <charset val="129"/>
          </rPr>
          <t xml:space="preserve">수익자 : 전문건설공제회 
전문투자형, 증권형, 사모형, 단위형, 패쇄형 
설정금액 2천만불 
파생결합사채(노트)에 주로 투자 
신탁재산의 대부분을 USD CMS 30Y 금리-USD CMS 2Y 금리스프레드 및 USD CMS 10Y 금리에 연계된 USD 노트에 투자 
환율 상승 시 추가납입 자금보충약정 가능 
환헤지 6개월로 예정임.
CMS  이자율스왑 : 특정 국의 금리 변동 리스크를 헤지하기 위한 금융파생상품 
CMS 금리 : 고정금리와 변동금리를 맞바꾼 금리 
예탁원 종목 코드 : KRZ502471480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9" authorId="0" shapeId="0" xr:uid="{00000000-0006-0000-0300-000004000000}">
      <text>
        <r>
          <rPr>
            <sz val="9"/>
            <color indexed="81"/>
            <rFont val="돋움"/>
            <family val="3"/>
            <charset val="129"/>
          </rPr>
          <t>채권형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사모형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단위형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패쇄형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천만불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상당</t>
        </r>
        <r>
          <rPr>
            <sz val="9"/>
            <color indexed="81"/>
            <rFont val="Tahoma"/>
            <family val="2"/>
          </rPr>
          <t xml:space="preserve">,  </t>
        </r>
        <r>
          <rPr>
            <sz val="9"/>
            <color indexed="81"/>
            <rFont val="돋움"/>
            <family val="3"/>
            <charset val="129"/>
          </rPr>
          <t>투자위험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등급
신탁재산의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대부분을</t>
        </r>
        <r>
          <rPr>
            <sz val="9"/>
            <color indexed="81"/>
            <rFont val="Tahoma"/>
            <family val="2"/>
          </rPr>
          <t xml:space="preserve"> USD CMS 30Y </t>
        </r>
        <r>
          <rPr>
            <sz val="9"/>
            <color indexed="81"/>
            <rFont val="돋움"/>
            <family val="3"/>
            <charset val="129"/>
          </rPr>
          <t>금리</t>
        </r>
        <r>
          <rPr>
            <sz val="9"/>
            <color indexed="81"/>
            <rFont val="Tahoma"/>
            <family val="2"/>
          </rPr>
          <t xml:space="preserve"> -
USD CMS 2Y </t>
        </r>
        <r>
          <rPr>
            <sz val="9"/>
            <color indexed="81"/>
            <rFont val="돋움"/>
            <family val="3"/>
            <charset val="129"/>
          </rPr>
          <t>금리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스프레드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 USD CMS 10Y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연계된</t>
        </r>
        <r>
          <rPr>
            <sz val="9"/>
            <color indexed="81"/>
            <rFont val="Tahoma"/>
            <family val="2"/>
          </rPr>
          <t xml:space="preserve"> USD </t>
        </r>
        <r>
          <rPr>
            <sz val="9"/>
            <color indexed="81"/>
            <rFont val="돋움"/>
            <family val="3"/>
            <charset val="129"/>
          </rPr>
          <t>노트에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기초자산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 xml:space="preserve">
발행사에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신용사건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원금</t>
        </r>
        <r>
          <rPr>
            <sz val="9"/>
            <color indexed="81"/>
            <rFont val="Tahoma"/>
            <family val="2"/>
          </rPr>
          <t xml:space="preserve"> 100% </t>
        </r>
        <r>
          <rPr>
            <sz val="9"/>
            <color indexed="81"/>
            <rFont val="돋움"/>
            <family val="3"/>
            <charset val="129"/>
          </rPr>
          <t>상환</t>
        </r>
        <r>
          <rPr>
            <sz val="9"/>
            <color indexed="81"/>
            <rFont val="Tahoma"/>
            <family val="2"/>
          </rPr>
          <t xml:space="preserve"> 
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롤오버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I21" authorId="0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운용보고서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수신</t>
        </r>
        <r>
          <rPr>
            <b/>
            <sz val="9"/>
            <color indexed="81"/>
            <rFont val="Tahoma"/>
            <family val="2"/>
          </rPr>
          <t xml:space="preserve"> 
2021.06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MasterVD</author>
  </authors>
  <commentList>
    <comment ref="H6" authorId="0" shapeId="0" xr:uid="{00000000-0006-0000-0400-000001000000}">
      <text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MG </t>
        </r>
        <r>
          <rPr>
            <sz val="9"/>
            <color indexed="81"/>
            <rFont val="돋움"/>
            <family val="3"/>
            <charset val="129"/>
          </rPr>
          <t>손보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H13" authorId="0" shapeId="0" xr:uid="{00000000-0006-0000-0400-000002000000}">
      <text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MG </t>
        </r>
        <r>
          <rPr>
            <sz val="9"/>
            <color indexed="81"/>
            <rFont val="돋움"/>
            <family val="3"/>
            <charset val="129"/>
          </rPr>
          <t>손보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H15" authorId="0" shapeId="0" xr:uid="{00000000-0006-0000-0400-000003000000}">
      <text>
        <r>
          <rPr>
            <sz val="9"/>
            <color indexed="81"/>
            <rFont val="돋움"/>
            <family val="3"/>
            <charset val="129"/>
          </rPr>
          <t>혼합자산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모자형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미국시장에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우선주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하이일드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리츠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다양한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투자사는</t>
        </r>
        <r>
          <rPr>
            <sz val="9"/>
            <color indexed="81"/>
            <rFont val="Tahoma"/>
            <family val="2"/>
          </rPr>
          <t xml:space="preserve"> ETF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분산투자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구성하여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적극적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안정된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펀드임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환헤지는</t>
        </r>
        <r>
          <rPr>
            <sz val="9"/>
            <color indexed="81"/>
            <rFont val="Tahoma"/>
            <family val="2"/>
          </rPr>
          <t xml:space="preserve"> 80~100% </t>
        </r>
        <r>
          <rPr>
            <sz val="9"/>
            <color indexed="81"/>
            <rFont val="돋움"/>
            <family val="3"/>
            <charset val="129"/>
          </rPr>
          <t>실시예정임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H16" authorId="0" shapeId="0" xr:uid="{00000000-0006-0000-0400-000004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추가형, 개방형, 종류형 
증권(재간접형) 
투자목적 : 국내외 주식 채권 대체자산 등에 주로 투자하는 집합투자증권을 주된 투자대상자산으로 하여 수익을 추구하는 것을 목적으로 함. 
</t>
        </r>
      </text>
    </comment>
    <comment ref="H19" authorId="0" shapeId="0" xr:uid="{00000000-0006-0000-0400-000005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해외시장에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상장된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투자신탁재산의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대부분을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상승에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자본소득을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모자형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H26" authorId="0" shapeId="0" xr:uid="{00000000-0006-0000-0400-000006000000}">
      <text>
        <r>
          <rPr>
            <sz val="9"/>
            <color indexed="81"/>
            <rFont val="돋움"/>
            <family val="3"/>
            <charset val="129"/>
          </rPr>
          <t>해외투자분의</t>
        </r>
        <r>
          <rPr>
            <sz val="9"/>
            <color indexed="81"/>
            <rFont val="Tahoma"/>
            <family val="2"/>
          </rPr>
          <t xml:space="preserve"> 80~100% </t>
        </r>
        <r>
          <rPr>
            <sz val="9"/>
            <color indexed="81"/>
            <rFont val="돋움"/>
            <family val="3"/>
            <charset val="129"/>
          </rPr>
          <t>수준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국고채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통안채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신용등급</t>
        </r>
        <r>
          <rPr>
            <sz val="9"/>
            <color indexed="81"/>
            <rFont val="Tahoma"/>
            <family val="2"/>
          </rPr>
          <t xml:space="preserve"> A- </t>
        </r>
        <r>
          <rPr>
            <sz val="9"/>
            <color indexed="81"/>
            <rFont val="돋움"/>
            <family val="3"/>
            <charset val="129"/>
          </rPr>
          <t>이상의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채권에</t>
        </r>
        <r>
          <rPr>
            <sz val="9"/>
            <color indexed="81"/>
            <rFont val="Tahoma"/>
            <family val="2"/>
          </rPr>
          <t xml:space="preserve"> 60%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해외에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혼합채권형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종류형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H27" authorId="0" shapeId="0" xr:uid="{00000000-0006-0000-0400-000007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펀드자산의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>이상을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집합투자증권</t>
        </r>
        <r>
          <rPr>
            <sz val="9"/>
            <color indexed="81"/>
            <rFont val="Tahoma"/>
            <family val="2"/>
          </rPr>
          <t xml:space="preserve"> 
(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원자재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ETF)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해외투자분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순자산가치의</t>
        </r>
        <r>
          <rPr>
            <sz val="9"/>
            <color indexed="81"/>
            <rFont val="Tahoma"/>
            <family val="2"/>
          </rPr>
          <t xml:space="preserve"> 85%</t>
        </r>
        <r>
          <rPr>
            <sz val="9"/>
            <color indexed="81"/>
            <rFont val="돋움"/>
            <family val="3"/>
            <charset val="129"/>
          </rPr>
          <t>수준에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환매
일일평가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유동성</t>
        </r>
        <r>
          <rPr>
            <sz val="9"/>
            <color indexed="81"/>
            <rFont val="Tahoma"/>
            <family val="2"/>
          </rPr>
          <t xml:space="preserve"> 5~10% </t>
        </r>
        <r>
          <rPr>
            <sz val="9"/>
            <color indexed="81"/>
            <rFont val="돋움"/>
            <family val="3"/>
            <charset val="129"/>
          </rPr>
          <t>확보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동양생명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㈜동양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유진자산운용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H28" authorId="0" shapeId="0" xr:uid="{00000000-0006-0000-0400-000008000000}">
      <text>
        <r>
          <rPr>
            <sz val="9"/>
            <color indexed="81"/>
            <rFont val="Tahoma"/>
            <family val="2"/>
          </rPr>
          <t>BPEA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아시아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성장형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경영권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매수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펀드는</t>
        </r>
        <r>
          <rPr>
            <sz val="9"/>
            <color indexed="81"/>
            <rFont val="Tahoma"/>
            <family val="2"/>
          </rPr>
          <t xml:space="preserve"> baring private equity asia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hexaware </t>
        </r>
        <r>
          <rPr>
            <sz val="9"/>
            <color indexed="81"/>
            <rFont val="돋움"/>
            <family val="3"/>
            <charset val="129"/>
          </rPr>
          <t>인수금융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중순위대출채권에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투자함</t>
        </r>
        <r>
          <rPr>
            <sz val="9"/>
            <color indexed="81"/>
            <rFont val="Tahoma"/>
            <family val="2"/>
          </rPr>
          <t xml:space="preserve"> 
Hexaware :  </t>
        </r>
        <r>
          <rPr>
            <sz val="9"/>
            <color indexed="81"/>
            <rFont val="돋움"/>
            <family val="3"/>
            <charset val="129"/>
          </rPr>
          <t>인도</t>
        </r>
        <r>
          <rPr>
            <sz val="9"/>
            <color indexed="81"/>
            <rFont val="Tahoma"/>
            <family val="2"/>
          </rPr>
          <t>it</t>
        </r>
        <r>
          <rPr>
            <sz val="9"/>
            <color indexed="81"/>
            <rFont val="돋움"/>
            <family val="3"/>
            <charset val="129"/>
          </rPr>
          <t>솔루션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기업</t>
        </r>
        <r>
          <rPr>
            <sz val="9"/>
            <color indexed="81"/>
            <rFont val="Tahoma"/>
            <family val="2"/>
          </rPr>
          <t xml:space="preserve"> , </t>
        </r>
        <r>
          <rPr>
            <sz val="9"/>
            <color indexed="81"/>
            <rFont val="돋움"/>
            <family val="3"/>
            <charset val="129"/>
          </rPr>
          <t>정보기술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비지니스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프로세스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아웃소싱제공업체
동사의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>, 1990</t>
        </r>
        <r>
          <rPr>
            <sz val="9"/>
            <color indexed="81"/>
            <rFont val="돋움"/>
            <family val="3"/>
            <charset val="129"/>
          </rPr>
          <t>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설립된</t>
        </r>
        <r>
          <rPr>
            <sz val="9"/>
            <color indexed="81"/>
            <rFont val="Tahoma"/>
            <family val="2"/>
          </rPr>
          <t xml:space="preserve"> IT</t>
        </r>
        <r>
          <rPr>
            <sz val="9"/>
            <color indexed="81"/>
            <rFont val="돋움"/>
            <family val="3"/>
            <charset val="129"/>
          </rPr>
          <t>서비스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업체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>ib</t>
        </r>
        <r>
          <rPr>
            <sz val="9"/>
            <color indexed="81"/>
            <rFont val="돋움"/>
            <family val="3"/>
            <charset val="129"/>
          </rPr>
          <t>들도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참여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포인트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안정적인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성장성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우수한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안정성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가시성
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신뢰도와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투명성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우수한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재무안정성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현금창출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능력
모집금액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천만불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상당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투자원금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감안하여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신한금융투자가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중순위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대출채권을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양수할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예정이며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중순위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차주발생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담보로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제공됨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원리금은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상환되는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농협중앙회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단독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캐피탈콜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약정가능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>or 12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fwd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예정임</t>
        </r>
        <r>
          <rPr>
            <sz val="9"/>
            <color indexed="81"/>
            <rFont val="Tahoma"/>
            <family val="2"/>
          </rPr>
          <t xml:space="preserve">
BPEA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아시아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사모펀드로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투자수익률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실현중이며</t>
        </r>
        <r>
          <rPr>
            <sz val="9"/>
            <color indexed="81"/>
            <rFont val="Tahoma"/>
            <family val="2"/>
          </rPr>
          <t xml:space="preserve"> BPEA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파트너들은</t>
        </r>
        <r>
          <rPr>
            <sz val="9"/>
            <color indexed="81"/>
            <rFont val="Tahoma"/>
            <family val="2"/>
          </rPr>
          <t xml:space="preserve"> IT</t>
        </r>
        <r>
          <rPr>
            <sz val="9"/>
            <color indexed="81"/>
            <rFont val="돋움"/>
            <family val="3"/>
            <charset val="129"/>
          </rPr>
          <t>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투자경험이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풍부하여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성공적인</t>
        </r>
        <r>
          <rPr>
            <sz val="9"/>
            <color indexed="81"/>
            <rFont val="Tahoma"/>
            <family val="2"/>
          </rPr>
          <t xml:space="preserve"> VALUE-UP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시현함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펀드만기</t>
        </r>
        <r>
          <rPr>
            <sz val="9"/>
            <color indexed="81"/>
            <rFont val="Tahoma"/>
            <family val="2"/>
          </rPr>
          <t xml:space="preserve"> : 5</t>
        </r>
        <r>
          <rPr>
            <sz val="9"/>
            <color indexed="81"/>
            <rFont val="돋움"/>
            <family val="3"/>
            <charset val="129"/>
          </rPr>
          <t>년이나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주요투자대상자산의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투자원리금회수금원과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조기상환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H29" authorId="0" shapeId="0" xr:uid="{00000000-0006-0000-0400-000009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과학기술공제회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전문건설공제조합</t>
        </r>
        <r>
          <rPr>
            <sz val="9"/>
            <color indexed="81"/>
            <rFont val="Tahoma"/>
            <family val="2"/>
          </rPr>
          <t xml:space="preserve">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MasterVD</author>
  </authors>
  <commentList>
    <comment ref="G6" authorId="0" shapeId="0" xr:uid="{00000000-0006-0000-0500-000001000000}">
      <text>
        <r>
          <rPr>
            <sz val="9"/>
            <color indexed="81"/>
            <rFont val="돋움"/>
            <family val="3"/>
            <charset val="129"/>
          </rPr>
          <t xml:space="preserve">거래 불가 펀드!!
질권해제 됨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MasterVD</author>
  </authors>
  <commentList>
    <comment ref="H14" authorId="0" shapeId="0" xr:uid="{00000000-0006-0000-0600-000001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개방형, 추가형, 종류형 
국내외 상장된 ETF 중 미국, 중국, 한국 등 BBIG (배터리, 바이오, 인터넷, 게임 등) 업종 및 기타 연관 산업에 투자, 로보어드바이저 알로리즘 활용
외화표시자산 순자산총액의 90% 범위내에서 환헤지 실행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MasterVD</author>
  </authors>
  <commentList>
    <comment ref="J18" authorId="0" shapeId="0" xr:uid="{00000000-0006-0000-0700-000001000000}">
      <text>
        <r>
          <rPr>
            <sz val="9"/>
            <color indexed="81"/>
            <rFont val="Tahoma"/>
            <family val="2"/>
          </rPr>
          <t xml:space="preserve">2021/12/31
</t>
        </r>
      </text>
    </comment>
    <comment ref="J20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2021/12/31</t>
        </r>
      </text>
    </comment>
    <comment ref="H28" authorId="0" shapeId="0" xr:uid="{00000000-0006-0000-0700-000003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사모형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혼합자산형
펀드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한투운용이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공모주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역외펀드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중국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본토</t>
        </r>
        <r>
          <rPr>
            <sz val="9"/>
            <color indexed="81"/>
            <rFont val="Tahoma"/>
            <family val="2"/>
          </rPr>
          <t xml:space="preserve"> A</t>
        </r>
        <r>
          <rPr>
            <sz val="9"/>
            <color indexed="81"/>
            <rFont val="돋움"/>
            <family val="3"/>
            <charset val="129"/>
          </rPr>
          <t>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
채권및유동성</t>
        </r>
        <r>
          <rPr>
            <sz val="9"/>
            <color indexed="81"/>
            <rFont val="Tahoma"/>
            <family val="2"/>
          </rPr>
          <t xml:space="preserve"> : A- </t>
        </r>
        <r>
          <rPr>
            <sz val="9"/>
            <color indexed="81"/>
            <rFont val="돋움"/>
            <family val="3"/>
            <charset val="129"/>
          </rPr>
          <t>신용등급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국내채권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H32" authorId="0" shapeId="0" xr:uid="{00000000-0006-0000-0700-000004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해외</t>
        </r>
        <r>
          <rPr>
            <sz val="9"/>
            <color indexed="81"/>
            <rFont val="Tahoma"/>
            <family val="2"/>
          </rPr>
          <t xml:space="preserve"> PEF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한국운용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Secondary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partners group secondary 2020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투자약정함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선순위를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제외한</t>
        </r>
        <r>
          <rPr>
            <sz val="9"/>
            <color indexed="81"/>
            <rFont val="Tahoma"/>
            <family val="2"/>
          </rPr>
          <t xml:space="preserve"> debt </t>
        </r>
        <r>
          <rPr>
            <sz val="9"/>
            <color indexed="81"/>
            <rFont val="돋움"/>
            <family val="3"/>
            <charset val="129"/>
          </rPr>
          <t>투자로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메자닌</t>
        </r>
        <r>
          <rPr>
            <sz val="9"/>
            <color indexed="81"/>
            <rFont val="Tahoma"/>
            <family val="2"/>
          </rPr>
          <t xml:space="preserve">, CB, BW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투자지역은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북미</t>
        </r>
        <r>
          <rPr>
            <sz val="9"/>
            <color indexed="81"/>
            <rFont val="Tahoma"/>
            <family val="2"/>
          </rPr>
          <t xml:space="preserve"> 80%, </t>
        </r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세컨더리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성장기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성숙기에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바이아웃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딜들에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H33" authorId="0" shapeId="0" xr:uid="{00000000-0006-0000-0700-000005000000}">
      <text>
        <r>
          <rPr>
            <sz val="9"/>
            <color indexed="81"/>
            <rFont val="돋움"/>
            <family val="3"/>
            <charset val="129"/>
          </rPr>
          <t xml:space="preserve">
영문명</t>
        </r>
        <r>
          <rPr>
            <sz val="9"/>
            <color indexed="81"/>
            <rFont val="Tahoma"/>
            <family val="2"/>
          </rPr>
          <t xml:space="preserve"> : KIM Private Multi-Selection Fund 1
</t>
        </r>
        <r>
          <rPr>
            <sz val="9"/>
            <color indexed="81"/>
            <rFont val="돋움"/>
            <family val="3"/>
            <charset val="129"/>
          </rPr>
          <t>헷지금액</t>
        </r>
        <r>
          <rPr>
            <sz val="9"/>
            <color indexed="81"/>
            <rFont val="Tahoma"/>
            <family val="2"/>
          </rPr>
          <t xml:space="preserve"> : 2</t>
        </r>
        <r>
          <rPr>
            <sz val="9"/>
            <color indexed="81"/>
            <rFont val="돋움"/>
            <family val="3"/>
            <charset val="129"/>
          </rPr>
          <t>천만불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예상
</t>
        </r>
        <r>
          <rPr>
            <sz val="9"/>
            <color indexed="81"/>
            <rFont val="Tahoma"/>
            <family val="2"/>
          </rPr>
          <t>tenor :  3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투자금액</t>
        </r>
        <r>
          <rPr>
            <sz val="9"/>
            <color indexed="81"/>
            <rFont val="Tahoma"/>
            <family val="2"/>
          </rPr>
          <t xml:space="preserve"> : 500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단독수익자</t>
        </r>
        <r>
          <rPr>
            <sz val="9"/>
            <color indexed="81"/>
            <rFont val="Tahoma"/>
            <family val="2"/>
          </rPr>
          <t xml:space="preserve"> -</t>
        </r>
        <r>
          <rPr>
            <sz val="9"/>
            <color indexed="81"/>
            <rFont val="돋움"/>
            <family val="3"/>
            <charset val="129"/>
          </rPr>
          <t>신협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혼합자산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사모형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전문투자형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운용대상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싱글헤지펀드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헤지목적의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통화관련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파생상품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유동성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환위험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헤지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환율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프로세스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투자자산의</t>
        </r>
        <r>
          <rPr>
            <sz val="9"/>
            <color indexed="81"/>
            <rFont val="Tahoma"/>
            <family val="2"/>
          </rPr>
          <t xml:space="preserve"> 90% </t>
        </r>
        <r>
          <rPr>
            <sz val="9"/>
            <color indexed="81"/>
            <rFont val="돋움"/>
            <family val="3"/>
            <charset val="129"/>
          </rPr>
          <t>전후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헤지펀드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</t>
        </r>
        <r>
          <rPr>
            <sz val="9"/>
            <color indexed="81"/>
            <rFont val="Tahoma"/>
            <family val="2"/>
          </rPr>
          <t xml:space="preserve"> 
1. ATLAS ENHANCED FUND (EMN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)
- </t>
        </r>
        <r>
          <rPr>
            <sz val="9"/>
            <color indexed="81"/>
            <rFont val="돋움"/>
            <family val="3"/>
            <charset val="129"/>
          </rPr>
          <t>펀드설정일</t>
        </r>
        <r>
          <rPr>
            <sz val="9"/>
            <color indexed="81"/>
            <rFont val="Tahoma"/>
            <family val="2"/>
          </rPr>
          <t xml:space="preserve"> : 2006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
-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AUM : $8.7 Bn 
-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펀더멜털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리서치를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기반으로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섹터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특화된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있으며</t>
        </r>
        <r>
          <rPr>
            <sz val="9"/>
            <color indexed="81"/>
            <rFont val="Tahoma"/>
            <family val="2"/>
          </rPr>
          <t xml:space="preserve">, 
+-10% </t>
        </r>
        <r>
          <rPr>
            <sz val="9"/>
            <color indexed="81"/>
            <rFont val="돋움"/>
            <family val="3"/>
            <charset val="129"/>
          </rPr>
          <t>수준의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낮은</t>
        </r>
        <r>
          <rPr>
            <sz val="9"/>
            <color indexed="81"/>
            <rFont val="Tahoma"/>
            <family val="2"/>
          </rPr>
          <t xml:space="preserve"> net exposure </t>
        </r>
        <r>
          <rPr>
            <sz val="9"/>
            <color indexed="81"/>
            <rFont val="돋움"/>
            <family val="3"/>
            <charset val="129"/>
          </rPr>
          <t>수준에서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리스크에만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노출되도록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유지함</t>
        </r>
        <r>
          <rPr>
            <sz val="9"/>
            <color indexed="81"/>
            <rFont val="Tahoma"/>
            <family val="2"/>
          </rPr>
          <t>. 
2. TENOR OPPORTUNITY FUND (CRV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)
- </t>
        </r>
        <r>
          <rPr>
            <sz val="9"/>
            <color indexed="81"/>
            <rFont val="돋움"/>
            <family val="3"/>
            <charset val="129"/>
          </rPr>
          <t>펀드설정일</t>
        </r>
        <r>
          <rPr>
            <sz val="9"/>
            <color indexed="81"/>
            <rFont val="Tahoma"/>
            <family val="2"/>
          </rPr>
          <t xml:space="preserve"> : 2004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
-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AUM : $1.9 Bn
-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북미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크레딧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변동성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상대가치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투자기회에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집중하는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전환사채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차익거래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
3. POLAR MULTI-STRATEGY FUND MULTI
- </t>
        </r>
        <r>
          <rPr>
            <sz val="9"/>
            <color indexed="81"/>
            <rFont val="돋움"/>
            <family val="3"/>
            <charset val="129"/>
          </rPr>
          <t>펀더설정일</t>
        </r>
        <r>
          <rPr>
            <sz val="9"/>
            <color indexed="81"/>
            <rFont val="Tahoma"/>
            <family val="2"/>
          </rPr>
          <t xml:space="preserve"> : 1991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
- AUM : $5.0 Bn 
-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북미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상대가치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방향성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주의적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투자기회를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포작하는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multi strategy 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차익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안정적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추구함</t>
        </r>
        <r>
          <rPr>
            <sz val="9"/>
            <color indexed="81"/>
            <rFont val="Tahoma"/>
            <family val="2"/>
          </rPr>
          <t xml:space="preserve">. 
4. VERITION INTERNATIONAL MULTI-STRATEGY FUND-MULTI
- </t>
        </r>
        <r>
          <rPr>
            <sz val="9"/>
            <color indexed="81"/>
            <rFont val="돋움"/>
            <family val="3"/>
            <charset val="129"/>
          </rPr>
          <t>펀드설정일</t>
        </r>
        <r>
          <rPr>
            <sz val="9"/>
            <color indexed="81"/>
            <rFont val="Tahoma"/>
            <family val="2"/>
          </rPr>
          <t xml:space="preserve"> : 2008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 xml:space="preserve">월
</t>
        </r>
        <r>
          <rPr>
            <sz val="9"/>
            <color indexed="81"/>
            <rFont val="Tahoma"/>
            <family val="2"/>
          </rPr>
          <t xml:space="preserve">-AUM: $3.6 Bn
- </t>
        </r>
        <r>
          <rPr>
            <sz val="9"/>
            <color indexed="81"/>
            <rFont val="돋움"/>
            <family val="3"/>
            <charset val="129"/>
          </rPr>
          <t>상대적으로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유동성이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주요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민감도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상관관계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상관관계를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H34" authorId="0" shapeId="0" xr:uid="{00000000-0006-0000-0700-000006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해외채권에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집합투자증권에의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투자는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자산총액의</t>
        </r>
        <r>
          <rPr>
            <sz val="9"/>
            <color indexed="81"/>
            <rFont val="Tahoma"/>
            <family val="2"/>
          </rPr>
          <t xml:space="preserve"> 60% 
</t>
        </r>
        <r>
          <rPr>
            <sz val="9"/>
            <color indexed="81"/>
            <rFont val="돋움"/>
            <family val="3"/>
            <charset val="129"/>
          </rPr>
          <t>투자등급이상의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안정적</t>
        </r>
        <r>
          <rPr>
            <sz val="9"/>
            <color indexed="81"/>
            <rFont val="Tahoma"/>
            <family val="2"/>
          </rPr>
          <t xml:space="preserve"> BM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추종하고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금리상승을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 xml:space="preserve">
포트폴리오의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부분은</t>
        </r>
        <r>
          <rPr>
            <sz val="9"/>
            <color indexed="81"/>
            <rFont val="Tahoma"/>
            <family val="2"/>
          </rPr>
          <t xml:space="preserve"> BM</t>
        </r>
        <r>
          <rPr>
            <sz val="9"/>
            <color indexed="81"/>
            <rFont val="돋움"/>
            <family val="3"/>
            <charset val="129"/>
          </rPr>
          <t>추종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시장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SATELLITE </t>
        </r>
        <r>
          <rPr>
            <sz val="9"/>
            <color indexed="81"/>
            <rFont val="돋움"/>
            <family val="3"/>
            <charset val="129"/>
          </rPr>
          <t>전략을활용하여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H47" authorId="0" shapeId="0" xr:uid="{00000000-0006-0000-0700-000007000000}">
      <text>
        <r>
          <rPr>
            <b/>
            <sz val="9"/>
            <color indexed="81"/>
            <rFont val="맑은 고딕"/>
            <family val="2"/>
            <charset val="129"/>
          </rPr>
          <t>주식형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맑은 고딕"/>
            <family val="2"/>
            <charset val="129"/>
          </rPr>
          <t>개방형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맑은 고딕"/>
            <family val="2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세계의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기업들이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발행하는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주식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DR </t>
        </r>
        <r>
          <rPr>
            <b/>
            <sz val="9"/>
            <color indexed="81"/>
            <rFont val="맑은 고딕"/>
            <family val="2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투자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맑은 고딕"/>
            <family val="2"/>
            <charset val="129"/>
          </rPr>
          <t>이익의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퀄리티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맑은 고딕"/>
            <family val="2"/>
            <charset val="129"/>
          </rPr>
          <t>현금흐름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증가율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맑은 고딕"/>
            <family val="2"/>
            <charset val="129"/>
          </rPr>
          <t>밸류에이션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맑은 고딕"/>
            <family val="2"/>
            <charset val="129"/>
          </rPr>
          <t>주주이익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환원에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측저오딘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순위가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높은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종목들에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선별적으로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투자하고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정량화된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투자프로세스를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포트폴리오를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구성하여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세계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맑은 고딕"/>
            <family val="2"/>
            <charset val="129"/>
          </rPr>
          <t>시장환경을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반영하여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투자기준에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우선순위를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결정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맑은 고딕"/>
            <family val="2"/>
            <charset val="129"/>
          </rPr>
          <t>환혜지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70% </t>
        </r>
        <r>
          <rPr>
            <b/>
            <sz val="9"/>
            <color indexed="81"/>
            <rFont val="맑은 고딕"/>
            <family val="2"/>
            <charset val="129"/>
          </rPr>
          <t>내외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134" authorId="0" shapeId="0" xr:uid="{00000000-0006-0000-0700-000008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사모형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혼합자산형
멀티클래스형
펀드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한투운용이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공모주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역외펀드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중국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본토</t>
        </r>
        <r>
          <rPr>
            <sz val="9"/>
            <color indexed="81"/>
            <rFont val="Tahoma"/>
            <family val="2"/>
          </rPr>
          <t xml:space="preserve"> A</t>
        </r>
        <r>
          <rPr>
            <sz val="9"/>
            <color indexed="81"/>
            <rFont val="돋움"/>
            <family val="3"/>
            <charset val="129"/>
          </rPr>
          <t>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
중국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과창판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IPO</t>
        </r>
        <r>
          <rPr>
            <sz val="9"/>
            <color indexed="81"/>
            <rFont val="돋움"/>
            <family val="3"/>
            <charset val="129"/>
          </rPr>
          <t>참여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과창판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상해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거래소내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거래제도를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채권및유동성</t>
        </r>
        <r>
          <rPr>
            <sz val="9"/>
            <color indexed="81"/>
            <rFont val="Tahoma"/>
            <family val="2"/>
          </rPr>
          <t xml:space="preserve"> : A- </t>
        </r>
        <r>
          <rPr>
            <sz val="9"/>
            <color indexed="81"/>
            <rFont val="돋움"/>
            <family val="3"/>
            <charset val="129"/>
          </rPr>
          <t>신용등급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국내채권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위안화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포워드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G144" authorId="0" shapeId="0" xr:uid="{00000000-0006-0000-0700-00000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G145" authorId="0" shapeId="0" xr:uid="{00000000-0006-0000-0700-00000A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혼합자산형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패쇄형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단위형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전문사모형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재간접형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투자대상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사모채권에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투자사는</t>
        </r>
        <r>
          <rPr>
            <sz val="9"/>
            <color indexed="81"/>
            <rFont val="Tahoma"/>
            <family val="2"/>
          </rPr>
          <t xml:space="preserve"> HPS Specialty Loan Fund V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(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선순위대출채권에</t>
        </r>
        <r>
          <rPr>
            <sz val="9"/>
            <color indexed="81"/>
            <rFont val="Tahoma"/>
            <family val="2"/>
          </rPr>
          <t xml:space="preserve"> 85%, </t>
        </r>
        <r>
          <rPr>
            <sz val="9"/>
            <color indexed="81"/>
            <rFont val="돋움"/>
            <family val="3"/>
            <charset val="129"/>
          </rPr>
          <t>후순위</t>
        </r>
        <r>
          <rPr>
            <sz val="9"/>
            <color indexed="81"/>
            <rFont val="Tahoma"/>
            <family val="2"/>
          </rPr>
          <t xml:space="preserve"> 15% </t>
        </r>
        <r>
          <rPr>
            <sz val="9"/>
            <color indexed="81"/>
            <rFont val="돋움"/>
            <family val="3"/>
            <charset val="129"/>
          </rPr>
          <t>예정임
현지운용사</t>
        </r>
        <r>
          <rPr>
            <sz val="9"/>
            <color indexed="81"/>
            <rFont val="Tahoma"/>
            <family val="2"/>
          </rPr>
          <t xml:space="preserve"> : HPS INVESTMENT PARTNERS
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투자원금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90%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새마을금고중앙회</t>
        </r>
        <r>
          <rPr>
            <sz val="9"/>
            <color indexed="81"/>
            <rFont val="Tahoma"/>
            <family val="2"/>
          </rPr>
          <t xml:space="preserve">  100% </t>
        </r>
        <r>
          <rPr>
            <sz val="9"/>
            <color indexed="81"/>
            <rFont val="돋움"/>
            <family val="3"/>
            <charset val="129"/>
          </rPr>
          <t>비중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6" authorId="0" shapeId="0" xr:uid="{00000000-0006-0000-0700-00000B000000}">
      <text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80~85% 
(</t>
        </r>
        <r>
          <rPr>
            <sz val="9"/>
            <color indexed="81"/>
            <rFont val="돋움"/>
            <family val="3"/>
            <charset val="129"/>
          </rPr>
          <t>유동성</t>
        </r>
        <r>
          <rPr>
            <sz val="9"/>
            <color indexed="81"/>
            <rFont val="Tahoma"/>
            <family val="2"/>
          </rPr>
          <t xml:space="preserve"> 10~15% </t>
        </r>
        <r>
          <rPr>
            <sz val="9"/>
            <color indexed="81"/>
            <rFont val="돋움"/>
            <family val="3"/>
            <charset val="129"/>
          </rPr>
          <t>확보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리테일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
KIARA Asia Pacific Hdege Fund 
(</t>
        </r>
        <r>
          <rPr>
            <sz val="9"/>
            <color indexed="81"/>
            <rFont val="돋움"/>
            <family val="3"/>
            <charset val="129"/>
          </rPr>
          <t>케이만제도설립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혼합자산형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단위형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일반사모형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재간접형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투자목적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아시아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노출을</t>
        </r>
        <r>
          <rPr>
            <sz val="9"/>
            <color indexed="81"/>
            <rFont val="Tahoma"/>
            <family val="2"/>
          </rPr>
          <t xml:space="preserve"> long/short </t>
        </r>
        <r>
          <rPr>
            <sz val="9"/>
            <color indexed="81"/>
            <rFont val="돋움"/>
            <family val="3"/>
            <charset val="129"/>
          </rPr>
          <t>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매니저를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가져감으로써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방향성에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낮춤과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펀더멘털에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근거한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수익률의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최소화시키면서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지속적으로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얻음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G147" authorId="0" shapeId="0" xr:uid="{00000000-0006-0000-0700-00000C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삼성증권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케이비손해보험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메리츠화재
캐피탈콜약정서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
캐피탈콜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투자자로부터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자금납입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받음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 xml:space="preserve">
펀드유형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혼합자산파생형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패쇄형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단위형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해외펀드</t>
        </r>
        <r>
          <rPr>
            <sz val="9"/>
            <color indexed="81"/>
            <rFont val="Tahoma"/>
            <family val="2"/>
          </rPr>
          <t xml:space="preserve"> Pomona Capital x 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세컨더리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투자통화</t>
        </r>
        <r>
          <rPr>
            <sz val="9"/>
            <color indexed="81"/>
            <rFont val="Tahoma"/>
            <family val="2"/>
          </rPr>
          <t xml:space="preserve"> (USD)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국내펀드</t>
        </r>
        <r>
          <rPr>
            <sz val="9"/>
            <color indexed="81"/>
            <rFont val="Tahoma"/>
            <family val="2"/>
          </rPr>
          <t xml:space="preserve"> 90~100% </t>
        </r>
        <r>
          <rPr>
            <sz val="9"/>
            <color indexed="81"/>
            <rFont val="돋움"/>
            <family val="3"/>
            <charset val="129"/>
          </rPr>
          <t>수준의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실행
</t>
        </r>
        <r>
          <rPr>
            <sz val="9"/>
            <color indexed="81"/>
            <rFont val="Tahoma"/>
            <family val="2"/>
          </rPr>
          <t xml:space="preserve">pomona capitaql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포인트</t>
        </r>
        <r>
          <rPr>
            <sz val="9"/>
            <color indexed="81"/>
            <rFont val="Tahoma"/>
            <family val="2"/>
          </rPr>
          <t xml:space="preserve"> 
1. </t>
        </r>
        <r>
          <rPr>
            <sz val="9"/>
            <color indexed="81"/>
            <rFont val="돋움"/>
            <family val="3"/>
            <charset val="129"/>
          </rPr>
          <t>우수한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성과와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현금회수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능력</t>
        </r>
        <r>
          <rPr>
            <sz val="9"/>
            <color indexed="81"/>
            <rFont val="Tahoma"/>
            <family val="2"/>
          </rPr>
          <t xml:space="preserve"> 
2. </t>
        </r>
        <r>
          <rPr>
            <sz val="9"/>
            <color indexed="81"/>
            <rFont val="돋움"/>
            <family val="3"/>
            <charset val="129"/>
          </rPr>
          <t>중형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중소형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규모의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>리스크와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유동성을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안전마진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투자
</t>
        </r>
        <r>
          <rPr>
            <sz val="9"/>
            <color indexed="81"/>
            <rFont val="Tahoma"/>
            <family val="2"/>
          </rPr>
          <t xml:space="preserve">pomona capital </t>
        </r>
        <r>
          <rPr>
            <sz val="9"/>
            <color indexed="81"/>
            <rFont val="돋움"/>
            <family val="3"/>
            <charset val="129"/>
          </rPr>
          <t>운용사</t>
        </r>
        <r>
          <rPr>
            <sz val="9"/>
            <color indexed="81"/>
            <rFont val="Tahoma"/>
            <family val="2"/>
          </rPr>
          <t xml:space="preserve"> 
-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세컨더리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전문운용사로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투자건당</t>
        </r>
        <r>
          <rPr>
            <sz val="9"/>
            <color indexed="81"/>
            <rFont val="Tahoma"/>
            <family val="2"/>
          </rPr>
          <t xml:space="preserve"> 50~500mio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세컨더리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본사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뉴욕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선제적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운용
</t>
        </r>
      </text>
    </comment>
    <comment ref="G149" authorId="0" shapeId="0" xr:uid="{00000000-0006-0000-0700-00000D000000}">
      <text>
        <r>
          <rPr>
            <sz val="9"/>
            <color indexed="81"/>
            <rFont val="돋움"/>
            <family val="3"/>
            <charset val="129"/>
          </rPr>
          <t>증권형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재간접형
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투자대상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국채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지방채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특수채증권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투자신탁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자산총액의</t>
        </r>
        <r>
          <rPr>
            <sz val="9"/>
            <color indexed="81"/>
            <rFont val="Tahoma"/>
            <family val="2"/>
          </rPr>
          <t xml:space="preserve"> 60% </t>
        </r>
        <r>
          <rPr>
            <sz val="9"/>
            <color indexed="81"/>
            <rFont val="돋움"/>
            <family val="3"/>
            <charset val="129"/>
          </rPr>
          <t>이상을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투자해야함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150" authorId="0" shapeId="0" xr:uid="{00000000-0006-0000-0700-00000E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투자신탁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증권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재간접형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사모형</t>
        </r>
        <r>
          <rPr>
            <sz val="9"/>
            <color indexed="81"/>
            <rFont val="Tahoma"/>
            <family val="2"/>
          </rPr>
          <t xml:space="preserve"> 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MasterVD</author>
  </authors>
  <commentList>
    <comment ref="H17" authorId="0" shapeId="0" xr:uid="{00000000-0006-0000-0900-000001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주식형 펀드
이 투자신탁의 모투자신탁은 해외주식에 주로 투자하는 프랭클린테크놀로지 펀드에 투자신탁 재산의 60% 이상을투자하여 수익을 추구하는 펀드 
미국을 포함한 전세계 테크놀로지의 개발, 발전 및 활용을 통해 
이익을 창출할 것으로 예상되는 기업의 주식에 투자하여 수익을 추구하기 위해 프랭클린 테크놀로지 펀드를 피투자펀드로 선정. 
미국 및 전세계 테크놀로지 주식에 투자하여 성장기회를 추구 
</t>
        </r>
      </text>
    </comment>
    <comment ref="H18" authorId="0" shapeId="0" xr:uid="{00000000-0006-0000-0900-000002000000}">
      <text>
        <r>
          <rPr>
            <sz val="9"/>
            <color indexed="81"/>
            <rFont val="맑은 고딕"/>
            <family val="2"/>
            <charset val="129"/>
          </rPr>
          <t xml:space="preserve">개방형, 추가형, 증권형 (혼합채권-재간접형) 
4등급 
국내외 주식, 채권 및 대체자산 관련 집합투자증권에 주로 투자하는 투자신탁으로 장기적인 목표수익률을 연환산 4-5%로 설정하고 글로벌 자산배분모델 등을 활용하여 국내외 주식, 채권 및 대체자산 등 다양한 자산에 투자하여 목표 수익률 달성을 추구하는펀드 
고위험자산에는 50% 미만 투자 
(주식,상품, 파생상품 등) 
</t>
        </r>
      </text>
    </comment>
    <comment ref="H113" authorId="0" shapeId="0" xr:uid="{00000000-0006-0000-0900-000003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모투자신탁은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해외채권에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레그메이슨브랜디와인글로벌인컴펀드에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투자신탁재산의</t>
        </r>
        <r>
          <rPr>
            <sz val="9"/>
            <color indexed="81"/>
            <rFont val="Tahoma"/>
            <family val="2"/>
          </rPr>
          <t xml:space="preserve"> 60%</t>
        </r>
        <r>
          <rPr>
            <sz val="9"/>
            <color indexed="81"/>
            <rFont val="돋움"/>
            <family val="3"/>
            <charset val="129"/>
          </rPr>
          <t>이상을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미국을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전세계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회사채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하이일드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이머징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레그메이슨브랜디와인글로벌인컴펀드를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피투자펀드로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다양한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시장상황에서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수익률을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극대화하여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MasterVD</author>
  </authors>
  <commentList>
    <comment ref="H21" authorId="0" shapeId="0" xr:uid="{00000000-0006-0000-0A00-000001000000}">
      <text>
        <r>
          <rPr>
            <sz val="9"/>
            <color indexed="81"/>
            <rFont val="돋움"/>
            <family val="3"/>
            <charset val="129"/>
          </rPr>
          <t>증권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재간접형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종류형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목표시점을</t>
        </r>
        <r>
          <rPr>
            <sz val="9"/>
            <color indexed="81"/>
            <rFont val="Tahoma"/>
            <family val="2"/>
          </rPr>
          <t xml:space="preserve"> 2050</t>
        </r>
        <r>
          <rPr>
            <sz val="9"/>
            <color indexed="81"/>
            <rFont val="돋움"/>
            <family val="3"/>
            <charset val="129"/>
          </rPr>
          <t>년으로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시장상황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한국인의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생애주기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대체자산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집합투자증권의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투자비중을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탄력적으로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순자산평가액의</t>
        </r>
        <r>
          <rPr>
            <sz val="9"/>
            <color indexed="81"/>
            <rFont val="Tahoma"/>
            <family val="2"/>
          </rPr>
          <t xml:space="preserve"> 70+-30%</t>
        </r>
        <r>
          <rPr>
            <sz val="9"/>
            <color indexed="81"/>
            <rFont val="돋움"/>
            <family val="3"/>
            <charset val="129"/>
          </rPr>
          <t>수준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H23" authorId="0" shapeId="0" xr:uid="{00000000-0006-0000-0A00-000002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증권형, 개방형, 추가형 
채권관련 집합투자증권에 투자하는 모투자신탁의 수익증권을 주된 투자대상자산으로 함 
아시아채권에 투자하는 해외 PIMCO FUND 애 재간접으로 투자 
주요통화표시 아시아 크레딧 채권 펀드로 유연한 투자전략을 구사하여 투자자에게 매력적이고 안정적인 인컴을 제공하는 것을 주된 목적으로 함. 
벤치마크 :  JP MORGAN ASIA CREDIT INDEX 
</t>
        </r>
      </text>
    </comment>
    <comment ref="H24" authorId="0" shapeId="0" xr:uid="{00000000-0006-0000-0A00-000003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증권형, 개방형, 추가형 
채권관련 집합투자증권에 투자하는 모투자신탁의 수익증권을 주된 투자대상자산으로 함 
</t>
        </r>
      </text>
    </comment>
    <comment ref="H25" authorId="0" shapeId="0" xr:uid="{00000000-0006-0000-0A00-000004000000}">
      <text>
        <r>
          <rPr>
            <sz val="9"/>
            <color indexed="81"/>
            <rFont val="Tahoma"/>
            <family val="2"/>
          </rPr>
          <t xml:space="preserve">AB Sustainable global 
thematic portfolio class
</t>
        </r>
        <r>
          <rPr>
            <sz val="9"/>
            <color indexed="81"/>
            <rFont val="돋움"/>
            <family val="3"/>
            <charset val="129"/>
          </rPr>
          <t>해외거래소에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해외지수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추종</t>
        </r>
        <r>
          <rPr>
            <sz val="9"/>
            <color indexed="81"/>
            <rFont val="Tahoma"/>
            <family val="2"/>
          </rPr>
          <t xml:space="preserve">  etf </t>
        </r>
        <r>
          <rPr>
            <sz val="9"/>
            <color indexed="81"/>
            <rFont val="돋움"/>
            <family val="3"/>
            <charset val="129"/>
          </rPr>
          <t>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주요투자대상으로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환헤지는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>원칙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H26" authorId="0" shapeId="0" xr:uid="{00000000-0006-0000-0A00-000005000000}">
      <text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투자대상으로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80% 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H72" authorId="0" shapeId="0" xr:uid="{00000000-0006-0000-0A00-000006000000}">
      <text>
        <r>
          <rPr>
            <sz val="9"/>
            <color indexed="81"/>
            <rFont val="돋움"/>
            <family val="3"/>
            <charset val="129"/>
          </rPr>
          <t>증권형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국내외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채권등에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국내외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대체자산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분산투자를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
자본이득을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주요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>이내
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실행예정임</t>
        </r>
        <r>
          <rPr>
            <sz val="9"/>
            <color indexed="81"/>
            <rFont val="Tahoma"/>
            <family val="2"/>
          </rPr>
          <t xml:space="preserve">.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MasterVD</author>
  </authors>
  <commentList>
    <comment ref="H21" authorId="0" shapeId="0" xr:uid="{00000000-0006-0000-0B00-000001000000}">
      <text>
        <r>
          <rPr>
            <sz val="9"/>
            <color indexed="81"/>
            <rFont val="돋움"/>
            <family val="3"/>
            <charset val="129"/>
          </rPr>
          <t>설정예정금액</t>
        </r>
        <r>
          <rPr>
            <sz val="9"/>
            <color indexed="81"/>
            <rFont val="Tahoma"/>
            <family val="2"/>
          </rPr>
          <t xml:space="preserve"> :2000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예상테너</t>
        </r>
        <r>
          <rPr>
            <sz val="9"/>
            <color indexed="81"/>
            <rFont val="Tahoma"/>
            <family val="2"/>
          </rPr>
          <t xml:space="preserve"> : 1, 2, 3, 6 
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해외집합투자업자인</t>
        </r>
        <r>
          <rPr>
            <sz val="9"/>
            <color indexed="81"/>
            <rFont val="Tahoma"/>
            <family val="2"/>
          </rPr>
          <t xml:space="preserve"> Nuveen Asset Management LLC 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Coloumbia Management Investment Advisers LLC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해외자산의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운용업무를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위탁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누빈자산운용</t>
        </r>
        <r>
          <rPr>
            <sz val="9"/>
            <color indexed="81"/>
            <rFont val="Tahoma"/>
            <family val="2"/>
          </rPr>
          <t xml:space="preserve"> 
- </t>
        </r>
        <r>
          <rPr>
            <sz val="9"/>
            <color indexed="81"/>
            <rFont val="돋움"/>
            <family val="3"/>
            <charset val="129"/>
          </rPr>
          <t>미국자산운용사로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출자한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자산운용사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운용자산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조원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H34" authorId="0" shapeId="0" xr:uid="{00000000-0006-0000-0B00-000002000000}">
      <text>
        <r>
          <rPr>
            <sz val="9"/>
            <color indexed="81"/>
            <rFont val="돋움"/>
            <family val="3"/>
            <charset val="129"/>
          </rPr>
          <t>설정예정금액</t>
        </r>
        <r>
          <rPr>
            <sz val="9"/>
            <color indexed="81"/>
            <rFont val="Tahoma"/>
            <family val="2"/>
          </rPr>
          <t xml:space="preserve"> :2000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예상테너</t>
        </r>
        <r>
          <rPr>
            <sz val="9"/>
            <color indexed="81"/>
            <rFont val="Tahoma"/>
            <family val="2"/>
          </rPr>
          <t xml:space="preserve"> : 1, 2, 3, 6 
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해외집합투자업자인</t>
        </r>
        <r>
          <rPr>
            <sz val="9"/>
            <color indexed="81"/>
            <rFont val="Tahoma"/>
            <family val="2"/>
          </rPr>
          <t xml:space="preserve"> Nuveen Asset Management LLC 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Coloumbia Management Investment Advisers LLC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해외자산의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운용업무를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위탁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누빈자산운용</t>
        </r>
        <r>
          <rPr>
            <sz val="9"/>
            <color indexed="81"/>
            <rFont val="Tahoma"/>
            <family val="2"/>
          </rPr>
          <t xml:space="preserve"> 
- </t>
        </r>
        <r>
          <rPr>
            <sz val="9"/>
            <color indexed="81"/>
            <rFont val="돋움"/>
            <family val="3"/>
            <charset val="129"/>
          </rPr>
          <t>미국자산운용사로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출자한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자산운용사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운용자산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조원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H56" authorId="0" shapeId="0" xr:uid="{00000000-0006-0000-0B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예상테너
</t>
        </r>
        <r>
          <rPr>
            <b/>
            <sz val="9"/>
            <color indexed="81"/>
            <rFont val="Tahoma"/>
            <family val="2"/>
          </rPr>
          <t xml:space="preserve">1, 2 , 3, 6 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투자목표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주식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채권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대체자산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전략들을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결합하여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원금보존을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추구하며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자본성장을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목표로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포트폴리오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구축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리스크를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통제하여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절대수익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목표로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투자대상</t>
        </r>
        <r>
          <rPr>
            <b/>
            <sz val="9"/>
            <color indexed="81"/>
            <rFont val="Tahoma"/>
            <family val="2"/>
          </rPr>
          <t xml:space="preserve"> 
equity, fixed income, global reits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누버거버먼의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해외자산의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운용업무를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위탁하여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글로벌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채권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집합투자기구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사모채권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리츠등에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예정임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57" authorId="0" shapeId="0" xr:uid="{00000000-0006-0000-0B00-000004000000}">
      <text>
        <r>
          <rPr>
            <sz val="9"/>
            <color indexed="81"/>
            <rFont val="돋움"/>
            <family val="3"/>
            <charset val="129"/>
          </rPr>
          <t>설정예정금액</t>
        </r>
        <r>
          <rPr>
            <sz val="9"/>
            <color indexed="81"/>
            <rFont val="Tahoma"/>
            <family val="2"/>
          </rPr>
          <t xml:space="preserve"> :2000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예상테너</t>
        </r>
        <r>
          <rPr>
            <sz val="9"/>
            <color indexed="81"/>
            <rFont val="Tahoma"/>
            <family val="2"/>
          </rPr>
          <t xml:space="preserve"> : 1, 2, 3, 6 
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해외집합투자업자인</t>
        </r>
        <r>
          <rPr>
            <sz val="9"/>
            <color indexed="81"/>
            <rFont val="Tahoma"/>
            <family val="2"/>
          </rPr>
          <t xml:space="preserve"> Nuveen Asset Management LLC 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Coloumbia Management Investment Advisers LLC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해외자산의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운용업무를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위탁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누빈자산운용</t>
        </r>
        <r>
          <rPr>
            <sz val="9"/>
            <color indexed="81"/>
            <rFont val="Tahoma"/>
            <family val="2"/>
          </rPr>
          <t xml:space="preserve"> 
- </t>
        </r>
        <r>
          <rPr>
            <sz val="9"/>
            <color indexed="81"/>
            <rFont val="돋움"/>
            <family val="3"/>
            <charset val="129"/>
          </rPr>
          <t>미국자산운용사로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출자한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자산운용사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운용자산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조원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H62" authorId="0" shapeId="0" xr:uid="{00000000-0006-0000-0B00-000005000000}">
      <text>
        <r>
          <rPr>
            <sz val="9"/>
            <color indexed="81"/>
            <rFont val="돋움"/>
            <family val="3"/>
            <charset val="129"/>
          </rPr>
          <t>설정예정금액</t>
        </r>
        <r>
          <rPr>
            <sz val="9"/>
            <color indexed="81"/>
            <rFont val="Tahoma"/>
            <family val="2"/>
          </rPr>
          <t xml:space="preserve"> :2000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예상테너</t>
        </r>
        <r>
          <rPr>
            <sz val="9"/>
            <color indexed="81"/>
            <rFont val="Tahoma"/>
            <family val="2"/>
          </rPr>
          <t xml:space="preserve"> : 1, 2, 3, 6 
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해외집합투자업자인</t>
        </r>
        <r>
          <rPr>
            <sz val="9"/>
            <color indexed="81"/>
            <rFont val="Tahoma"/>
            <family val="2"/>
          </rPr>
          <t xml:space="preserve"> Nuveen Asset Management LLC 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Coloumbia Management Investment Advisers LLC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해외자산의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운용업무를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위탁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누빈자산운용</t>
        </r>
        <r>
          <rPr>
            <sz val="9"/>
            <color indexed="81"/>
            <rFont val="Tahoma"/>
            <family val="2"/>
          </rPr>
          <t xml:space="preserve"> 
- </t>
        </r>
        <r>
          <rPr>
            <sz val="9"/>
            <color indexed="81"/>
            <rFont val="돋움"/>
            <family val="3"/>
            <charset val="129"/>
          </rPr>
          <t>미국자산운용사로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출자한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자산운용사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운용자산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조원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H64" authorId="0" shapeId="0" xr:uid="{00000000-0006-0000-0B00-000006000000}">
      <text>
        <r>
          <rPr>
            <sz val="9"/>
            <color indexed="81"/>
            <rFont val="돋움"/>
            <family val="3"/>
            <charset val="129"/>
          </rPr>
          <t>설정예정금액</t>
        </r>
        <r>
          <rPr>
            <sz val="9"/>
            <color indexed="81"/>
            <rFont val="Tahoma"/>
            <family val="2"/>
          </rPr>
          <t xml:space="preserve"> :2000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예상테너</t>
        </r>
        <r>
          <rPr>
            <sz val="9"/>
            <color indexed="81"/>
            <rFont val="Tahoma"/>
            <family val="2"/>
          </rPr>
          <t xml:space="preserve"> : 1, 2, 3, 6 
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해외집합투자업자인</t>
        </r>
        <r>
          <rPr>
            <sz val="9"/>
            <color indexed="81"/>
            <rFont val="Tahoma"/>
            <family val="2"/>
          </rPr>
          <t xml:space="preserve"> Nuveen Asset Management LLC 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Coloumbia Management Investment Advisers LLC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해외자산의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운용업무를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위탁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누빈자산운용</t>
        </r>
        <r>
          <rPr>
            <sz val="9"/>
            <color indexed="81"/>
            <rFont val="Tahoma"/>
            <family val="2"/>
          </rPr>
          <t xml:space="preserve"> 
- </t>
        </r>
        <r>
          <rPr>
            <sz val="9"/>
            <color indexed="81"/>
            <rFont val="돋움"/>
            <family val="3"/>
            <charset val="129"/>
          </rPr>
          <t>미국자산운용사로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출자한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자산운용사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운용자산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조원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MasterVD</author>
  </authors>
  <commentList>
    <comment ref="H7" authorId="0" shapeId="0" xr:uid="{00000000-0006-0000-0F00-000001000000}">
      <text>
        <r>
          <rPr>
            <sz val="9"/>
            <color indexed="81"/>
            <rFont val="돋움"/>
            <family val="3"/>
            <charset val="129"/>
          </rPr>
          <t xml:space="preserve">
항공사, 리스사 등에 엔진을 리스해 준 뒤 임대료를 수취하여 현금흐름을 발생시킴 
기초자산 최초 설정 시 56개에서 현재 49개 (매각등을 통해 원금 일부 회수) 
수익자와의 캐피탈 콜 약정서 체결함
펀드만기는 2042년 8월 예정으로 만기까지는 유동성 
확보 가능 
미국 항공기엔진 리스 전문회사인 willis lease finance corporation 가 spv를 통해 발행할 예정인 엔진 ABS
(항공기 엔진 임대료 수익 및 엔진 매각대금을 기초로 원리금이 상환되는 투자 구조이며, 총 펀등 금액은 18.0 MN 수준임) 
수익자 : 행정공제회 
</t>
        </r>
      </text>
    </comment>
    <comment ref="H8" authorId="0" shapeId="0" xr:uid="{00000000-0006-0000-0F00-000002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투자전략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미국시장에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전통자산</t>
        </r>
        <r>
          <rPr>
            <sz val="9"/>
            <color indexed="81"/>
            <rFont val="Tahoma"/>
            <family val="2"/>
          </rPr>
          <t xml:space="preserve"> ETF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기반으로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다양한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대체자산을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편입</t>
        </r>
        <r>
          <rPr>
            <sz val="9"/>
            <color indexed="81"/>
            <rFont val="Tahoma"/>
            <family val="2"/>
          </rPr>
          <t xml:space="preserve">, 
</t>
        </r>
        <r>
          <rPr>
            <sz val="9"/>
            <color indexed="81"/>
            <rFont val="돋움"/>
            <family val="3"/>
            <charset val="129"/>
          </rPr>
          <t>분산효과와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자산배분</t>
        </r>
        <r>
          <rPr>
            <sz val="9"/>
            <color indexed="81"/>
            <rFont val="Tahoma"/>
            <family val="2"/>
          </rPr>
          <t xml:space="preserve"> EMP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MasterVD</author>
  </authors>
  <commentList>
    <comment ref="G18" authorId="0" shapeId="0" xr:uid="{00000000-0006-0000-1000-000001000000}">
      <text>
        <r>
          <rPr>
            <sz val="9"/>
            <color indexed="81"/>
            <rFont val="돋움"/>
            <family val="3"/>
            <charset val="129"/>
          </rPr>
          <t>혼합자산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전문투자형</t>
        </r>
        <r>
          <rPr>
            <sz val="9"/>
            <color indexed="81"/>
            <rFont val="Tahoma"/>
            <family val="2"/>
          </rPr>
          <t xml:space="preserve">/
</t>
        </r>
        <r>
          <rPr>
            <sz val="9"/>
            <color indexed="81"/>
            <rFont val="돋움"/>
            <family val="3"/>
            <charset val="129"/>
          </rPr>
          <t>패쇄형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sz val="9"/>
            <color indexed="81"/>
            <rFont val="돋움"/>
            <family val="3"/>
            <charset val="129"/>
          </rPr>
          <t>단위형
헤지기간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북미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미들마켓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기업대상</t>
        </r>
        <r>
          <rPr>
            <sz val="9"/>
            <color indexed="81"/>
            <rFont val="Tahoma"/>
            <family val="2"/>
          </rPr>
          <t xml:space="preserve"> buyout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가진</t>
        </r>
        <r>
          <rPr>
            <sz val="9"/>
            <color indexed="81"/>
            <rFont val="Tahoma"/>
            <family val="2"/>
          </rPr>
          <t xml:space="preserve"> manulife investment management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국내등록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완료된</t>
        </r>
        <r>
          <rPr>
            <sz val="9"/>
            <color indexed="81"/>
            <rFont val="Tahoma"/>
            <family val="2"/>
          </rPr>
          <t xml:space="preserve"> manulife co-investment partners lp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재간접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매입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국내외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채권관련</t>
        </r>
        <r>
          <rPr>
            <sz val="9"/>
            <color indexed="81"/>
            <rFont val="Tahoma"/>
            <family val="2"/>
          </rPr>
          <t xml:space="preserve"> ETF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MMF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유동성을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 xml:space="preserve">
수익증권매입확약서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보유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DB </t>
        </r>
        <r>
          <rPr>
            <sz val="9"/>
            <color indexed="81"/>
            <rFont val="돋움"/>
            <family val="3"/>
            <charset val="129"/>
          </rPr>
          <t>손해보험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G20" authorId="0" shapeId="0" xr:uid="{00000000-0006-0000-1000-000002000000}">
      <text>
        <r>
          <rPr>
            <sz val="9"/>
            <color indexed="81"/>
            <rFont val="돋움"/>
            <family val="3"/>
            <charset val="129"/>
          </rPr>
          <t>혼합자산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전문투자형</t>
        </r>
        <r>
          <rPr>
            <sz val="9"/>
            <color indexed="81"/>
            <rFont val="Tahoma"/>
            <family val="2"/>
          </rPr>
          <t xml:space="preserve">/
</t>
        </r>
        <r>
          <rPr>
            <sz val="9"/>
            <color indexed="81"/>
            <rFont val="돋움"/>
            <family val="3"/>
            <charset val="129"/>
          </rPr>
          <t>패쇄형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sz val="9"/>
            <color indexed="81"/>
            <rFont val="돋움"/>
            <family val="3"/>
            <charset val="129"/>
          </rPr>
          <t>단위형
헤지기간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북미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미들마켓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기업대상</t>
        </r>
        <r>
          <rPr>
            <sz val="9"/>
            <color indexed="81"/>
            <rFont val="Tahoma"/>
            <family val="2"/>
          </rPr>
          <t xml:space="preserve"> buyout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가진</t>
        </r>
        <r>
          <rPr>
            <sz val="9"/>
            <color indexed="81"/>
            <rFont val="Tahoma"/>
            <family val="2"/>
          </rPr>
          <t xml:space="preserve"> manulife investment management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국내등록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완료된</t>
        </r>
        <r>
          <rPr>
            <sz val="9"/>
            <color indexed="81"/>
            <rFont val="Tahoma"/>
            <family val="2"/>
          </rPr>
          <t xml:space="preserve"> manulife co-investment partners lp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재간접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매입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국내외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채권관련</t>
        </r>
        <r>
          <rPr>
            <sz val="9"/>
            <color indexed="81"/>
            <rFont val="Tahoma"/>
            <family val="2"/>
          </rPr>
          <t xml:space="preserve"> ETF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MMF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유동성을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 xml:space="preserve">
수익증권매입확약서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보유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DB </t>
        </r>
        <r>
          <rPr>
            <sz val="9"/>
            <color indexed="81"/>
            <rFont val="돋움"/>
            <family val="3"/>
            <charset val="129"/>
          </rPr>
          <t>손해보험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G23" authorId="0" shapeId="0" xr:uid="{00000000-0006-0000-1000-000003000000}">
      <text>
        <r>
          <rPr>
            <sz val="9"/>
            <color indexed="81"/>
            <rFont val="돋움"/>
            <family val="3"/>
            <charset val="129"/>
          </rPr>
          <t>혼합자산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전문투자형</t>
        </r>
        <r>
          <rPr>
            <sz val="9"/>
            <color indexed="81"/>
            <rFont val="Tahoma"/>
            <family val="2"/>
          </rPr>
          <t xml:space="preserve">/
</t>
        </r>
        <r>
          <rPr>
            <sz val="9"/>
            <color indexed="81"/>
            <rFont val="돋움"/>
            <family val="3"/>
            <charset val="129"/>
          </rPr>
          <t>패쇄형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sz val="9"/>
            <color indexed="81"/>
            <rFont val="돋움"/>
            <family val="3"/>
            <charset val="129"/>
          </rPr>
          <t>단위형
헤지기간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북미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미들마켓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기업대상</t>
        </r>
        <r>
          <rPr>
            <sz val="9"/>
            <color indexed="81"/>
            <rFont val="Tahoma"/>
            <family val="2"/>
          </rPr>
          <t xml:space="preserve"> buyout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가진</t>
        </r>
        <r>
          <rPr>
            <sz val="9"/>
            <color indexed="81"/>
            <rFont val="Tahoma"/>
            <family val="2"/>
          </rPr>
          <t xml:space="preserve"> manulife investment management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국내등록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완료된</t>
        </r>
        <r>
          <rPr>
            <sz val="9"/>
            <color indexed="81"/>
            <rFont val="Tahoma"/>
            <family val="2"/>
          </rPr>
          <t xml:space="preserve"> manulife co-investment partners lp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재간접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매입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국내외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채권관련</t>
        </r>
        <r>
          <rPr>
            <sz val="9"/>
            <color indexed="81"/>
            <rFont val="Tahoma"/>
            <family val="2"/>
          </rPr>
          <t xml:space="preserve"> ETF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MMF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유동성을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 xml:space="preserve">
수익증권매입확약서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보유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DB </t>
        </r>
        <r>
          <rPr>
            <sz val="9"/>
            <color indexed="81"/>
            <rFont val="돋움"/>
            <family val="3"/>
            <charset val="129"/>
          </rPr>
          <t>손해보험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G24" authorId="0" shapeId="0" xr:uid="{00000000-0006-0000-1000-000004000000}">
      <text>
        <r>
          <rPr>
            <sz val="9"/>
            <color indexed="81"/>
            <rFont val="돋움"/>
            <family val="3"/>
            <charset val="129"/>
          </rPr>
          <t>혼합자산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전문투자형</t>
        </r>
        <r>
          <rPr>
            <sz val="9"/>
            <color indexed="81"/>
            <rFont val="Tahoma"/>
            <family val="2"/>
          </rPr>
          <t xml:space="preserve">/
</t>
        </r>
        <r>
          <rPr>
            <sz val="9"/>
            <color indexed="81"/>
            <rFont val="돋움"/>
            <family val="3"/>
            <charset val="129"/>
          </rPr>
          <t>패쇄형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sz val="9"/>
            <color indexed="81"/>
            <rFont val="돋움"/>
            <family val="3"/>
            <charset val="129"/>
          </rPr>
          <t>단위형
헤지기간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북미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미들마켓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기업대상</t>
        </r>
        <r>
          <rPr>
            <sz val="9"/>
            <color indexed="81"/>
            <rFont val="Tahoma"/>
            <family val="2"/>
          </rPr>
          <t xml:space="preserve"> buyout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가진</t>
        </r>
        <r>
          <rPr>
            <sz val="9"/>
            <color indexed="81"/>
            <rFont val="Tahoma"/>
            <family val="2"/>
          </rPr>
          <t xml:space="preserve"> manulife investment management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국내등록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완료된</t>
        </r>
        <r>
          <rPr>
            <sz val="9"/>
            <color indexed="81"/>
            <rFont val="Tahoma"/>
            <family val="2"/>
          </rPr>
          <t xml:space="preserve"> manulife co-investment partners lp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재간접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매입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국내외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채권관련</t>
        </r>
        <r>
          <rPr>
            <sz val="9"/>
            <color indexed="81"/>
            <rFont val="Tahoma"/>
            <family val="2"/>
          </rPr>
          <t xml:space="preserve"> ETF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MMF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유동성을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 xml:space="preserve">
수익증권매입확약서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보유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DB </t>
        </r>
        <r>
          <rPr>
            <sz val="9"/>
            <color indexed="81"/>
            <rFont val="돋움"/>
            <family val="3"/>
            <charset val="129"/>
          </rPr>
          <t>손해보험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G25" authorId="0" shapeId="0" xr:uid="{00000000-0006-0000-1000-000005000000}">
      <text>
        <r>
          <rPr>
            <sz val="9"/>
            <color indexed="81"/>
            <rFont val="돋움"/>
            <family val="3"/>
            <charset val="129"/>
          </rPr>
          <t>혼합자산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전문투자형</t>
        </r>
        <r>
          <rPr>
            <sz val="9"/>
            <color indexed="81"/>
            <rFont val="Tahoma"/>
            <family val="2"/>
          </rPr>
          <t xml:space="preserve">/
</t>
        </r>
        <r>
          <rPr>
            <sz val="9"/>
            <color indexed="81"/>
            <rFont val="돋움"/>
            <family val="3"/>
            <charset val="129"/>
          </rPr>
          <t>패쇄형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sz val="9"/>
            <color indexed="81"/>
            <rFont val="돋움"/>
            <family val="3"/>
            <charset val="129"/>
          </rPr>
          <t>단위형
헤지기간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북미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미들마켓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기업대상</t>
        </r>
        <r>
          <rPr>
            <sz val="9"/>
            <color indexed="81"/>
            <rFont val="Tahoma"/>
            <family val="2"/>
          </rPr>
          <t xml:space="preserve"> buyout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가진</t>
        </r>
        <r>
          <rPr>
            <sz val="9"/>
            <color indexed="81"/>
            <rFont val="Tahoma"/>
            <family val="2"/>
          </rPr>
          <t xml:space="preserve"> manulife investment management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국내등록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완료된</t>
        </r>
        <r>
          <rPr>
            <sz val="9"/>
            <color indexed="81"/>
            <rFont val="Tahoma"/>
            <family val="2"/>
          </rPr>
          <t xml:space="preserve"> manulife co-investment partners lp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재간접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매입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국내외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채권관련</t>
        </r>
        <r>
          <rPr>
            <sz val="9"/>
            <color indexed="81"/>
            <rFont val="Tahoma"/>
            <family val="2"/>
          </rPr>
          <t xml:space="preserve"> ETF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MMF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유동성을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 xml:space="preserve">
수익증권매입확약서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보유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DB </t>
        </r>
        <r>
          <rPr>
            <sz val="9"/>
            <color indexed="81"/>
            <rFont val="돋움"/>
            <family val="3"/>
            <charset val="129"/>
          </rPr>
          <t>손해보험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G26" authorId="0" shapeId="0" xr:uid="{00000000-0006-0000-1000-000006000000}">
      <text>
        <r>
          <rPr>
            <sz val="9"/>
            <color indexed="81"/>
            <rFont val="돋움"/>
            <family val="3"/>
            <charset val="129"/>
          </rPr>
          <t>혼합자산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전문투자형</t>
        </r>
        <r>
          <rPr>
            <sz val="9"/>
            <color indexed="81"/>
            <rFont val="Tahoma"/>
            <family val="2"/>
          </rPr>
          <t xml:space="preserve">/
</t>
        </r>
        <r>
          <rPr>
            <sz val="9"/>
            <color indexed="81"/>
            <rFont val="돋움"/>
            <family val="3"/>
            <charset val="129"/>
          </rPr>
          <t>패쇄형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sz val="9"/>
            <color indexed="81"/>
            <rFont val="돋움"/>
            <family val="3"/>
            <charset val="129"/>
          </rPr>
          <t>단위형
헤지기간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북미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미들마켓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기업대상</t>
        </r>
        <r>
          <rPr>
            <sz val="9"/>
            <color indexed="81"/>
            <rFont val="Tahoma"/>
            <family val="2"/>
          </rPr>
          <t xml:space="preserve"> buyout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가진</t>
        </r>
        <r>
          <rPr>
            <sz val="9"/>
            <color indexed="81"/>
            <rFont val="Tahoma"/>
            <family val="2"/>
          </rPr>
          <t xml:space="preserve"> manulife investment management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국내등록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완료된</t>
        </r>
        <r>
          <rPr>
            <sz val="9"/>
            <color indexed="81"/>
            <rFont val="Tahoma"/>
            <family val="2"/>
          </rPr>
          <t xml:space="preserve"> manulife co-investment partners lp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재간접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매입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국내외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채권관련</t>
        </r>
        <r>
          <rPr>
            <sz val="9"/>
            <color indexed="81"/>
            <rFont val="Tahoma"/>
            <family val="2"/>
          </rPr>
          <t xml:space="preserve"> ETF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MMF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유동성을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관리함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 xml:space="preserve">
수익증권매입확약서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보유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DB </t>
        </r>
        <r>
          <rPr>
            <sz val="9"/>
            <color indexed="81"/>
            <rFont val="돋움"/>
            <family val="3"/>
            <charset val="129"/>
          </rPr>
          <t>손해보험</t>
        </r>
        <r>
          <rPr>
            <sz val="9"/>
            <color indexed="81"/>
            <rFont val="Tahoma"/>
            <family val="2"/>
          </rPr>
          <t xml:space="preserve"> 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MasterVD</author>
  </authors>
  <commentList>
    <comment ref="G14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MasterVD: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운용전략상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환오픈형임에도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불구하고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환매금액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환헷지의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</text>
    </comment>
    <comment ref="G16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MasterVD: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운용전략상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환오픈형임에도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불구하고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환매금액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환헷지의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G17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MasterVD: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운용전략상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환오픈형임에도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불구하고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환매금액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환헷지의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G20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 xml:space="preserve">MasterVD:
</t>
        </r>
        <r>
          <rPr>
            <b/>
            <sz val="9"/>
            <color indexed="81"/>
            <rFont val="돋움"/>
            <family val="3"/>
            <charset val="129"/>
          </rPr>
          <t>외화수익증권</t>
        </r>
        <r>
          <rPr>
            <b/>
            <sz val="9"/>
            <color indexed="81"/>
            <rFont val="Tahoma"/>
            <family val="2"/>
          </rPr>
          <t xml:space="preserve"> S&amp;B </t>
        </r>
        <r>
          <rPr>
            <b/>
            <sz val="9"/>
            <color indexed="81"/>
            <rFont val="돋움"/>
            <family val="3"/>
            <charset val="129"/>
          </rPr>
          <t>펀드</t>
        </r>
      </text>
    </comment>
    <comment ref="G42" authorId="0" shapeId="0" xr:uid="{17CEE43E-EFAD-4A30-A26A-704CD7FB89E5}">
      <text>
        <r>
          <rPr>
            <b/>
            <sz val="9"/>
            <color indexed="81"/>
            <rFont val="Tahoma"/>
            <family val="2"/>
          </rPr>
          <t xml:space="preserve">MasterVD:
</t>
        </r>
        <r>
          <rPr>
            <b/>
            <sz val="9"/>
            <color indexed="81"/>
            <rFont val="돋움"/>
            <family val="3"/>
            <charset val="129"/>
          </rPr>
          <t>외화수익증권</t>
        </r>
        <r>
          <rPr>
            <b/>
            <sz val="9"/>
            <color indexed="81"/>
            <rFont val="Tahoma"/>
            <family val="2"/>
          </rPr>
          <t xml:space="preserve"> S&amp;B </t>
        </r>
        <r>
          <rPr>
            <b/>
            <sz val="9"/>
            <color indexed="81"/>
            <rFont val="돋움"/>
            <family val="3"/>
            <charset val="129"/>
          </rPr>
          <t>펀드</t>
        </r>
      </text>
    </comment>
    <comment ref="G43" authorId="0" shapeId="0" xr:uid="{3459B9B4-16AA-47ED-8969-7B407DDC8D06}">
      <text>
        <r>
          <rPr>
            <b/>
            <sz val="9"/>
            <color indexed="81"/>
            <rFont val="Tahoma"/>
            <family val="2"/>
          </rPr>
          <t xml:space="preserve">MasterVD:
</t>
        </r>
        <r>
          <rPr>
            <b/>
            <sz val="9"/>
            <color indexed="81"/>
            <rFont val="돋움"/>
            <family val="3"/>
            <charset val="129"/>
          </rPr>
          <t>외화수익증권</t>
        </r>
        <r>
          <rPr>
            <b/>
            <sz val="9"/>
            <color indexed="81"/>
            <rFont val="Tahoma"/>
            <family val="2"/>
          </rPr>
          <t xml:space="preserve"> S&amp;B </t>
        </r>
        <r>
          <rPr>
            <b/>
            <sz val="9"/>
            <color indexed="81"/>
            <rFont val="돋움"/>
            <family val="3"/>
            <charset val="129"/>
          </rPr>
          <t>펀드</t>
        </r>
      </text>
    </comment>
    <comment ref="G44" authorId="0" shapeId="0" xr:uid="{3FC84A1A-2AFC-4250-9A74-97EABF46E823}">
      <text>
        <r>
          <rPr>
            <b/>
            <sz val="9"/>
            <color indexed="81"/>
            <rFont val="Tahoma"/>
            <family val="2"/>
          </rPr>
          <t xml:space="preserve">MasterVD:
</t>
        </r>
        <r>
          <rPr>
            <b/>
            <sz val="9"/>
            <color indexed="81"/>
            <rFont val="돋움"/>
            <family val="3"/>
            <charset val="129"/>
          </rPr>
          <t>외화수익증권</t>
        </r>
        <r>
          <rPr>
            <b/>
            <sz val="9"/>
            <color indexed="81"/>
            <rFont val="Tahoma"/>
            <family val="2"/>
          </rPr>
          <t xml:space="preserve"> S&amp;B </t>
        </r>
        <r>
          <rPr>
            <b/>
            <sz val="9"/>
            <color indexed="81"/>
            <rFont val="돋움"/>
            <family val="3"/>
            <charset val="129"/>
          </rPr>
          <t>펀드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MasterVD</author>
  </authors>
  <commentList>
    <comment ref="J4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2020.07.20</t>
        </r>
      </text>
    </comment>
    <comment ref="H9" authorId="1" shapeId="0" xr:uid="{00000000-0006-0000-1200-000002000000}">
      <text>
        <r>
          <rPr>
            <sz val="9"/>
            <color indexed="81"/>
            <rFont val="Tahoma"/>
            <family val="2"/>
          </rPr>
          <t xml:space="preserve">
TENOR 3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예상설정액</t>
        </r>
        <r>
          <rPr>
            <sz val="9"/>
            <color indexed="81"/>
            <rFont val="Tahoma"/>
            <family val="2"/>
          </rPr>
          <t xml:space="preserve"> 200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상품유형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혼합자산형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전문투자형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 
(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선진국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부동산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보증</t>
        </r>
        <r>
          <rPr>
            <sz val="9"/>
            <color indexed="81"/>
            <rFont val="Tahoma"/>
            <family val="2"/>
          </rPr>
          <t xml:space="preserve"> MBS </t>
        </r>
        <r>
          <rPr>
            <sz val="9"/>
            <color indexed="81"/>
            <rFont val="돋움"/>
            <family val="3"/>
            <charset val="129"/>
          </rPr>
          <t>펀드에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안정적인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피투자펀드</t>
        </r>
        <r>
          <rPr>
            <sz val="9"/>
            <color indexed="81"/>
            <rFont val="Tahoma"/>
            <family val="2"/>
          </rPr>
          <t xml:space="preserve"> 
STARWOOD REAL ESTATE INCOME TRUST
BLACKROCK GLOBAL FUNDS US GOVERNMENT MORTGATE FUND 
</t>
        </r>
        <r>
          <rPr>
            <sz val="9"/>
            <color indexed="81"/>
            <rFont val="돋움"/>
            <family val="3"/>
            <charset val="129"/>
          </rPr>
          <t>투자대상대부분이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신용등급</t>
        </r>
        <r>
          <rPr>
            <sz val="9"/>
            <color indexed="81"/>
            <rFont val="Tahoma"/>
            <family val="2"/>
          </rPr>
          <t xml:space="preserve"> AAA</t>
        </r>
        <r>
          <rPr>
            <sz val="9"/>
            <color indexed="81"/>
            <rFont val="돋움"/>
            <family val="3"/>
            <charset val="129"/>
          </rPr>
          <t>이면서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보증하는</t>
        </r>
        <r>
          <rPr>
            <sz val="9"/>
            <color indexed="81"/>
            <rFont val="Tahoma"/>
            <family val="2"/>
          </rPr>
          <t xml:space="preserve"> MBS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편입예정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비상장리츠</t>
        </r>
        <r>
          <rPr>
            <sz val="9"/>
            <color indexed="81"/>
            <rFont val="Tahoma"/>
            <family val="2"/>
          </rPr>
          <t xml:space="preserve"> (45%) 
- 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주요도시의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부동산을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투자자에게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배당하는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>MBS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(55%)
- GSE(</t>
        </r>
        <r>
          <rPr>
            <sz val="9"/>
            <color indexed="81"/>
            <rFont val="돋움"/>
            <family val="3"/>
            <charset val="129"/>
          </rPr>
          <t>정부보증기업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FANNIE MAE, FREDDIE MAC, GINNIE MAE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보증하는</t>
        </r>
        <r>
          <rPr>
            <sz val="9"/>
            <color indexed="81"/>
            <rFont val="Tahoma"/>
            <family val="2"/>
          </rPr>
          <t xml:space="preserve"> AGENCY MBS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투자
</t>
        </r>
      </text>
    </comment>
    <comment ref="J10" authorId="0" shapeId="0" xr:uid="{00000000-0006-0000-1200-000003000000}">
      <text>
        <r>
          <rPr>
            <sz val="9"/>
            <color indexed="81"/>
            <rFont val="Tahoma"/>
            <family val="2"/>
          </rPr>
          <t xml:space="preserve">2020/11/02
</t>
        </r>
      </text>
    </comment>
    <comment ref="H31" authorId="1" shapeId="0" xr:uid="{00000000-0006-0000-1200-000004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북미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</t>
        </r>
        <r>
          <rPr>
            <sz val="9"/>
            <color indexed="81"/>
            <rFont val="Tahoma"/>
            <family val="2"/>
          </rPr>
          <t xml:space="preserve"> MIDDLE MARKET </t>
        </r>
        <r>
          <rPr>
            <sz val="9"/>
            <color indexed="81"/>
            <rFont val="돋움"/>
            <family val="3"/>
            <charset val="129"/>
          </rPr>
          <t>기업을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역외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집합투자기구와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아시아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지역기업들을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대상으로</t>
        </r>
        <r>
          <rPr>
            <sz val="9"/>
            <color indexed="81"/>
            <rFont val="Tahoma"/>
            <family val="2"/>
          </rPr>
          <t xml:space="preserve"> Capital solution, Deleveraging 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역외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집합투자기구의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각각</t>
        </r>
        <r>
          <rPr>
            <sz val="9"/>
            <color indexed="81"/>
            <rFont val="Tahoma"/>
            <family val="2"/>
          </rPr>
          <t xml:space="preserve"> 70:30 </t>
        </r>
        <r>
          <rPr>
            <sz val="9"/>
            <color indexed="81"/>
            <rFont val="돋움"/>
            <family val="3"/>
            <charset val="129"/>
          </rPr>
          <t>비율로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연동되어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발행되는</t>
        </r>
        <r>
          <rPr>
            <sz val="9"/>
            <color indexed="81"/>
            <rFont val="Tahoma"/>
            <family val="2"/>
          </rPr>
          <t xml:space="preserve"> Note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투자대상으로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기간별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산업별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지역별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분산화된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폐쇄형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캐피탈콜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계약서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최초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납입일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환율변동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회피를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환헷지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캐피탈콜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추가투자신탁금을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NOTE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신용등급은</t>
        </r>
        <r>
          <rPr>
            <sz val="9"/>
            <color indexed="81"/>
            <rFont val="Tahoma"/>
            <family val="2"/>
          </rPr>
          <t xml:space="preserve"> A- </t>
        </r>
      </text>
    </comment>
    <comment ref="H33" authorId="1" shapeId="0" xr:uid="{00000000-0006-0000-1200-000005000000}">
      <text>
        <r>
          <rPr>
            <sz val="9"/>
            <color indexed="81"/>
            <rFont val="Tahoma"/>
            <family val="2"/>
          </rPr>
          <t xml:space="preserve">2021.12.03 
</t>
        </r>
        <r>
          <rPr>
            <sz val="9"/>
            <color indexed="81"/>
            <rFont val="돋움"/>
            <family val="3"/>
            <charset val="129"/>
          </rPr>
          <t>업데이트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H36" authorId="1" shapeId="0" xr:uid="{00000000-0006-0000-1200-000006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은행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금융지주가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달러표시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
국내발행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상대적으로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달러표시채권에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환헤지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개월에서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거래통화</t>
        </r>
        <r>
          <rPr>
            <sz val="9"/>
            <color indexed="81"/>
            <rFont val="Tahoma"/>
            <family val="2"/>
          </rPr>
          <t xml:space="preserve"> : USD, EUR
</t>
        </r>
        <r>
          <rPr>
            <sz val="9"/>
            <color indexed="81"/>
            <rFont val="돋움"/>
            <family val="3"/>
            <charset val="129"/>
          </rPr>
          <t>기간</t>
        </r>
        <r>
          <rPr>
            <sz val="9"/>
            <color indexed="81"/>
            <rFont val="Tahoma"/>
            <family val="2"/>
          </rPr>
          <t xml:space="preserve"> : 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유럽소재</t>
        </r>
        <r>
          <rPr>
            <sz val="9"/>
            <color indexed="81"/>
            <rFont val="Tahoma"/>
            <family val="2"/>
          </rPr>
          <t xml:space="preserve"> Large mid cap </t>
        </r>
        <r>
          <rPr>
            <sz val="9"/>
            <color indexed="81"/>
            <rFont val="돋움"/>
            <family val="3"/>
            <charset val="129"/>
          </rPr>
          <t>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선순위대출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딜소싱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능력을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보유한</t>
        </r>
        <r>
          <rPr>
            <sz val="9"/>
            <color indexed="81"/>
            <rFont val="Tahoma"/>
            <family val="2"/>
          </rPr>
          <t xml:space="preserve"> ing</t>
        </r>
        <r>
          <rPr>
            <sz val="9"/>
            <color indexed="81"/>
            <rFont val="돋움"/>
            <family val="3"/>
            <charset val="129"/>
          </rPr>
          <t>은행이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제안하고</t>
        </r>
        <r>
          <rPr>
            <sz val="9"/>
            <color indexed="81"/>
            <rFont val="Tahoma"/>
            <family val="2"/>
          </rPr>
          <t xml:space="preserve"> river rock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선별적으로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펀드레버리지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없이</t>
        </r>
        <r>
          <rPr>
            <sz val="9"/>
            <color indexed="81"/>
            <rFont val="Tahoma"/>
            <family val="2"/>
          </rPr>
          <t xml:space="preserve"> NET IRR </t>
        </r>
        <r>
          <rPr>
            <sz val="9"/>
            <color indexed="81"/>
            <rFont val="돋움"/>
            <family val="3"/>
            <charset val="129"/>
          </rPr>
          <t>유로</t>
        </r>
        <r>
          <rPr>
            <sz val="9"/>
            <color indexed="81"/>
            <rFont val="Tahoma"/>
            <family val="2"/>
          </rPr>
          <t xml:space="preserve"> 4~5% </t>
        </r>
        <r>
          <rPr>
            <sz val="9"/>
            <color indexed="81"/>
            <rFont val="돋움"/>
            <family val="3"/>
            <charset val="129"/>
          </rPr>
          <t>목표로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전통적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선순위대출에만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RiverRock European Capital Partner LLP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역외펀드인</t>
        </r>
        <r>
          <rPr>
            <sz val="9"/>
            <color indexed="81"/>
            <rFont val="Tahoma"/>
            <family val="2"/>
          </rPr>
          <t xml:space="preserve"> river rock senior loan fund1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지분투자를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구조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위험</t>
        </r>
        <r>
          <rPr>
            <sz val="9"/>
            <color indexed="81"/>
            <rFont val="Tahoma"/>
            <family val="2"/>
          </rPr>
          <t xml:space="preserve"> : 4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원금에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RiverRock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2009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설립된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대체투자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전문회사로</t>
        </r>
        <r>
          <rPr>
            <sz val="9"/>
            <color indexed="81"/>
            <rFont val="Tahoma"/>
            <family val="2"/>
          </rPr>
          <t xml:space="preserve"> 53</t>
        </r>
        <r>
          <rPr>
            <sz val="9"/>
            <color indexed="81"/>
            <rFont val="돋움"/>
            <family val="3"/>
            <charset val="129"/>
          </rPr>
          <t>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임직원이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유럽회사</t>
        </r>
        <r>
          <rPr>
            <sz val="9"/>
            <color indexed="81"/>
            <rFont val="Tahoma"/>
            <family val="2"/>
          </rPr>
          <t xml:space="preserve"> direct lending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부동산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인프라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사모대출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투자플랫폼을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제공하고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
</t>
        </r>
      </text>
    </comment>
    <comment ref="I36" authorId="1" shapeId="0" xr:uid="{00000000-0006-0000-1200-000007000000}">
      <text>
        <r>
          <rPr>
            <sz val="9"/>
            <color indexed="81"/>
            <rFont val="Tahoma"/>
            <family val="2"/>
          </rPr>
          <t xml:space="preserve">4/11 </t>
        </r>
        <r>
          <rPr>
            <sz val="9"/>
            <color indexed="81"/>
            <rFont val="돋움"/>
            <family val="3"/>
            <charset val="129"/>
          </rPr>
          <t>기준가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업데이트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0" authorId="1" shapeId="0" xr:uid="{00000000-0006-0000-1200-000008000000}">
      <text>
        <r>
          <rPr>
            <sz val="9"/>
            <color indexed="81"/>
            <rFont val="돋움"/>
            <family val="3"/>
            <charset val="129"/>
          </rPr>
          <t>사모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패쇄형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단위형</t>
        </r>
        <r>
          <rPr>
            <sz val="9"/>
            <color indexed="81"/>
            <rFont val="Tahoma"/>
            <family val="2"/>
          </rPr>
          <t xml:space="preserve"> 
Global Direct Lending 2021 </t>
        </r>
        <r>
          <rPr>
            <sz val="9"/>
            <color indexed="81"/>
            <rFont val="돋움"/>
            <family val="3"/>
            <charset val="129"/>
          </rPr>
          <t>투자에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연동되어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발행되는</t>
        </r>
        <r>
          <rPr>
            <sz val="9"/>
            <color indexed="81"/>
            <rFont val="Tahoma"/>
            <family val="2"/>
          </rPr>
          <t xml:space="preserve"> Bain Capital Funding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9"/>
            <color indexed="81"/>
            <rFont val="돋움"/>
            <family val="3"/>
            <charset val="129"/>
          </rPr>
          <t>투자등급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폐쇄형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캐피탈콜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계약서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최초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납입일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환율변동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회피를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환헷지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캐피탈콜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추가투자신탁금을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NOTE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신용등급은</t>
        </r>
        <r>
          <rPr>
            <sz val="9"/>
            <color indexed="81"/>
            <rFont val="Tahoma"/>
            <family val="2"/>
          </rPr>
          <t xml:space="preserve"> A- </t>
        </r>
      </text>
    </comment>
    <comment ref="H45" authorId="1" shapeId="0" xr:uid="{00000000-0006-0000-1200-000009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북미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</t>
        </r>
        <r>
          <rPr>
            <sz val="9"/>
            <color indexed="81"/>
            <rFont val="Tahoma"/>
            <family val="2"/>
          </rPr>
          <t xml:space="preserve"> MIDDLE MARKET </t>
        </r>
        <r>
          <rPr>
            <sz val="9"/>
            <color indexed="81"/>
            <rFont val="돋움"/>
            <family val="3"/>
            <charset val="129"/>
          </rPr>
          <t>기업을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역외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집합투자기구와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아시아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지역기업들을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대상으로</t>
        </r>
        <r>
          <rPr>
            <sz val="9"/>
            <color indexed="81"/>
            <rFont val="Tahoma"/>
            <family val="2"/>
          </rPr>
          <t xml:space="preserve"> Capital solution, Deleveraging 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역외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집합투자기구의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각각</t>
        </r>
        <r>
          <rPr>
            <sz val="9"/>
            <color indexed="81"/>
            <rFont val="Tahoma"/>
            <family val="2"/>
          </rPr>
          <t xml:space="preserve"> 70:30 </t>
        </r>
        <r>
          <rPr>
            <sz val="9"/>
            <color indexed="81"/>
            <rFont val="돋움"/>
            <family val="3"/>
            <charset val="129"/>
          </rPr>
          <t>비율로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연동되어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발행되는</t>
        </r>
        <r>
          <rPr>
            <sz val="9"/>
            <color indexed="81"/>
            <rFont val="Tahoma"/>
            <family val="2"/>
          </rPr>
          <t xml:space="preserve"> Note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투자대상으로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기간별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산업별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지역별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분산화된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폐쇄형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캐피탈콜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계약서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최초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납입일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환율변동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회피를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환헷지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투자신탁금이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캐피탈콜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추가투자신탁금을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NOTE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신용등급은</t>
        </r>
        <r>
          <rPr>
            <sz val="9"/>
            <color indexed="81"/>
            <rFont val="Tahoma"/>
            <family val="2"/>
          </rPr>
          <t xml:space="preserve"> A- </t>
        </r>
      </text>
    </comment>
    <comment ref="H79" authorId="1" shapeId="0" xr:uid="{00000000-0006-0000-1200-00000A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은행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금융지주가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달러표시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
국내발행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상대적으로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달러표시채권에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환헤지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개월에서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코코본드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조건부후순위채권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평상시에는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인정받지만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발행주체의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부실금융기관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예정사유가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발생할때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원리금이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전환되거나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상각되는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지칭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편입하는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우리은행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신종자본증권인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코코본드이며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은행은</t>
        </r>
        <r>
          <rPr>
            <sz val="9"/>
            <color indexed="81"/>
            <rFont val="Tahoma"/>
            <family val="2"/>
          </rPr>
          <t xml:space="preserve"> bis</t>
        </r>
        <r>
          <rPr>
            <sz val="9"/>
            <color indexed="81"/>
            <rFont val="돋움"/>
            <family val="3"/>
            <charset val="129"/>
          </rPr>
          <t>자기자본비율상승등의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규제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효과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기대와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통상적인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자본조달이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어려운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보통주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잉여금으로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코코본드를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발행함</t>
        </r>
        <r>
          <rPr>
            <sz val="9"/>
            <color indexed="81"/>
            <rFont val="Tahoma"/>
            <family val="2"/>
          </rPr>
          <t xml:space="preserve">. 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MasterVD</author>
  </authors>
  <commentList>
    <comment ref="H2" authorId="0" shapeId="0" xr:uid="{00000000-0006-0000-1400-000001000000}">
      <text>
        <r>
          <rPr>
            <b/>
            <sz val="9"/>
            <color indexed="81"/>
            <rFont val="돋움"/>
            <family val="3"/>
            <charset val="129"/>
          </rPr>
          <t>신탁재산의</t>
        </r>
        <r>
          <rPr>
            <b/>
            <sz val="9"/>
            <color indexed="81"/>
            <rFont val="Tahoma"/>
            <family val="2"/>
          </rPr>
          <t xml:space="preserve"> 95%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구조화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증권에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
사전에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정해진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이자를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지급함</t>
        </r>
        <r>
          <rPr>
            <b/>
            <sz val="9"/>
            <color indexed="81"/>
            <rFont val="Tahoma"/>
            <family val="2"/>
          </rPr>
          <t xml:space="preserve"> 
3</t>
        </r>
        <r>
          <rPr>
            <b/>
            <sz val="9"/>
            <color indexed="81"/>
            <rFont val="돋움"/>
            <family val="3"/>
            <charset val="129"/>
          </rPr>
          <t>개월마다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결산을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이익분배금을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구조화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발행일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년마다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상환이가능한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펀드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운용보고서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수신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H7" authorId="0" shapeId="0" xr:uid="{00000000-0006-0000-1400-000002000000}">
      <text>
        <r>
          <rPr>
            <b/>
            <sz val="9"/>
            <color indexed="81"/>
            <rFont val="돋움"/>
            <family val="3"/>
            <charset val="129"/>
          </rPr>
          <t>생활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양식의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변화를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주도하는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글로벌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기업에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상승에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주식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</t>
        </r>
        <r>
          <rPr>
            <b/>
            <sz val="9"/>
            <color indexed="81"/>
            <rFont val="Tahoma"/>
            <family val="2"/>
          </rPr>
          <t xml:space="preserve"> 60%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채권</t>
        </r>
        <r>
          <rPr>
            <b/>
            <sz val="9"/>
            <color indexed="81"/>
            <rFont val="Tahoma"/>
            <family val="2"/>
          </rPr>
          <t xml:space="preserve"> 40%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순자산총액의</t>
        </r>
        <r>
          <rPr>
            <b/>
            <sz val="9"/>
            <color indexed="81"/>
            <rFont val="Tahoma"/>
            <family val="2"/>
          </rPr>
          <t xml:space="preserve"> 70% </t>
        </r>
        <r>
          <rPr>
            <b/>
            <sz val="9"/>
            <color indexed="81"/>
            <rFont val="돋움"/>
            <family val="3"/>
            <charset val="129"/>
          </rPr>
          <t>수준으로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환헤지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H8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흥국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글로벌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이노베이션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증권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모투자신탁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주식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재간접형</t>
        </r>
        <r>
          <rPr>
            <b/>
            <sz val="9"/>
            <color indexed="81"/>
            <rFont val="Tahoma"/>
            <family val="2"/>
          </rPr>
          <t xml:space="preserve">) 
</t>
        </r>
        <r>
          <rPr>
            <b/>
            <sz val="9"/>
            <color indexed="81"/>
            <rFont val="돋움"/>
            <family val="3"/>
            <charset val="129"/>
          </rPr>
          <t>모투자신탁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역외펀드인</t>
        </r>
        <r>
          <rPr>
            <b/>
            <sz val="9"/>
            <color indexed="81"/>
            <rFont val="Tahoma"/>
            <family val="2"/>
          </rPr>
          <t xml:space="preserve"> nikko am ark disruptive innovation fund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투자목적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세상을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변화시킬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기술과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새로운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서비스의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도입이라고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파괴적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혁신과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글로벌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투자하여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장기적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달성을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증권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모자형</t>
        </r>
        <r>
          <rPr>
            <b/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81"/>
            <rFont val="돋움"/>
            <family val="3"/>
            <charset val="129"/>
          </rPr>
          <t>종류형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추가형</t>
        </r>
        <r>
          <rPr>
            <b/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81"/>
            <rFont val="돋움"/>
            <family val="3"/>
            <charset val="129"/>
          </rPr>
          <t>개방형
환헤지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않음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참조지수</t>
        </r>
        <r>
          <rPr>
            <b/>
            <sz val="9"/>
            <color indexed="81"/>
            <rFont val="Tahoma"/>
            <family val="2"/>
          </rPr>
          <t xml:space="preserve"> : msci word net return usd index
</t>
        </r>
      </text>
    </comment>
    <comment ref="H9" authorId="1" shapeId="0" xr:uid="{00000000-0006-0000-1400-000004000000}">
      <text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주식형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공모형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주식시장에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우선주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배당주를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투자대상으로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증권모투자신탁에</t>
        </r>
        <r>
          <rPr>
            <sz val="9"/>
            <color indexed="81"/>
            <rFont val="Tahoma"/>
            <family val="2"/>
          </rPr>
          <t xml:space="preserve"> 90%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배당을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지속적인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현금흐름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창출을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안정적이며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배당수익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자산들과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상관관계로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효과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제고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미국우선주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주식화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하이브리드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H10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혼합주식형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전문투자형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추가형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개방형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미국에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상장된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배당우선주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ETF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지속적인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현금흐름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창출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안정적이며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높은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배당수익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자산들과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낮은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상관관계로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자산배분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효과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H1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흥국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글로벌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이노베이션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증권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모투자신탁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주식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재간접형</t>
        </r>
        <r>
          <rPr>
            <b/>
            <sz val="9"/>
            <color indexed="81"/>
            <rFont val="Tahoma"/>
            <family val="2"/>
          </rPr>
          <t xml:space="preserve">) 
</t>
        </r>
        <r>
          <rPr>
            <b/>
            <sz val="9"/>
            <color indexed="81"/>
            <rFont val="돋움"/>
            <family val="3"/>
            <charset val="129"/>
          </rPr>
          <t>모투자신탁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역외펀드인</t>
        </r>
        <r>
          <rPr>
            <b/>
            <sz val="9"/>
            <color indexed="81"/>
            <rFont val="Tahoma"/>
            <family val="2"/>
          </rPr>
          <t xml:space="preserve"> nikko am ark disruptive innovation fund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투자목적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세상을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변화시킬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기술과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새로운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서비스의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도입이라고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파괴적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혁신과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글로벌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투자하여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장기적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달성을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증권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모자형</t>
        </r>
        <r>
          <rPr>
            <b/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81"/>
            <rFont val="돋움"/>
            <family val="3"/>
            <charset val="129"/>
          </rPr>
          <t>종류형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추가형</t>
        </r>
        <r>
          <rPr>
            <b/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81"/>
            <rFont val="돋움"/>
            <family val="3"/>
            <charset val="129"/>
          </rPr>
          <t>개방형
환헤지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않음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참조지수</t>
        </r>
        <r>
          <rPr>
            <b/>
            <sz val="9"/>
            <color indexed="81"/>
            <rFont val="Tahoma"/>
            <family val="2"/>
          </rPr>
          <t xml:space="preserve"> : msci word net return usd index
</t>
        </r>
      </text>
    </comment>
    <comment ref="H12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혼합주식형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전문투자형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추가형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개방형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미국에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상장된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배당우선주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ETF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지속적인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현금흐름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창출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안정적이며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높은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배당수익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자산들과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낮은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상관관계로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자산배분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효과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H13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혼합주식형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전문투자형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추가형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개방형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미국에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상장된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배당우선주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ETF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지속적인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현금흐름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창출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안정적이며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높은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배당수익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자산들과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낮은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상관관계로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자산배분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효과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H21" authorId="1" shapeId="0" xr:uid="{00000000-0006-0000-1400-00000A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전문투자형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사모형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주식형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개방형
미국에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배당우선주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탑티어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금융기관이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배당우선주에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전통자산들과의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상관관계로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효과가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유동성과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신탁재산의</t>
        </r>
        <r>
          <rPr>
            <sz val="9"/>
            <color indexed="81"/>
            <rFont val="Tahoma"/>
            <family val="2"/>
          </rPr>
          <t xml:space="preserve"> 60%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
ETF,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어음에의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투자는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H23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혼합주식형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전문투자형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추가형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개방형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미국에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상장된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배당우선주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ETF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지속적인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현금흐름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창출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안정적이며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높은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배당수익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자산들과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낮은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상관관계로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자산배분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효과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제고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김유빈(2070415)</author>
    <author>MasterVD</author>
    <author>Administrator</author>
  </authors>
  <commentList>
    <comment ref="N2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2021/07/01</t>
        </r>
      </text>
    </comment>
    <comment ref="G19" authorId="0" shapeId="0" xr:uid="{00000000-0006-0000-1500-000002000000}">
      <text>
        <r>
          <rPr>
            <b/>
            <sz val="9"/>
            <color indexed="81"/>
            <rFont val="돋움"/>
            <family val="3"/>
            <charset val="129"/>
          </rPr>
          <t>중국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본토와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역외주식에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상위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종목에</t>
        </r>
        <r>
          <rPr>
            <b/>
            <sz val="9"/>
            <color indexed="81"/>
            <rFont val="Tahoma"/>
            <family val="2"/>
          </rPr>
          <t xml:space="preserve"> 60% </t>
        </r>
        <r>
          <rPr>
            <b/>
            <sz val="9"/>
            <color indexed="81"/>
            <rFont val="돋움"/>
            <family val="3"/>
            <charset val="129"/>
          </rPr>
          <t>수준으로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내재가치와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성장성이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기업에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투자함</t>
        </r>
        <r>
          <rPr>
            <b/>
            <sz val="9"/>
            <color indexed="81"/>
            <rFont val="Tahoma"/>
            <family val="2"/>
          </rPr>
          <t xml:space="preserve">.  </t>
        </r>
        <r>
          <rPr>
            <b/>
            <sz val="9"/>
            <color indexed="81"/>
            <rFont val="돋움"/>
            <family val="3"/>
            <charset val="129"/>
          </rPr>
          <t>환헤지는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자산의</t>
        </r>
        <r>
          <rPr>
            <b/>
            <sz val="9"/>
            <color indexed="81"/>
            <rFont val="Tahoma"/>
            <family val="2"/>
          </rPr>
          <t xml:space="preserve"> 90%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헤지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20" authorId="1" shapeId="0" xr:uid="{00000000-0006-0000-1500-000003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증권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재간접형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모자형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종류형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외화표시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자산의</t>
        </r>
        <r>
          <rPr>
            <sz val="9"/>
            <color indexed="81"/>
            <rFont val="Tahoma"/>
            <family val="2"/>
          </rPr>
          <t xml:space="preserve"> 90% </t>
        </r>
        <r>
          <rPr>
            <sz val="9"/>
            <color indexed="81"/>
            <rFont val="돋움"/>
            <family val="3"/>
            <charset val="129"/>
          </rPr>
          <t>수준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헤지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테크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미디어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통신서비스포함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경제활동을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집합투자증권</t>
        </r>
        <r>
          <rPr>
            <sz val="9"/>
            <color indexed="81"/>
            <rFont val="Tahoma"/>
            <family val="2"/>
          </rPr>
          <t xml:space="preserve"> (JP MORGAN FUND)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US TECHNOLOGY FUND 
-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리서치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플렛폼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숙련된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매니저</t>
        </r>
        <r>
          <rPr>
            <sz val="9"/>
            <color indexed="81"/>
            <rFont val="Tahoma"/>
            <family val="2"/>
          </rPr>
          <t xml:space="preserve"> 
- </t>
        </r>
        <r>
          <rPr>
            <sz val="9"/>
            <color indexed="81"/>
            <rFont val="돋움"/>
            <family val="3"/>
            <charset val="129"/>
          </rPr>
          <t>테크섹터에서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유연한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</t>
        </r>
        <r>
          <rPr>
            <sz val="9"/>
            <color indexed="81"/>
            <rFont val="Tahoma"/>
            <family val="2"/>
          </rPr>
          <t xml:space="preserve"> 
- </t>
        </r>
        <r>
          <rPr>
            <sz val="9"/>
            <color indexed="81"/>
            <rFont val="돋움"/>
            <family val="3"/>
            <charset val="129"/>
          </rPr>
          <t>테크섹터에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집중하여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장기적으로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자본이익을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G22" authorId="1" shapeId="0" xr:uid="{00000000-0006-0000-1500-000004000000}">
      <text>
        <r>
          <rPr>
            <sz val="9"/>
            <color indexed="81"/>
            <rFont val="돋움"/>
            <family val="3"/>
            <charset val="129"/>
          </rPr>
          <t xml:space="preserve">
투자전략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투자신탁재산의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대부분을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 
(</t>
        </r>
        <r>
          <rPr>
            <sz val="9"/>
            <color indexed="81"/>
            <rFont val="돋움"/>
            <family val="3"/>
            <charset val="129"/>
          </rPr>
          <t>하이일드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전환사채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주택저당증권</t>
        </r>
        <r>
          <rPr>
            <sz val="9"/>
            <color indexed="81"/>
            <rFont val="Tahoma"/>
            <family val="2"/>
          </rPr>
          <t xml:space="preserve">(MBS) </t>
        </r>
        <r>
          <rPr>
            <sz val="9"/>
            <color indexed="81"/>
            <rFont val="돋움"/>
            <family val="3"/>
            <charset val="129"/>
          </rPr>
          <t>자산유동화증권</t>
        </r>
        <r>
          <rPr>
            <sz val="9"/>
            <color indexed="81"/>
            <rFont val="Tahoma"/>
            <family val="2"/>
          </rPr>
          <t xml:space="preserve">(ABS) </t>
        </r>
        <r>
          <rPr>
            <sz val="9"/>
            <color indexed="81"/>
            <rFont val="돋움"/>
            <family val="3"/>
            <charset val="129"/>
          </rPr>
          <t>등에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집합투자증권에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추구함</t>
        </r>
        <r>
          <rPr>
            <sz val="9"/>
            <color indexed="81"/>
            <rFont val="Tahoma"/>
            <family val="2"/>
          </rPr>
          <t xml:space="preserve">.
PIMCO Funds: Global Investors Series plc - Income Fund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종류형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모자형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혼합자산</t>
        </r>
        <r>
          <rPr>
            <sz val="9"/>
            <color indexed="81"/>
            <rFont val="Tahoma"/>
            <family val="2"/>
          </rPr>
          <t xml:space="preserve"> 
PIMCO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시장상황에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다양한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분산투자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꾸준하고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안정적인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인컴펀드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자본보전을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추구하면서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쌓아가는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G41" authorId="1" shapeId="0" xr:uid="{00000000-0006-0000-1500-000005000000}">
      <text>
        <r>
          <rPr>
            <b/>
            <sz val="9"/>
            <color indexed="81"/>
            <rFont val="Tahoma"/>
            <family val="2"/>
          </rPr>
          <t>MasterVD: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사모펀드로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환매신청을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상황이며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부실자산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상환이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지연되고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유동성관리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미국에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초단기</t>
        </r>
        <r>
          <rPr>
            <sz val="9"/>
            <color indexed="81"/>
            <rFont val="Tahoma"/>
            <family val="2"/>
          </rPr>
          <t xml:space="preserve"> etf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2023.06.30 </t>
        </r>
        <r>
          <rPr>
            <sz val="9"/>
            <color indexed="81"/>
            <rFont val="돋움"/>
            <family val="3"/>
            <charset val="129"/>
          </rPr>
          <t>평가기준일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
순자산가치</t>
        </r>
        <r>
          <rPr>
            <sz val="9"/>
            <color indexed="81"/>
            <rFont val="Tahoma"/>
            <family val="2"/>
          </rPr>
          <t xml:space="preserve"> 703,724,771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G51" authorId="2" shapeId="0" xr:uid="{00000000-0006-0000-1500-000006000000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MasterVD</author>
  </authors>
  <commentList>
    <comment ref="I47" authorId="0" shapeId="0" xr:uid="{00000000-0006-0000-1700-000001000000}">
      <text>
        <r>
          <rPr>
            <sz val="9"/>
            <color indexed="81"/>
            <rFont val="Tahoma"/>
            <family val="2"/>
          </rPr>
          <t xml:space="preserve">2021/12/31
</t>
        </r>
      </text>
    </comment>
    <comment ref="I50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2021/12/31</t>
        </r>
      </text>
    </comment>
    <comment ref="G75" authorId="0" shapeId="0" xr:uid="{00000000-0006-0000-1700-000003000000}">
      <text>
        <r>
          <rPr>
            <sz val="9"/>
            <color indexed="81"/>
            <rFont val="돋움"/>
            <family val="3"/>
            <charset val="129"/>
          </rPr>
          <t xml:space="preserve">
영문명</t>
        </r>
        <r>
          <rPr>
            <sz val="9"/>
            <color indexed="81"/>
            <rFont val="Tahoma"/>
            <family val="2"/>
          </rPr>
          <t xml:space="preserve"> : KIM Private Multi-Selection Fund 1
</t>
        </r>
        <r>
          <rPr>
            <sz val="9"/>
            <color indexed="81"/>
            <rFont val="돋움"/>
            <family val="3"/>
            <charset val="129"/>
          </rPr>
          <t>헷지금액</t>
        </r>
        <r>
          <rPr>
            <sz val="9"/>
            <color indexed="81"/>
            <rFont val="Tahoma"/>
            <family val="2"/>
          </rPr>
          <t xml:space="preserve"> : 2</t>
        </r>
        <r>
          <rPr>
            <sz val="9"/>
            <color indexed="81"/>
            <rFont val="돋움"/>
            <family val="3"/>
            <charset val="129"/>
          </rPr>
          <t>천만불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예상
</t>
        </r>
        <r>
          <rPr>
            <sz val="9"/>
            <color indexed="81"/>
            <rFont val="Tahoma"/>
            <family val="2"/>
          </rPr>
          <t>tenor :  3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투자금액</t>
        </r>
        <r>
          <rPr>
            <sz val="9"/>
            <color indexed="81"/>
            <rFont val="Tahoma"/>
            <family val="2"/>
          </rPr>
          <t xml:space="preserve"> : 500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단독수익자</t>
        </r>
        <r>
          <rPr>
            <sz val="9"/>
            <color indexed="81"/>
            <rFont val="Tahoma"/>
            <family val="2"/>
          </rPr>
          <t xml:space="preserve"> -</t>
        </r>
        <r>
          <rPr>
            <sz val="9"/>
            <color indexed="81"/>
            <rFont val="돋움"/>
            <family val="3"/>
            <charset val="129"/>
          </rPr>
          <t>신협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혼합자산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사모형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전문투자형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운용대상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싱글헤지펀드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헤지목적의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통화관련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파생상품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유동성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환위험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헤지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환율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프로세스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투자자산의</t>
        </r>
        <r>
          <rPr>
            <sz val="9"/>
            <color indexed="81"/>
            <rFont val="Tahoma"/>
            <family val="2"/>
          </rPr>
          <t xml:space="preserve"> 90% </t>
        </r>
        <r>
          <rPr>
            <sz val="9"/>
            <color indexed="81"/>
            <rFont val="돋움"/>
            <family val="3"/>
            <charset val="129"/>
          </rPr>
          <t>전후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헤지펀드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</t>
        </r>
        <r>
          <rPr>
            <sz val="9"/>
            <color indexed="81"/>
            <rFont val="Tahoma"/>
            <family val="2"/>
          </rPr>
          <t xml:space="preserve"> 
1. ATLAS ENHANCED FUND (EMN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)
- </t>
        </r>
        <r>
          <rPr>
            <sz val="9"/>
            <color indexed="81"/>
            <rFont val="돋움"/>
            <family val="3"/>
            <charset val="129"/>
          </rPr>
          <t>펀드설정일</t>
        </r>
        <r>
          <rPr>
            <sz val="9"/>
            <color indexed="81"/>
            <rFont val="Tahoma"/>
            <family val="2"/>
          </rPr>
          <t xml:space="preserve"> : 2006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
-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AUM : $8.7 Bn 
-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펀더멜털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리서치를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기반으로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섹터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특화된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있으며</t>
        </r>
        <r>
          <rPr>
            <sz val="9"/>
            <color indexed="81"/>
            <rFont val="Tahoma"/>
            <family val="2"/>
          </rPr>
          <t xml:space="preserve">, 
+-10% </t>
        </r>
        <r>
          <rPr>
            <sz val="9"/>
            <color indexed="81"/>
            <rFont val="돋움"/>
            <family val="3"/>
            <charset val="129"/>
          </rPr>
          <t>수준의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낮은</t>
        </r>
        <r>
          <rPr>
            <sz val="9"/>
            <color indexed="81"/>
            <rFont val="Tahoma"/>
            <family val="2"/>
          </rPr>
          <t xml:space="preserve"> net exposure </t>
        </r>
        <r>
          <rPr>
            <sz val="9"/>
            <color indexed="81"/>
            <rFont val="돋움"/>
            <family val="3"/>
            <charset val="129"/>
          </rPr>
          <t>수준에서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리스크에만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노출되도록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유지함</t>
        </r>
        <r>
          <rPr>
            <sz val="9"/>
            <color indexed="81"/>
            <rFont val="Tahoma"/>
            <family val="2"/>
          </rPr>
          <t>. 
2. TENOR OPPORTUNITY FUND (CRV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)
- </t>
        </r>
        <r>
          <rPr>
            <sz val="9"/>
            <color indexed="81"/>
            <rFont val="돋움"/>
            <family val="3"/>
            <charset val="129"/>
          </rPr>
          <t>펀드설정일</t>
        </r>
        <r>
          <rPr>
            <sz val="9"/>
            <color indexed="81"/>
            <rFont val="Tahoma"/>
            <family val="2"/>
          </rPr>
          <t xml:space="preserve"> : 2004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
-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AUM : $1.9 Bn
-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북미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크레딧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변동성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상대가치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투자기회에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집중하는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전환사채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차익거래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
3. POLAR MULTI-STRATEGY FUND MULTI
- </t>
        </r>
        <r>
          <rPr>
            <sz val="9"/>
            <color indexed="81"/>
            <rFont val="돋움"/>
            <family val="3"/>
            <charset val="129"/>
          </rPr>
          <t>펀더설정일</t>
        </r>
        <r>
          <rPr>
            <sz val="9"/>
            <color indexed="81"/>
            <rFont val="Tahoma"/>
            <family val="2"/>
          </rPr>
          <t xml:space="preserve"> : 1991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
- AUM : $5.0 Bn 
-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북미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상대가치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방향성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주의적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투자기회를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포작하는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multi strategy 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차익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안정적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추구함</t>
        </r>
        <r>
          <rPr>
            <sz val="9"/>
            <color indexed="81"/>
            <rFont val="Tahoma"/>
            <family val="2"/>
          </rPr>
          <t xml:space="preserve">. 
4. VERITION INTERNATIONAL MULTI-STRATEGY FUND-MULTI
- </t>
        </r>
        <r>
          <rPr>
            <sz val="9"/>
            <color indexed="81"/>
            <rFont val="돋움"/>
            <family val="3"/>
            <charset val="129"/>
          </rPr>
          <t>펀드설정일</t>
        </r>
        <r>
          <rPr>
            <sz val="9"/>
            <color indexed="81"/>
            <rFont val="Tahoma"/>
            <family val="2"/>
          </rPr>
          <t xml:space="preserve"> : 2008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 xml:space="preserve">월
</t>
        </r>
        <r>
          <rPr>
            <sz val="9"/>
            <color indexed="81"/>
            <rFont val="Tahoma"/>
            <family val="2"/>
          </rPr>
          <t xml:space="preserve">-AUM: $3.6 Bn
- </t>
        </r>
        <r>
          <rPr>
            <sz val="9"/>
            <color indexed="81"/>
            <rFont val="돋움"/>
            <family val="3"/>
            <charset val="129"/>
          </rPr>
          <t>상대적으로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유동성이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주요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민감도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상관관계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전략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상관관계를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G76" authorId="0" shapeId="0" xr:uid="{00000000-0006-0000-1700-000004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해외채권에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집합투자증권에의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투자는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자산총액의</t>
        </r>
        <r>
          <rPr>
            <sz val="9"/>
            <color indexed="81"/>
            <rFont val="Tahoma"/>
            <family val="2"/>
          </rPr>
          <t xml:space="preserve"> 60% 
</t>
        </r>
        <r>
          <rPr>
            <sz val="9"/>
            <color indexed="81"/>
            <rFont val="돋움"/>
            <family val="3"/>
            <charset val="129"/>
          </rPr>
          <t>투자등급이상의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안정적</t>
        </r>
        <r>
          <rPr>
            <sz val="9"/>
            <color indexed="81"/>
            <rFont val="Tahoma"/>
            <family val="2"/>
          </rPr>
          <t xml:space="preserve"> BM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추종하고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금리상승을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 xml:space="preserve">
포트폴리오의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부분은</t>
        </r>
        <r>
          <rPr>
            <sz val="9"/>
            <color indexed="81"/>
            <rFont val="Tahoma"/>
            <family val="2"/>
          </rPr>
          <t xml:space="preserve"> BM</t>
        </r>
        <r>
          <rPr>
            <sz val="9"/>
            <color indexed="81"/>
            <rFont val="돋움"/>
            <family val="3"/>
            <charset val="129"/>
          </rPr>
          <t>추종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시장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SATELLITE </t>
        </r>
        <r>
          <rPr>
            <sz val="9"/>
            <color indexed="81"/>
            <rFont val="돋움"/>
            <family val="3"/>
            <charset val="129"/>
          </rPr>
          <t>전략을활용하여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G77" authorId="0" shapeId="0" xr:uid="{00000000-0006-0000-1700-00000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G78" authorId="0" shapeId="0" xr:uid="{00000000-0006-0000-1700-000006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혼합자산형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패쇄형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단위형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전문사모형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재간접형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투자대상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사모채권에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투자사는</t>
        </r>
        <r>
          <rPr>
            <sz val="9"/>
            <color indexed="81"/>
            <rFont val="Tahoma"/>
            <family val="2"/>
          </rPr>
          <t xml:space="preserve"> HPS Specialty Loan Fund V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(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대출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채권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선순위대출채권에</t>
        </r>
        <r>
          <rPr>
            <sz val="9"/>
            <color indexed="81"/>
            <rFont val="Tahoma"/>
            <family val="2"/>
          </rPr>
          <t xml:space="preserve"> 85%, </t>
        </r>
        <r>
          <rPr>
            <sz val="9"/>
            <color indexed="81"/>
            <rFont val="돋움"/>
            <family val="3"/>
            <charset val="129"/>
          </rPr>
          <t>후순위</t>
        </r>
        <r>
          <rPr>
            <sz val="9"/>
            <color indexed="81"/>
            <rFont val="Tahoma"/>
            <family val="2"/>
          </rPr>
          <t xml:space="preserve"> 15% </t>
        </r>
        <r>
          <rPr>
            <sz val="9"/>
            <color indexed="81"/>
            <rFont val="돋움"/>
            <family val="3"/>
            <charset val="129"/>
          </rPr>
          <t>예정임
현지운용사</t>
        </r>
        <r>
          <rPr>
            <sz val="9"/>
            <color indexed="81"/>
            <rFont val="Tahoma"/>
            <family val="2"/>
          </rPr>
          <t xml:space="preserve"> : HPS INVESTMENT PARTNERS
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투자원금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90%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새마을금고중앙회</t>
        </r>
        <r>
          <rPr>
            <sz val="9"/>
            <color indexed="81"/>
            <rFont val="Tahoma"/>
            <family val="2"/>
          </rPr>
          <t xml:space="preserve">  100% </t>
        </r>
        <r>
          <rPr>
            <sz val="9"/>
            <color indexed="81"/>
            <rFont val="돋움"/>
            <family val="3"/>
            <charset val="129"/>
          </rPr>
          <t>비중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9" authorId="0" shapeId="0" xr:uid="{00000000-0006-0000-1700-000007000000}">
      <text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80~85% 
(</t>
        </r>
        <r>
          <rPr>
            <sz val="9"/>
            <color indexed="81"/>
            <rFont val="돋움"/>
            <family val="3"/>
            <charset val="129"/>
          </rPr>
          <t>유동성</t>
        </r>
        <r>
          <rPr>
            <sz val="9"/>
            <color indexed="81"/>
            <rFont val="Tahoma"/>
            <family val="2"/>
          </rPr>
          <t xml:space="preserve"> 10~15% </t>
        </r>
        <r>
          <rPr>
            <sz val="9"/>
            <color indexed="81"/>
            <rFont val="돋움"/>
            <family val="3"/>
            <charset val="129"/>
          </rPr>
          <t>확보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리테일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
KIARA Asia Pacific Hdege Fund 
(</t>
        </r>
        <r>
          <rPr>
            <sz val="9"/>
            <color indexed="81"/>
            <rFont val="돋움"/>
            <family val="3"/>
            <charset val="129"/>
          </rPr>
          <t>케이만제도설립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혼합자산형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단위형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일반사모형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재간접형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투자목적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아시아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노출을</t>
        </r>
        <r>
          <rPr>
            <sz val="9"/>
            <color indexed="81"/>
            <rFont val="Tahoma"/>
            <family val="2"/>
          </rPr>
          <t xml:space="preserve"> long/short </t>
        </r>
        <r>
          <rPr>
            <sz val="9"/>
            <color indexed="81"/>
            <rFont val="돋움"/>
            <family val="3"/>
            <charset val="129"/>
          </rPr>
          <t>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매니저를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가져감으로써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방향성에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위험도를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낮춤과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펀더멘털에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근거한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수익률의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최소화시키면서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지속적으로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얻음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G80" authorId="0" shapeId="0" xr:uid="{00000000-0006-0000-1700-000008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사모형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혼합자산형
펀드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한투운용이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공모주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역외펀드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중국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본토</t>
        </r>
        <r>
          <rPr>
            <sz val="9"/>
            <color indexed="81"/>
            <rFont val="Tahoma"/>
            <family val="2"/>
          </rPr>
          <t xml:space="preserve"> A</t>
        </r>
        <r>
          <rPr>
            <sz val="9"/>
            <color indexed="81"/>
            <rFont val="돋움"/>
            <family val="3"/>
            <charset val="129"/>
          </rPr>
          <t>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
채권및유동성</t>
        </r>
        <r>
          <rPr>
            <sz val="9"/>
            <color indexed="81"/>
            <rFont val="Tahoma"/>
            <family val="2"/>
          </rPr>
          <t xml:space="preserve"> : A- </t>
        </r>
        <r>
          <rPr>
            <sz val="9"/>
            <color indexed="81"/>
            <rFont val="돋움"/>
            <family val="3"/>
            <charset val="129"/>
          </rPr>
          <t>신용등급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국내채권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G81" authorId="0" shapeId="0" xr:uid="{00000000-0006-0000-1700-000009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사모형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혼합자산형
멀티클래스형
펀드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한투운용이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공모주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역외펀드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주식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중국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본토</t>
        </r>
        <r>
          <rPr>
            <sz val="9"/>
            <color indexed="81"/>
            <rFont val="Tahoma"/>
            <family val="2"/>
          </rPr>
          <t xml:space="preserve"> A</t>
        </r>
        <r>
          <rPr>
            <sz val="9"/>
            <color indexed="81"/>
            <rFont val="돋움"/>
            <family val="3"/>
            <charset val="129"/>
          </rPr>
          <t>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
중국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과창판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IPO</t>
        </r>
        <r>
          <rPr>
            <sz val="9"/>
            <color indexed="81"/>
            <rFont val="돋움"/>
            <family val="3"/>
            <charset val="129"/>
          </rPr>
          <t>참여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과창판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상해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거래소내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거래제도를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채권및유동성</t>
        </r>
        <r>
          <rPr>
            <sz val="9"/>
            <color indexed="81"/>
            <rFont val="Tahoma"/>
            <family val="2"/>
          </rPr>
          <t xml:space="preserve"> : A- </t>
        </r>
        <r>
          <rPr>
            <sz val="9"/>
            <color indexed="81"/>
            <rFont val="돋움"/>
            <family val="3"/>
            <charset val="129"/>
          </rPr>
          <t>신용등급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국내채권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위안화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포워드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G82" authorId="0" shapeId="0" xr:uid="{00000000-0006-0000-1700-00000A000000}">
      <text>
        <r>
          <rPr>
            <sz val="9"/>
            <color indexed="81"/>
            <rFont val="돋움"/>
            <family val="3"/>
            <charset val="129"/>
          </rPr>
          <t>증권형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재간접형
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투자대상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국채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지방채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특수채증권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투자신탁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자산총액의</t>
        </r>
        <r>
          <rPr>
            <sz val="9"/>
            <color indexed="81"/>
            <rFont val="Tahoma"/>
            <family val="2"/>
          </rPr>
          <t xml:space="preserve"> 60% </t>
        </r>
        <r>
          <rPr>
            <sz val="9"/>
            <color indexed="81"/>
            <rFont val="돋움"/>
            <family val="3"/>
            <charset val="129"/>
          </rPr>
          <t>이상을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투자해야함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83" authorId="0" shapeId="0" xr:uid="{00000000-0006-0000-1700-00000B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투자신탁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증권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재간접형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개방형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사모형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G84" authorId="0" shapeId="0" xr:uid="{00000000-0006-0000-1700-00000C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수익자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삼성증권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케이비손해보험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메리츠화재
캐피탈콜약정서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
캐피탈콜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투자자로부터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자금납입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받음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 xml:space="preserve">
펀드유형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혼합자산파생형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패쇄형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단위형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해외펀드</t>
        </r>
        <r>
          <rPr>
            <sz val="9"/>
            <color indexed="81"/>
            <rFont val="Tahoma"/>
            <family val="2"/>
          </rPr>
          <t xml:space="preserve"> Pomona Capital x 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세컨더리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투자통화</t>
        </r>
        <r>
          <rPr>
            <sz val="9"/>
            <color indexed="81"/>
            <rFont val="Tahoma"/>
            <family val="2"/>
          </rPr>
          <t xml:space="preserve"> (USD)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국내펀드</t>
        </r>
        <r>
          <rPr>
            <sz val="9"/>
            <color indexed="81"/>
            <rFont val="Tahoma"/>
            <family val="2"/>
          </rPr>
          <t xml:space="preserve"> 90~100% </t>
        </r>
        <r>
          <rPr>
            <sz val="9"/>
            <color indexed="81"/>
            <rFont val="돋움"/>
            <family val="3"/>
            <charset val="129"/>
          </rPr>
          <t>수준의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실행
</t>
        </r>
        <r>
          <rPr>
            <sz val="9"/>
            <color indexed="81"/>
            <rFont val="Tahoma"/>
            <family val="2"/>
          </rPr>
          <t xml:space="preserve">pomona capitaql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포인트</t>
        </r>
        <r>
          <rPr>
            <sz val="9"/>
            <color indexed="81"/>
            <rFont val="Tahoma"/>
            <family val="2"/>
          </rPr>
          <t xml:space="preserve"> 
1. </t>
        </r>
        <r>
          <rPr>
            <sz val="9"/>
            <color indexed="81"/>
            <rFont val="돋움"/>
            <family val="3"/>
            <charset val="129"/>
          </rPr>
          <t>우수한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성과와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현금회수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능력</t>
        </r>
        <r>
          <rPr>
            <sz val="9"/>
            <color indexed="81"/>
            <rFont val="Tahoma"/>
            <family val="2"/>
          </rPr>
          <t xml:space="preserve"> 
2. </t>
        </r>
        <r>
          <rPr>
            <sz val="9"/>
            <color indexed="81"/>
            <rFont val="돋움"/>
            <family val="3"/>
            <charset val="129"/>
          </rPr>
          <t>중형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펀드로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중소형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규모의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>리스크와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유동성을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안전마진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투자
</t>
        </r>
        <r>
          <rPr>
            <sz val="9"/>
            <color indexed="81"/>
            <rFont val="Tahoma"/>
            <family val="2"/>
          </rPr>
          <t xml:space="preserve">pomona capital </t>
        </r>
        <r>
          <rPr>
            <sz val="9"/>
            <color indexed="81"/>
            <rFont val="돋움"/>
            <family val="3"/>
            <charset val="129"/>
          </rPr>
          <t>운용사</t>
        </r>
        <r>
          <rPr>
            <sz val="9"/>
            <color indexed="81"/>
            <rFont val="Tahoma"/>
            <family val="2"/>
          </rPr>
          <t xml:space="preserve"> 
- </t>
        </r>
        <r>
          <rPr>
            <sz val="9"/>
            <color indexed="81"/>
            <rFont val="돋움"/>
            <family val="3"/>
            <charset val="129"/>
          </rPr>
          <t>글로벌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세컨더리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전문운용사로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투자건당</t>
        </r>
        <r>
          <rPr>
            <sz val="9"/>
            <color indexed="81"/>
            <rFont val="Tahoma"/>
            <family val="2"/>
          </rPr>
          <t xml:space="preserve"> 50~500mio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세컨더리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본사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뉴욕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선제적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포트폴리오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운용
</t>
        </r>
      </text>
    </comment>
  </commentList>
</comments>
</file>

<file path=xl/sharedStrings.xml><?xml version="1.0" encoding="utf-8"?>
<sst xmlns="http://schemas.openxmlformats.org/spreadsheetml/2006/main" count="12551" uniqueCount="3107">
  <si>
    <t>운용사명</t>
    <phoneticPr fontId="2" type="noConversion"/>
  </si>
  <si>
    <t>펀드코드</t>
    <phoneticPr fontId="2" type="noConversion"/>
  </si>
  <si>
    <t>거래가능펀드</t>
    <phoneticPr fontId="2" type="noConversion"/>
  </si>
  <si>
    <t>수탁은행</t>
    <phoneticPr fontId="2" type="noConversion"/>
  </si>
  <si>
    <t>담당매니저</t>
    <phoneticPr fontId="2" type="noConversion"/>
  </si>
  <si>
    <t>펀드명(FULL NAME)</t>
    <phoneticPr fontId="2" type="noConversion"/>
  </si>
  <si>
    <t>설정예정일</t>
    <phoneticPr fontId="2" type="noConversion"/>
  </si>
  <si>
    <t>기준가</t>
    <phoneticPr fontId="2" type="noConversion"/>
  </si>
  <si>
    <t>순자산</t>
    <phoneticPr fontId="2" type="noConversion"/>
  </si>
  <si>
    <t>설정원본</t>
    <phoneticPr fontId="2" type="noConversion"/>
  </si>
  <si>
    <t>FWD</t>
    <phoneticPr fontId="2" type="noConversion"/>
  </si>
  <si>
    <t>KSFC</t>
    <phoneticPr fontId="2" type="noConversion"/>
  </si>
  <si>
    <t>GB Global Opportunity 전문투자형사모투자신탁1호[채권-재간접형]</t>
    <phoneticPr fontId="2" type="noConversion"/>
  </si>
  <si>
    <t>O</t>
    <phoneticPr fontId="2" type="noConversion"/>
  </si>
  <si>
    <t>골든브릿지</t>
    <phoneticPr fontId="2" type="noConversion"/>
  </si>
  <si>
    <t>KSFC</t>
  </si>
  <si>
    <t>골든브릿지미국DIP사모특별자산투자신탁1호(대출채권-재간접형)</t>
    <phoneticPr fontId="2" type="noConversion"/>
  </si>
  <si>
    <t>공모/사모</t>
    <phoneticPr fontId="2" type="noConversion"/>
  </si>
  <si>
    <t>설정일</t>
    <phoneticPr fontId="2" type="noConversion"/>
  </si>
  <si>
    <t>사모</t>
    <phoneticPr fontId="2" type="noConversion"/>
  </si>
  <si>
    <t>조국진 팀장, 박정호 수석</t>
    <phoneticPr fontId="2" type="noConversion"/>
  </si>
  <si>
    <t>-</t>
    <phoneticPr fontId="2" type="noConversion"/>
  </si>
  <si>
    <t>현대인베스트먼트</t>
  </si>
  <si>
    <t>KB</t>
  </si>
  <si>
    <t>구겐하임CLO전문투자형사모특별자산투자신탁2호</t>
    <phoneticPr fontId="2" type="noConversion"/>
  </si>
  <si>
    <t>CLOCombo 전문투자형사모특별자산투자신탁1호</t>
    <phoneticPr fontId="2" type="noConversion"/>
  </si>
  <si>
    <t>현대인베스트먼트</t>
    <phoneticPr fontId="2" type="noConversion"/>
  </si>
  <si>
    <t>SHB</t>
    <phoneticPr fontId="2" type="noConversion"/>
  </si>
  <si>
    <t>KB</t>
    <phoneticPr fontId="2" type="noConversion"/>
  </si>
  <si>
    <t>HANA</t>
    <phoneticPr fontId="2" type="noConversion"/>
  </si>
  <si>
    <t>CITI</t>
  </si>
  <si>
    <t>HSBC</t>
  </si>
  <si>
    <t>X</t>
    <phoneticPr fontId="2" type="noConversion"/>
  </si>
  <si>
    <t>공모</t>
    <phoneticPr fontId="2" type="noConversion"/>
  </si>
  <si>
    <t>FWD</t>
  </si>
  <si>
    <t>담당</t>
    <phoneticPr fontId="2" type="noConversion"/>
  </si>
  <si>
    <t>멀티에셋</t>
  </si>
  <si>
    <t>공모</t>
  </si>
  <si>
    <t>트레이딩팀</t>
  </si>
  <si>
    <t>멀티에셋 차이나본토주식증권모투자신탁[주식]</t>
  </si>
  <si>
    <t>멀티에셋글로벌EMP솔루션증권투자신탁[채권혼합-재간접형]</t>
  </si>
  <si>
    <t>멀티에셋 글로벌클린에너지증권모투자신탁[주식]</t>
  </si>
  <si>
    <t>사모</t>
  </si>
  <si>
    <t>멀티에셋게이트웨이글로벌우량전환사채 전문투자형사모투자신탁제1호</t>
  </si>
  <si>
    <t>멀티에셋 글로벌메자닌 베트남 GOLD STAR 전문투자형사모투자신탁제1호</t>
  </si>
  <si>
    <t>멀티에셋 글로벌CB 오퍼튜니티 전문투자형사모투자신탁제1호</t>
  </si>
  <si>
    <t>멀티에셋 글로벌 ALL IG 전환사채 전문투자형사모투자신탁제1호</t>
  </si>
  <si>
    <t>멀티에셋글로벌4차산업전환사채증권자투자신탁H[채권]</t>
  </si>
  <si>
    <t>23G401</t>
    <phoneticPr fontId="2" type="noConversion"/>
  </si>
  <si>
    <t>HANA</t>
  </si>
  <si>
    <t>멀티에셋 삼바브라질증권모투자신탁[채권]</t>
  </si>
  <si>
    <t>멀티에셋 차이나 전환사채 파이오니어 전문투자형사모투자신탁제1호</t>
  </si>
  <si>
    <t>멀티에셋글로벌4차산업전환사채증권모투자신탁[채권]</t>
  </si>
  <si>
    <t>23G150</t>
    <phoneticPr fontId="2" type="noConversion"/>
  </si>
  <si>
    <t>멀티에셋짐로저스농산물인덱스증권모투자신탁[채권-파생형]</t>
  </si>
  <si>
    <t>유리자산</t>
  </si>
  <si>
    <t>안재정</t>
    <phoneticPr fontId="2" type="noConversion"/>
  </si>
  <si>
    <t>유리자산</t>
    <phoneticPr fontId="2" type="noConversion"/>
  </si>
  <si>
    <t>CITI</t>
    <phoneticPr fontId="2" type="noConversion"/>
  </si>
  <si>
    <t xml:space="preserve">유리글로벌거래소증권자1(주식)-운용 </t>
    <phoneticPr fontId="2" type="noConversion"/>
  </si>
  <si>
    <t xml:space="preserve">유리베트남알파증권자투자신탁(주식) </t>
    <phoneticPr fontId="2" type="noConversion"/>
  </si>
  <si>
    <t xml:space="preserve">유리베트남공모주증권자투자신탁(채권혼합) </t>
    <phoneticPr fontId="2" type="noConversion"/>
  </si>
  <si>
    <t xml:space="preserve">유리베트남알파연금저축자투자신탁(주식) </t>
    <phoneticPr fontId="2" type="noConversion"/>
  </si>
  <si>
    <t xml:space="preserve">유리필라델피아반도체인덱스증권모투자신탁(주식) </t>
    <phoneticPr fontId="2" type="noConversion"/>
  </si>
  <si>
    <t xml:space="preserve">유리필라델피아반도체인덱스증권자투자신탁H(주식)-운용 </t>
    <phoneticPr fontId="2" type="noConversion"/>
  </si>
  <si>
    <t>DGB잔액보유</t>
    <phoneticPr fontId="2" type="noConversion"/>
  </si>
  <si>
    <t>유진자산</t>
    <phoneticPr fontId="2" type="noConversion"/>
  </si>
  <si>
    <t>김혜미</t>
    <phoneticPr fontId="2" type="noConversion"/>
  </si>
  <si>
    <t>유진해밀턴레인세컨더리전문투자형사모1호</t>
    <phoneticPr fontId="2" type="noConversion"/>
  </si>
  <si>
    <t>유진글로벌인프라전문투자형사모</t>
    <phoneticPr fontId="2" type="noConversion"/>
  </si>
  <si>
    <t xml:space="preserve">유진ASP CO INVESTMENT 전문 사모 1호 </t>
    <phoneticPr fontId="2" type="noConversion"/>
  </si>
  <si>
    <t>유진포모나세컨더리 전문투자형 사모투자신탁1호</t>
    <phoneticPr fontId="2" type="noConversion"/>
  </si>
  <si>
    <t>유진포모나세컨더리 전문투자형 사모투자신탁2호</t>
    <phoneticPr fontId="2" type="noConversion"/>
  </si>
  <si>
    <t>NACF</t>
    <phoneticPr fontId="2" type="noConversion"/>
  </si>
  <si>
    <t>단기FWD</t>
    <phoneticPr fontId="2" type="noConversion"/>
  </si>
  <si>
    <t>유진미국VC전문투자형사모투자신탁1호</t>
    <phoneticPr fontId="2" type="noConversion"/>
  </si>
  <si>
    <t>유진렉싱턴글로벌세컨더리사모증권2호</t>
    <phoneticPr fontId="2" type="noConversion"/>
  </si>
  <si>
    <t>유진렉싱턴글로벌세컨더리사모증권3호</t>
    <phoneticPr fontId="2" type="noConversion"/>
  </si>
  <si>
    <t>유진MIF사모증권1호</t>
    <phoneticPr fontId="2" type="noConversion"/>
  </si>
  <si>
    <t>DB자산</t>
  </si>
  <si>
    <t>황신희과장님</t>
  </si>
  <si>
    <t xml:space="preserve">윤미연대리님 </t>
  </si>
  <si>
    <t>DB Manulife Private Equity 전문투자형사모투자신탁 제1호</t>
  </si>
  <si>
    <t>SHB</t>
  </si>
  <si>
    <t>SCB</t>
  </si>
  <si>
    <t>DB Deerpath 전문투자형사모투자신탁제1호 (재간접)</t>
  </si>
  <si>
    <t xml:space="preserve">DB 미국 TALF전문투자형사모투자신탁제2호 </t>
  </si>
  <si>
    <t xml:space="preserve">DB KKR전문투자형사모투자신탁 제1호 </t>
  </si>
  <si>
    <t xml:space="preserve">DB KKR전문투자형사모투자신탁 제2호 </t>
  </si>
  <si>
    <t xml:space="preserve">DB IFM인프라전문투자형사모투자신탁제1호 </t>
  </si>
  <si>
    <t>DGB 잔액 보유</t>
    <phoneticPr fontId="2" type="noConversion"/>
  </si>
  <si>
    <t>박희찬</t>
    <phoneticPr fontId="2" type="noConversion"/>
  </si>
  <si>
    <t>CVC CLO 사모특별자산1호(CLO)</t>
    <phoneticPr fontId="2" type="noConversion"/>
  </si>
  <si>
    <t>지수금리연계전문투자형사모증권3호(DLS-파생형)</t>
    <phoneticPr fontId="2" type="noConversion"/>
  </si>
  <si>
    <t>흥국자산운용</t>
    <phoneticPr fontId="2" type="noConversion"/>
  </si>
  <si>
    <t>DD41</t>
    <phoneticPr fontId="2" type="noConversion"/>
  </si>
  <si>
    <t>흥국하이클래스전문투자형사모증권투자신탁433호(DLS-파생형)</t>
    <phoneticPr fontId="2" type="noConversion"/>
  </si>
  <si>
    <t>2018.03.27</t>
    <phoneticPr fontId="2" type="noConversion"/>
  </si>
  <si>
    <t>DD97</t>
    <phoneticPr fontId="2" type="noConversion"/>
  </si>
  <si>
    <t>흥국하이클래스전문투자형사모증권449호 (파생형)</t>
    <phoneticPr fontId="2" type="noConversion"/>
  </si>
  <si>
    <t>2020.03.23</t>
    <phoneticPr fontId="2" type="noConversion"/>
  </si>
  <si>
    <t>M050</t>
    <phoneticPr fontId="2" type="noConversion"/>
  </si>
  <si>
    <t>최미나대리</t>
    <phoneticPr fontId="2" type="noConversion"/>
  </si>
  <si>
    <t>흥국 차이나플러스 증권모투자신탁[채권혼합]</t>
  </si>
  <si>
    <t>2015.04.13</t>
    <phoneticPr fontId="2" type="noConversion"/>
  </si>
  <si>
    <t>M051</t>
  </si>
  <si>
    <t>M070</t>
  </si>
  <si>
    <t>흥국퇴직연금차이나플러스증권자투자신탁(H)[채권혼합]</t>
  </si>
  <si>
    <t>M240</t>
    <phoneticPr fontId="2" type="noConversion"/>
  </si>
  <si>
    <t>흥국라이프체인저글로벌플랫폼증권모투자신탁[주식]</t>
    <phoneticPr fontId="2" type="noConversion"/>
  </si>
  <si>
    <t>2021.01.08</t>
    <phoneticPr fontId="2" type="noConversion"/>
  </si>
  <si>
    <t>M241</t>
    <phoneticPr fontId="2" type="noConversion"/>
  </si>
  <si>
    <t>흥국라이프체인저글로벌플랫폼 증권자투자신탁1호(H)[주식]</t>
    <phoneticPr fontId="2" type="noConversion"/>
  </si>
  <si>
    <t>현대자산운용</t>
  </si>
  <si>
    <t>김태영매니저</t>
  </si>
  <si>
    <t>현대중국본토대표지수사모7호[주식-재간접형]</t>
    <phoneticPr fontId="2" type="noConversion"/>
  </si>
  <si>
    <t>현대중국본토대표지수사모8호[주식-재간접형]</t>
    <phoneticPr fontId="2" type="noConversion"/>
  </si>
  <si>
    <t>현대중국본토대표지수사모11호[주식-재간접형]</t>
    <phoneticPr fontId="2" type="noConversion"/>
  </si>
  <si>
    <t>현대차이나A지수사모1호[주식-재간접형]</t>
    <phoneticPr fontId="2" type="noConversion"/>
  </si>
  <si>
    <t>현대차이나섹터밸런스사모1호[주식-재간접형]</t>
    <phoneticPr fontId="2" type="noConversion"/>
  </si>
  <si>
    <t>현대차이나섹터포커스ETF사모1호[주식-재간접형]</t>
    <phoneticPr fontId="2" type="noConversion"/>
  </si>
  <si>
    <t xml:space="preserve">차은호대리님 </t>
  </si>
  <si>
    <t>현대Star전문투자형사모부동산투자신탁1호</t>
  </si>
  <si>
    <t>박건웅대리님</t>
  </si>
  <si>
    <t>현대파워사모특별자산투자신탁2호[대출채권]</t>
  </si>
  <si>
    <t>NACF</t>
  </si>
  <si>
    <t>현대AVIATION전문투자형사모투자신탁9-2호[사모사채]</t>
  </si>
  <si>
    <t>현대AVIATION전문투자형사모투자신탁17-2호[사모사채]</t>
  </si>
  <si>
    <t>AVIATION전문투자형사모투자신탁9호(항공기)</t>
  </si>
  <si>
    <t>현대 AVIATION 전문투자형 사모 투자신탁 14-1호[사모사채]</t>
  </si>
  <si>
    <t>현대 AVIATION 전문투자형 사모 투자신탁 19호</t>
  </si>
  <si>
    <t>한화</t>
  </si>
  <si>
    <t>한화 GlobalCreditStrategy  전문투자형 사모특별자산투자신탁 2호</t>
  </si>
  <si>
    <t>한화유럽대표증권 자투자신탁(H)II (주식-재간접형)</t>
  </si>
  <si>
    <t>한화유럽대표증권 자투자신탁(H) (주식-재간접형)</t>
  </si>
  <si>
    <t>한화유럽대표증권 모투자신탁(주식-재간접형)</t>
  </si>
  <si>
    <t>한화아세안증권 모투자신탁 (주식-재간접형)</t>
  </si>
  <si>
    <t>한화러시아증권 모투자신탁 (주식-재간접형)</t>
  </si>
  <si>
    <t>한화미국대표증권 모투자신탁(주식-재간접형)</t>
  </si>
  <si>
    <t>한화차이나증권 모투자신탁 (주식-재간접형)</t>
  </si>
  <si>
    <t>한화중남미증권 모투자신탁(주식-재간접형)</t>
  </si>
  <si>
    <t>한화글로벌멀티인컴증권 모투자신탁(주식혼합-재간접형)</t>
  </si>
  <si>
    <t>한화아시아퍼시픽인컴증권모투자신탁(주식혼합-재간접형)</t>
  </si>
  <si>
    <t>한화글로벌매크로증권 모투자신탁(주식혼합-재간접형)</t>
  </si>
  <si>
    <t>한화글로벌전문투자형사모증권투자신탁15호(주식-재간접형)</t>
  </si>
  <si>
    <t>한화TUGF전문투자형사모증권투자신탁제1호(채권-재간접형)</t>
  </si>
  <si>
    <t xml:space="preserve">한화글로벌전문투자형사모증권투자신탁13호(채권-재간접형) </t>
  </si>
  <si>
    <t xml:space="preserve">한화글로벌전문투자형사모증권투자신탁5호(주식-재간접형) </t>
  </si>
  <si>
    <t>한국투신</t>
  </si>
  <si>
    <t>HSBC</t>
    <phoneticPr fontId="2" type="noConversion"/>
  </si>
  <si>
    <t>위탁운용팀</t>
    <phoneticPr fontId="2" type="noConversion"/>
  </si>
  <si>
    <t>한국투자사모월드와이드베트남증권투자신탁1호(주식혼합)</t>
  </si>
  <si>
    <t>한국월드와이드베트남혼합2호</t>
  </si>
  <si>
    <t>03Z58</t>
  </si>
  <si>
    <t>한국투자차이나베트남증권1(주식)(모)</t>
  </si>
  <si>
    <t>한국투신</t>
    <phoneticPr fontId="2" type="noConversion"/>
  </si>
  <si>
    <t>03W65</t>
    <phoneticPr fontId="2" type="noConversion"/>
  </si>
  <si>
    <t>60A28</t>
    <phoneticPr fontId="2" type="noConversion"/>
  </si>
  <si>
    <t>한국투자셀렉트중국본토ETF증권자투자신탁H(주식-재간접형)(모)</t>
  </si>
  <si>
    <t>03W69</t>
    <phoneticPr fontId="2" type="noConversion"/>
  </si>
  <si>
    <t>한국투자연금셀렉트중국본토ETF증권전환형자투자신탁(주식-재)</t>
  </si>
  <si>
    <t>03V06</t>
    <phoneticPr fontId="2" type="noConversion"/>
  </si>
  <si>
    <t>03Y02</t>
    <phoneticPr fontId="2" type="noConversion"/>
  </si>
  <si>
    <t>한국투자그레이터차이나증권자투자신탁1호(주식)(모)</t>
  </si>
  <si>
    <t>05X72</t>
    <phoneticPr fontId="2" type="noConversion"/>
  </si>
  <si>
    <t>WOORI</t>
    <phoneticPr fontId="2" type="noConversion"/>
  </si>
  <si>
    <t>05A39</t>
    <phoneticPr fontId="2" type="noConversion"/>
  </si>
  <si>
    <t>05P24</t>
    <phoneticPr fontId="2" type="noConversion"/>
  </si>
  <si>
    <t>한국투자베트남IPO증권투자신탁(채권혼합)(모)</t>
  </si>
  <si>
    <t>05P73</t>
    <phoneticPr fontId="2" type="noConversion"/>
  </si>
  <si>
    <t>06H77</t>
    <phoneticPr fontId="2" type="noConversion"/>
  </si>
  <si>
    <t>한국투자KOIC베트남IPO전문투자형사모투자신탁</t>
  </si>
  <si>
    <t>09D30</t>
    <phoneticPr fontId="2" type="noConversion"/>
  </si>
  <si>
    <t>한국투자차이나증권1(주식-재간접형)(모)</t>
  </si>
  <si>
    <t>07A43</t>
    <phoneticPr fontId="2" type="noConversion"/>
  </si>
  <si>
    <t>SCB</t>
    <phoneticPr fontId="2" type="noConversion"/>
  </si>
  <si>
    <t>한국투자중국공모주투자증권자투자신탁H(주식혼합)(모)</t>
  </si>
  <si>
    <t>07A42</t>
    <phoneticPr fontId="2" type="noConversion"/>
  </si>
  <si>
    <t>한국투자중국공모주투자증권모투자신탁(주식혼합)</t>
  </si>
  <si>
    <t>03X30</t>
    <phoneticPr fontId="2" type="noConversion"/>
  </si>
  <si>
    <t>한국투자네비게이터중국본토증권모투자신탁(주식)</t>
  </si>
  <si>
    <t>03X32</t>
  </si>
  <si>
    <t>한국투자네비게이터중국본토증권자투자신탁H(주식)(모)</t>
  </si>
  <si>
    <t>05A34</t>
    <phoneticPr fontId="2" type="noConversion"/>
  </si>
  <si>
    <t>한국투자퇴직연금베트남그로스40증권자투자신탁(채권혼합)(모)</t>
  </si>
  <si>
    <t>05X70</t>
    <phoneticPr fontId="2" type="noConversion"/>
  </si>
  <si>
    <t>한국투자베트남그로스증권모투자신탁(주식)</t>
  </si>
  <si>
    <t>07A60</t>
    <phoneticPr fontId="2" type="noConversion"/>
  </si>
  <si>
    <t>한국투자중국공모주투자증권자투자신탁2호H(주식혼합)(모)</t>
  </si>
  <si>
    <t>60A30</t>
    <phoneticPr fontId="2" type="noConversion"/>
  </si>
  <si>
    <t>한국투자셀렉트중국본토ETF증권모투자신탁(주식-재간접형)</t>
  </si>
  <si>
    <t>한국투자금리연계전문투자형사모증권투자신탁15호(채권-파생형)</t>
    <phoneticPr fontId="2" type="noConversion"/>
  </si>
  <si>
    <t>최윤영사원(FI팀)</t>
    <phoneticPr fontId="2" type="noConversion"/>
  </si>
  <si>
    <t>06G64</t>
    <phoneticPr fontId="2" type="noConversion"/>
  </si>
  <si>
    <t>한국투자금리연계전문투자형사모증권투자신탁11호(채권-파생형)</t>
    <phoneticPr fontId="2" type="noConversion"/>
  </si>
  <si>
    <t>06G53</t>
    <phoneticPr fontId="2" type="noConversion"/>
  </si>
  <si>
    <t>한국투자KP전문투자형사모증권투자신탁13호(USD)(채권)</t>
  </si>
  <si>
    <t>06H19</t>
    <phoneticPr fontId="2" type="noConversion"/>
  </si>
  <si>
    <t>한국투자금리연계전문투자형사모증권투자신탁12호(DLS-파생형)</t>
  </si>
  <si>
    <t>08F09</t>
    <phoneticPr fontId="2" type="noConversion"/>
  </si>
  <si>
    <t>한국투자아시아플러스ex-China증권모투자신탁(채권)</t>
    <phoneticPr fontId="2" type="noConversion"/>
  </si>
  <si>
    <t>이주호사원(FI팀)</t>
    <phoneticPr fontId="2" type="noConversion"/>
  </si>
  <si>
    <t>05W05</t>
    <phoneticPr fontId="2" type="noConversion"/>
  </si>
  <si>
    <t>한국투자베이직전문투자형사모증권투자신탁35호(DLS-파생형)</t>
  </si>
  <si>
    <t>08F07</t>
    <phoneticPr fontId="2" type="noConversion"/>
  </si>
  <si>
    <t xml:space="preserve">한국투자베이직전문투자형사모증권투자신탁103호(채권-재간접형) </t>
    <phoneticPr fontId="2" type="noConversion"/>
  </si>
  <si>
    <t>06K99</t>
    <phoneticPr fontId="2" type="noConversion"/>
  </si>
  <si>
    <t>한국투자베이직전문투자형사모증권투자신탁104호(채권-재간접형)</t>
    <phoneticPr fontId="2" type="noConversion"/>
  </si>
  <si>
    <t>06W01</t>
    <phoneticPr fontId="2" type="noConversion"/>
  </si>
  <si>
    <t>한국투자글로벌플렉스증권투자신탁(채권혼합-재간접형)(모)</t>
    <phoneticPr fontId="2" type="noConversion"/>
  </si>
  <si>
    <t>07A25</t>
    <phoneticPr fontId="2" type="noConversion"/>
  </si>
  <si>
    <t xml:space="preserve">한국투자베이직전문투자형사모증권투자신탁97호(채권-파생형) </t>
    <phoneticPr fontId="2" type="noConversion"/>
  </si>
  <si>
    <t>06K84</t>
    <phoneticPr fontId="2" type="noConversion"/>
  </si>
  <si>
    <t>한국투자KP전문투자형사모증권투자신탁15호(채권)</t>
    <phoneticPr fontId="2" type="noConversion"/>
  </si>
  <si>
    <t>06H28</t>
    <phoneticPr fontId="2" type="noConversion"/>
  </si>
  <si>
    <t>한국투자KP전문투자형사모증권투자신탁14호(채권)</t>
    <phoneticPr fontId="2" type="noConversion"/>
  </si>
  <si>
    <t>06H21</t>
    <phoneticPr fontId="2" type="noConversion"/>
  </si>
  <si>
    <t>한국투자KP전문투자형사모증권투자신탁12호(채권)</t>
    <phoneticPr fontId="2" type="noConversion"/>
  </si>
  <si>
    <t>06H18</t>
    <phoneticPr fontId="2" type="noConversion"/>
  </si>
  <si>
    <t>한국투자KP전문투자형사모증권투자신탁11호(채권)</t>
    <phoneticPr fontId="2" type="noConversion"/>
  </si>
  <si>
    <t>06H05</t>
    <phoneticPr fontId="2" type="noConversion"/>
  </si>
  <si>
    <t>한국투자KP전문투자형사모증권투자신탁10호(채권)</t>
    <phoneticPr fontId="2" type="noConversion"/>
  </si>
  <si>
    <t>06G90</t>
    <phoneticPr fontId="2" type="noConversion"/>
  </si>
  <si>
    <t>한국투자든든한달러표시채권목표전환형증권투자신탁2호(채권혼합)</t>
    <phoneticPr fontId="2" type="noConversion"/>
  </si>
  <si>
    <t>05B64</t>
    <phoneticPr fontId="2" type="noConversion"/>
  </si>
  <si>
    <t>한국투자든든한달러표시채권목표전환형증권투자신탁1호(채권혼합)</t>
    <phoneticPr fontId="2" type="noConversion"/>
  </si>
  <si>
    <t>05B58</t>
    <phoneticPr fontId="2" type="noConversion"/>
  </si>
  <si>
    <t>한국투자달러표시중국채권증권모투자신탁(채권)</t>
    <phoneticPr fontId="2" type="noConversion"/>
  </si>
  <si>
    <t>04F07</t>
    <phoneticPr fontId="2" type="noConversion"/>
  </si>
  <si>
    <t>한국투자사모중국국유기업증권투자신탁1호(채권)(모)</t>
    <phoneticPr fontId="2" type="noConversion"/>
  </si>
  <si>
    <t>04D99</t>
    <phoneticPr fontId="2" type="noConversion"/>
  </si>
  <si>
    <t>박상건팀장, 정채은과장</t>
    <phoneticPr fontId="2" type="noConversion"/>
  </si>
  <si>
    <t>단축코드</t>
    <phoneticPr fontId="2" type="noConversion"/>
  </si>
  <si>
    <t>환전만 가능펀드</t>
    <phoneticPr fontId="2" type="noConversion"/>
  </si>
  <si>
    <t xml:space="preserve">설정예정일 </t>
    <phoneticPr fontId="2" type="noConversion"/>
  </si>
  <si>
    <t>하나UBS</t>
  </si>
  <si>
    <t>심은희차장님</t>
    <phoneticPr fontId="2" type="noConversion"/>
  </si>
  <si>
    <t>3G401</t>
  </si>
  <si>
    <t>하나UBS글로벌이머징국공채증권모투자신탁(채권-재간접)</t>
    <phoneticPr fontId="2" type="noConversion"/>
  </si>
  <si>
    <t>하나UBS유럽포커스증권모투자신탁(주식-재간접형)</t>
    <phoneticPr fontId="2" type="noConversion"/>
  </si>
  <si>
    <t>하나UBS미국토탈일드증권모투자신탁(주식-재간접형)</t>
    <phoneticPr fontId="2" type="noConversion"/>
  </si>
  <si>
    <t>WOORI</t>
  </si>
  <si>
    <t>하나UBS재팬코어플러스증권투자신탁(주식)</t>
    <phoneticPr fontId="2" type="noConversion"/>
  </si>
  <si>
    <t>3G171</t>
  </si>
  <si>
    <t>대한FirstClassGlobalHedge사모해외재간접투자신탁(제1호)</t>
    <phoneticPr fontId="2" type="noConversion"/>
  </si>
  <si>
    <t>3G551</t>
  </si>
  <si>
    <t>하나UBS유로하이일드증권모투자신탁 (채권-재간접형)</t>
    <phoneticPr fontId="2" type="noConversion"/>
  </si>
  <si>
    <t>하나UBS중국소비재사모증권투자신탁(주식-재간접형)</t>
    <phoneticPr fontId="2" type="noConversion"/>
  </si>
  <si>
    <t>하나UBS글로벌리츠부동산투자신탁(재간접형)</t>
    <phoneticPr fontId="2" type="noConversion"/>
  </si>
  <si>
    <t>3G720</t>
  </si>
  <si>
    <t>하나UBS유럽오퍼튜니티증권모투자신탁(주식-재간접형)</t>
    <phoneticPr fontId="2" type="noConversion"/>
  </si>
  <si>
    <t>3G252</t>
  </si>
  <si>
    <t>하나UBS글로벌증권모투자신탁(주식-재간접형)</t>
    <phoneticPr fontId="2" type="noConversion"/>
  </si>
  <si>
    <t>3G251</t>
  </si>
  <si>
    <t>하나UBS글로벌증권모투자신탁(채권-재간접형)</t>
    <phoneticPr fontId="2" type="noConversion"/>
  </si>
  <si>
    <t>하나UBS차이나대표증권모투자신탁(주식-재간접형)</t>
    <phoneticPr fontId="2" type="noConversion"/>
  </si>
  <si>
    <t>하나UBS아시안리츠부동산투자신탁(재간접형)</t>
    <phoneticPr fontId="2" type="noConversion"/>
  </si>
  <si>
    <t>하나UBS글로벌인프라증권모투자신탁(주식)</t>
    <phoneticPr fontId="2" type="noConversion"/>
  </si>
  <si>
    <t>K55102C00157</t>
    <phoneticPr fontId="2" type="noConversion"/>
  </si>
  <si>
    <t>하나UBS4차산업1등주플러스증권자투자신탁[주식]</t>
    <phoneticPr fontId="2" type="noConversion"/>
  </si>
  <si>
    <t>하나UBSPIMCO글로벌인컴</t>
    <phoneticPr fontId="2" type="noConversion"/>
  </si>
  <si>
    <t>610,046(백만)</t>
    <phoneticPr fontId="2" type="noConversion"/>
  </si>
  <si>
    <t>545,228(백만)</t>
    <phoneticPr fontId="2" type="noConversion"/>
  </si>
  <si>
    <t>하나UBSPIMCO글로벌인컴혼합투자자산투자신탁(H)[재간접형]</t>
    <phoneticPr fontId="2" type="noConversion"/>
  </si>
  <si>
    <t>하나UBS글로벌지속성장가능기업증권자투자신탁(H)[주식-재간접형]</t>
    <phoneticPr fontId="2" type="noConversion"/>
  </si>
  <si>
    <t xml:space="preserve">하나UBS올차이나증권모투자신탁(주식-재간접형) </t>
    <phoneticPr fontId="2" type="noConversion"/>
  </si>
  <si>
    <t xml:space="preserve">삼성자산 </t>
    <phoneticPr fontId="2" type="noConversion"/>
  </si>
  <si>
    <t>1MI1600</t>
    <phoneticPr fontId="2" type="noConversion"/>
  </si>
  <si>
    <t xml:space="preserve"> 공모 </t>
    <phoneticPr fontId="2" type="noConversion"/>
  </si>
  <si>
    <t>국민</t>
    <phoneticPr fontId="2" type="noConversion"/>
  </si>
  <si>
    <t>조성호 매니저님</t>
    <phoneticPr fontId="2" type="noConversion"/>
  </si>
  <si>
    <t xml:space="preserve">삼성MAN투자밸런스증권투자신탁H(혼합-재간접형) </t>
    <phoneticPr fontId="2" type="noConversion"/>
  </si>
  <si>
    <t>황준연 팀장님</t>
    <phoneticPr fontId="2" type="noConversion"/>
  </si>
  <si>
    <t xml:space="preserve">삼성탑티어글로벌헤지펀드증권모투자신탁(혼합-재간접형) </t>
    <phoneticPr fontId="2" type="noConversion"/>
  </si>
  <si>
    <t xml:space="preserve">사모 </t>
    <phoneticPr fontId="2" type="noConversion"/>
  </si>
  <si>
    <t xml:space="preserve">이동언 매니저님 </t>
    <phoneticPr fontId="2" type="noConversion"/>
  </si>
  <si>
    <t>삼성NB전문투자형사모투자신탁 제1호</t>
    <phoneticPr fontId="2" type="noConversion"/>
  </si>
  <si>
    <t>SC제일</t>
    <phoneticPr fontId="2" type="noConversion"/>
  </si>
  <si>
    <t>PE팀</t>
    <phoneticPr fontId="2" type="noConversion"/>
  </si>
  <si>
    <t>삼성 글로벌 Private Equity Manager 전문투자형 사모증권투자신탁 (채권혼합-재간접형)</t>
    <phoneticPr fontId="2" type="noConversion"/>
  </si>
  <si>
    <t xml:space="preserve">삼성 GoldPoint Partner 메자닌 전문투자형 사모증권투자신탁 제1호 </t>
    <phoneticPr fontId="2" type="noConversion"/>
  </si>
  <si>
    <t xml:space="preserve">삼성 GoldPoint Partner 메자닌 전문투자형 사모증권투자신탁 제2호 </t>
    <phoneticPr fontId="2" type="noConversion"/>
  </si>
  <si>
    <t>삼성 GoldPoint 전문투자형 사모투자신탁 제3호 (재간접형)</t>
    <phoneticPr fontId="2" type="noConversion"/>
  </si>
  <si>
    <t xml:space="preserve">삼성THL전문투자형 사모증권투자신탁제1호 </t>
    <phoneticPr fontId="2" type="noConversion"/>
  </si>
  <si>
    <t xml:space="preserve">삼성DYAL전문투자형사모투자신탁제1호 </t>
    <phoneticPr fontId="2" type="noConversion"/>
  </si>
  <si>
    <t xml:space="preserve">삼성DYAL전문투자형사모투자신탁제2호 </t>
    <phoneticPr fontId="2" type="noConversion"/>
  </si>
  <si>
    <t xml:space="preserve">삼성DYAL전문투자형사모투자신탁제3호 </t>
    <phoneticPr fontId="2" type="noConversion"/>
  </si>
  <si>
    <t>하나</t>
    <phoneticPr fontId="2" type="noConversion"/>
  </si>
  <si>
    <t xml:space="preserve">삼성팔콘메자닌전문투자형사모투자신탁제1호 </t>
    <phoneticPr fontId="2" type="noConversion"/>
  </si>
  <si>
    <t>삼성바이아웃전문투자형사모투자신탁제1호</t>
    <phoneticPr fontId="2" type="noConversion"/>
  </si>
  <si>
    <t xml:space="preserve">삼성PEManager2019 전문투자형 사모투자신탁 제1호 </t>
    <phoneticPr fontId="2" type="noConversion"/>
  </si>
  <si>
    <t xml:space="preserve">삼성일본중소형FOCUS증권모투자신탁(주식) </t>
    <phoneticPr fontId="2" type="noConversion"/>
  </si>
  <si>
    <t xml:space="preserve">삼성CHINA 2.0본토증권모(주식) </t>
    <phoneticPr fontId="2" type="noConversion"/>
  </si>
  <si>
    <t>1M3000</t>
    <phoneticPr fontId="2" type="noConversion"/>
  </si>
  <si>
    <t>삼성CHINA 2.0본토30증권자1(채권)</t>
    <phoneticPr fontId="2" type="noConversion"/>
  </si>
  <si>
    <t>삼성재형차이나본토증권자1(주식)</t>
    <phoneticPr fontId="2" type="noConversion"/>
  </si>
  <si>
    <t>삼성재형차이나본토40증권자1(채권혼합)</t>
    <phoneticPr fontId="2" type="noConversion"/>
  </si>
  <si>
    <t>2M9600</t>
    <phoneticPr fontId="2" type="noConversion"/>
  </si>
  <si>
    <t>삼성CHINA 2.0 본토증권자 제1호(주식)</t>
    <phoneticPr fontId="2" type="noConversion"/>
  </si>
  <si>
    <t>2MFB00</t>
    <phoneticPr fontId="2" type="noConversion"/>
  </si>
  <si>
    <t xml:space="preserve">삼성클래식차이나본토연금증권H(주식) </t>
    <phoneticPr fontId="2" type="noConversion"/>
  </si>
  <si>
    <t>삼성솔루션Monroe Capital 전문투자형사모투자신탁</t>
    <phoneticPr fontId="2" type="noConversion"/>
  </si>
  <si>
    <t>삼성 CU Global Alpha Spectrum 전문투자형 사모증권투자신탁</t>
    <phoneticPr fontId="2" type="noConversion"/>
  </si>
  <si>
    <t>박수범</t>
    <phoneticPr fontId="2" type="noConversion"/>
  </si>
  <si>
    <t>HANA</t>
    <phoneticPr fontId="2" type="noConversion"/>
  </si>
  <si>
    <t>공모</t>
    <phoneticPr fontId="2" type="noConversion"/>
  </si>
  <si>
    <t>KTB전문투자형사모증권투자신탁</t>
    <phoneticPr fontId="2" type="noConversion"/>
  </si>
  <si>
    <t>전양민</t>
    <phoneticPr fontId="2" type="noConversion"/>
  </si>
  <si>
    <t>사모</t>
    <phoneticPr fontId="2" type="noConversion"/>
  </si>
  <si>
    <t>1C611</t>
    <phoneticPr fontId="2" type="noConversion"/>
  </si>
  <si>
    <t>1C078</t>
    <phoneticPr fontId="2" type="noConversion"/>
  </si>
  <si>
    <t>1C109</t>
    <phoneticPr fontId="2" type="noConversion"/>
  </si>
  <si>
    <t>KTB RF 전문투자형사모증권투자신탁</t>
    <phoneticPr fontId="2" type="noConversion"/>
  </si>
  <si>
    <t>1C548</t>
    <phoneticPr fontId="2" type="noConversion"/>
  </si>
  <si>
    <t>KTB HF글로벌채권ETF전문투자형 사모증권1[채권-재간접형]</t>
    <phoneticPr fontId="2" type="noConversion"/>
  </si>
  <si>
    <t>1C184</t>
    <phoneticPr fontId="2" type="noConversion"/>
  </si>
  <si>
    <t>잔액보유</t>
    <phoneticPr fontId="2" type="noConversion"/>
  </si>
  <si>
    <t>팀명</t>
    <phoneticPr fontId="2" type="noConversion"/>
  </si>
  <si>
    <t>멀티에셋솔루션</t>
    <phoneticPr fontId="2" type="noConversion"/>
  </si>
  <si>
    <t xml:space="preserve">한화K리츠플러스부동산자투자신탁(H)(리츠-재간접형) </t>
  </si>
  <si>
    <t>한화K리츠플러스분기배당형부동산자투자신탁(H)(리츠-재간접형)</t>
  </si>
  <si>
    <t>한화글로벌리츠 모투자신탁(리츠-재간접형)</t>
  </si>
  <si>
    <t>한화글로벌리얼에셋혼합자산 모투자신탁(혼합-재간접형)</t>
  </si>
  <si>
    <t>지은송대리님</t>
  </si>
  <si>
    <t xml:space="preserve">한화K리츠플러스부동산모투자신탁(리츠-재간접형) </t>
  </si>
  <si>
    <t>3G001</t>
  </si>
  <si>
    <t>3G002</t>
  </si>
  <si>
    <t>3G003</t>
  </si>
  <si>
    <t>3G004</t>
  </si>
  <si>
    <t>3G121</t>
  </si>
  <si>
    <t>3G137</t>
  </si>
  <si>
    <t>3G151</t>
  </si>
  <si>
    <t>3G226</t>
  </si>
  <si>
    <t>3G273</t>
  </si>
  <si>
    <t>3G333</t>
  </si>
  <si>
    <t>3G372</t>
  </si>
  <si>
    <t>3G486</t>
  </si>
  <si>
    <t>DEUTS</t>
    <phoneticPr fontId="2" type="noConversion"/>
  </si>
  <si>
    <t>3G491</t>
  </si>
  <si>
    <t>3G492</t>
  </si>
  <si>
    <t>3G571</t>
  </si>
  <si>
    <t>3G601</t>
  </si>
  <si>
    <t>3G621</t>
  </si>
  <si>
    <t>3G642</t>
  </si>
  <si>
    <t>3G661</t>
  </si>
  <si>
    <t>3G723</t>
  </si>
  <si>
    <t>3G731</t>
  </si>
  <si>
    <t>3G741</t>
  </si>
  <si>
    <t>3G791</t>
  </si>
  <si>
    <t>3G911</t>
  </si>
  <si>
    <t>23G211</t>
    <phoneticPr fontId="2" type="noConversion"/>
  </si>
  <si>
    <t>23G212</t>
    <phoneticPr fontId="2" type="noConversion"/>
  </si>
  <si>
    <t>23G213</t>
    <phoneticPr fontId="2" type="noConversion"/>
  </si>
  <si>
    <t>23G214</t>
    <phoneticPr fontId="2" type="noConversion"/>
  </si>
  <si>
    <t>23G215</t>
    <phoneticPr fontId="2" type="noConversion"/>
  </si>
  <si>
    <t>IBK</t>
    <phoneticPr fontId="2" type="noConversion"/>
  </si>
  <si>
    <t>05A50</t>
  </si>
  <si>
    <t>04D99</t>
  </si>
  <si>
    <t>04F07</t>
  </si>
  <si>
    <t>06G78</t>
    <phoneticPr fontId="2" type="noConversion"/>
  </si>
  <si>
    <t>08A84</t>
    <phoneticPr fontId="2" type="noConversion"/>
  </si>
  <si>
    <t>06K18</t>
    <phoneticPr fontId="2" type="noConversion"/>
  </si>
  <si>
    <t>06K13</t>
    <phoneticPr fontId="2" type="noConversion"/>
  </si>
  <si>
    <t>06K22</t>
    <phoneticPr fontId="2" type="noConversion"/>
  </si>
  <si>
    <t>06K57</t>
    <phoneticPr fontId="2" type="noConversion"/>
  </si>
  <si>
    <t>06K38</t>
    <phoneticPr fontId="2" type="noConversion"/>
  </si>
  <si>
    <t>06K54</t>
    <phoneticPr fontId="2" type="noConversion"/>
  </si>
  <si>
    <t>06K50</t>
    <phoneticPr fontId="2" type="noConversion"/>
  </si>
  <si>
    <t>06K77</t>
    <phoneticPr fontId="2" type="noConversion"/>
  </si>
  <si>
    <t>06H89</t>
    <phoneticPr fontId="2" type="noConversion"/>
  </si>
  <si>
    <t>06K25</t>
    <phoneticPr fontId="2" type="noConversion"/>
  </si>
  <si>
    <t>06W14</t>
    <phoneticPr fontId="2" type="noConversion"/>
  </si>
  <si>
    <t>06W27</t>
    <phoneticPr fontId="2" type="noConversion"/>
  </si>
  <si>
    <t>06W28</t>
    <phoneticPr fontId="2" type="noConversion"/>
  </si>
  <si>
    <t>06W32</t>
    <phoneticPr fontId="2" type="noConversion"/>
  </si>
  <si>
    <t>05M72</t>
    <phoneticPr fontId="2" type="noConversion"/>
  </si>
  <si>
    <t>05Z35</t>
    <phoneticPr fontId="2" type="noConversion"/>
  </si>
  <si>
    <t>06W04</t>
    <phoneticPr fontId="2" type="noConversion"/>
  </si>
  <si>
    <t>06W03</t>
    <phoneticPr fontId="2" type="noConversion"/>
  </si>
  <si>
    <t>06K65</t>
    <phoneticPr fontId="2" type="noConversion"/>
  </si>
  <si>
    <t>05B66</t>
    <phoneticPr fontId="2" type="noConversion"/>
  </si>
  <si>
    <t>05Z55</t>
    <phoneticPr fontId="2" type="noConversion"/>
  </si>
  <si>
    <t>06G66</t>
    <phoneticPr fontId="2" type="noConversion"/>
  </si>
  <si>
    <t>06G99</t>
    <phoneticPr fontId="2" type="noConversion"/>
  </si>
  <si>
    <t>06H36</t>
    <phoneticPr fontId="2" type="noConversion"/>
  </si>
  <si>
    <t>06K47</t>
    <phoneticPr fontId="2" type="noConversion"/>
  </si>
  <si>
    <t>06K33</t>
    <phoneticPr fontId="2" type="noConversion"/>
  </si>
  <si>
    <t>06K12</t>
    <phoneticPr fontId="2" type="noConversion"/>
  </si>
  <si>
    <t>06H32</t>
    <phoneticPr fontId="2" type="noConversion"/>
  </si>
  <si>
    <t>06K16</t>
    <phoneticPr fontId="2" type="noConversion"/>
  </si>
  <si>
    <t>08A72</t>
    <phoneticPr fontId="2" type="noConversion"/>
  </si>
  <si>
    <t>08A73</t>
    <phoneticPr fontId="2" type="noConversion"/>
  </si>
  <si>
    <t>06H49</t>
    <phoneticPr fontId="2" type="noConversion"/>
  </si>
  <si>
    <t>06H12</t>
    <phoneticPr fontId="2" type="noConversion"/>
  </si>
  <si>
    <t>06G34</t>
    <phoneticPr fontId="2" type="noConversion"/>
  </si>
  <si>
    <t>06G57</t>
    <phoneticPr fontId="2" type="noConversion"/>
  </si>
  <si>
    <t>06G60</t>
  </si>
  <si>
    <t>06G65</t>
  </si>
  <si>
    <t>04X58</t>
  </si>
  <si>
    <t>03W55</t>
    <phoneticPr fontId="2" type="noConversion"/>
  </si>
  <si>
    <t>03W59</t>
    <phoneticPr fontId="2" type="noConversion"/>
  </si>
  <si>
    <t>05H42</t>
  </si>
  <si>
    <t>DEUTS</t>
  </si>
  <si>
    <t>06G05</t>
  </si>
  <si>
    <t>04D05</t>
  </si>
  <si>
    <t>04D07</t>
  </si>
  <si>
    <t>04D38</t>
  </si>
  <si>
    <t>04D22</t>
  </si>
  <si>
    <t>IBK</t>
  </si>
  <si>
    <t>04D79</t>
  </si>
  <si>
    <t>05F28</t>
  </si>
  <si>
    <t>05F30</t>
  </si>
  <si>
    <t>06G70</t>
    <phoneticPr fontId="2" type="noConversion"/>
  </si>
  <si>
    <t>2JM20</t>
    <phoneticPr fontId="2" type="noConversion"/>
  </si>
  <si>
    <t>06G94</t>
    <phoneticPr fontId="2" type="noConversion"/>
  </si>
  <si>
    <t>08F19</t>
    <phoneticPr fontId="2" type="noConversion"/>
  </si>
  <si>
    <t>05F40</t>
  </si>
  <si>
    <t>04D31</t>
  </si>
  <si>
    <t>05F49</t>
  </si>
  <si>
    <t>05F50</t>
  </si>
  <si>
    <t>05F63</t>
  </si>
  <si>
    <t>05F52</t>
  </si>
  <si>
    <t>05F47</t>
  </si>
  <si>
    <t>05F74</t>
  </si>
  <si>
    <t>05F77</t>
  </si>
  <si>
    <t>06F84</t>
  </si>
  <si>
    <t>05F78</t>
  </si>
  <si>
    <t>05F59</t>
  </si>
  <si>
    <t>06F86</t>
  </si>
  <si>
    <t>06F87</t>
  </si>
  <si>
    <t>06F88</t>
  </si>
  <si>
    <t>06F92</t>
  </si>
  <si>
    <t>06F93</t>
  </si>
  <si>
    <t>06F94</t>
  </si>
  <si>
    <t>06F99</t>
  </si>
  <si>
    <t>04D60</t>
  </si>
  <si>
    <t>04D69</t>
  </si>
  <si>
    <t>04D71</t>
  </si>
  <si>
    <t>04D77</t>
  </si>
  <si>
    <t>05H07</t>
  </si>
  <si>
    <t>06P08</t>
  </si>
  <si>
    <t>1JM43</t>
  </si>
  <si>
    <t>05X51</t>
  </si>
  <si>
    <t>05H56</t>
  </si>
  <si>
    <t>05X56</t>
  </si>
  <si>
    <t>06G19</t>
  </si>
  <si>
    <t>05H34</t>
  </si>
  <si>
    <t>05H45</t>
  </si>
  <si>
    <t>05X43</t>
  </si>
  <si>
    <t>06G30</t>
  </si>
  <si>
    <t>2JM19</t>
  </si>
  <si>
    <t>05H44</t>
  </si>
  <si>
    <t>03Y18</t>
  </si>
  <si>
    <t>04D23</t>
  </si>
  <si>
    <t>04D96</t>
  </si>
  <si>
    <t>06G68</t>
    <phoneticPr fontId="2" type="noConversion"/>
  </si>
  <si>
    <t>03W39</t>
    <phoneticPr fontId="2" type="noConversion"/>
  </si>
  <si>
    <t>03V74</t>
    <phoneticPr fontId="2" type="noConversion"/>
  </si>
  <si>
    <t>06G91</t>
    <phoneticPr fontId="2" type="noConversion"/>
  </si>
  <si>
    <t>06G93</t>
    <phoneticPr fontId="2" type="noConversion"/>
  </si>
  <si>
    <t>05F43</t>
    <phoneticPr fontId="2" type="noConversion"/>
  </si>
  <si>
    <t>05F87</t>
    <phoneticPr fontId="2" type="noConversion"/>
  </si>
  <si>
    <t>06G35</t>
    <phoneticPr fontId="2" type="noConversion"/>
  </si>
  <si>
    <t>08F10</t>
    <phoneticPr fontId="2" type="noConversion"/>
  </si>
  <si>
    <t>06H64</t>
    <phoneticPr fontId="2" type="noConversion"/>
  </si>
  <si>
    <t>06G31</t>
    <phoneticPr fontId="2" type="noConversion"/>
  </si>
  <si>
    <t>06G62</t>
    <phoneticPr fontId="2" type="noConversion"/>
  </si>
  <si>
    <t>06H90</t>
    <phoneticPr fontId="2" type="noConversion"/>
  </si>
  <si>
    <t>06h98</t>
    <phoneticPr fontId="2" type="noConversion"/>
  </si>
  <si>
    <t>06h99</t>
    <phoneticPr fontId="2" type="noConversion"/>
  </si>
  <si>
    <t>03Z99</t>
    <phoneticPr fontId="2" type="noConversion"/>
  </si>
  <si>
    <t>06G96</t>
    <phoneticPr fontId="2" type="noConversion"/>
  </si>
  <si>
    <t>03V79</t>
    <phoneticPr fontId="2" type="noConversion"/>
  </si>
  <si>
    <t>09D47</t>
    <phoneticPr fontId="2" type="noConversion"/>
  </si>
  <si>
    <t>CH08</t>
  </si>
  <si>
    <t>5S16</t>
    <phoneticPr fontId="2" type="noConversion"/>
  </si>
  <si>
    <t>5S27</t>
    <phoneticPr fontId="2" type="noConversion"/>
  </si>
  <si>
    <t>5S28</t>
    <phoneticPr fontId="2" type="noConversion"/>
  </si>
  <si>
    <t>7S01</t>
    <phoneticPr fontId="2" type="noConversion"/>
  </si>
  <si>
    <t>V015</t>
    <phoneticPr fontId="2" type="noConversion"/>
  </si>
  <si>
    <t>V014</t>
    <phoneticPr fontId="2" type="noConversion"/>
  </si>
  <si>
    <t>7S02</t>
    <phoneticPr fontId="2" type="noConversion"/>
  </si>
  <si>
    <t>7S03</t>
    <phoneticPr fontId="2" type="noConversion"/>
  </si>
  <si>
    <t>TF01</t>
    <phoneticPr fontId="2" type="noConversion"/>
  </si>
  <si>
    <t>TF10</t>
    <phoneticPr fontId="2" type="noConversion"/>
  </si>
  <si>
    <t>TF20</t>
    <phoneticPr fontId="2" type="noConversion"/>
  </si>
  <si>
    <t>TF30</t>
    <phoneticPr fontId="2" type="noConversion"/>
  </si>
  <si>
    <t>TF40</t>
    <phoneticPr fontId="2" type="noConversion"/>
  </si>
  <si>
    <t>TF50</t>
    <phoneticPr fontId="2" type="noConversion"/>
  </si>
  <si>
    <t>KZ19</t>
    <phoneticPr fontId="2" type="noConversion"/>
  </si>
  <si>
    <t>5F16</t>
    <phoneticPr fontId="2" type="noConversion"/>
  </si>
  <si>
    <t>SH01</t>
    <phoneticPr fontId="2" type="noConversion"/>
  </si>
  <si>
    <t>KZ18</t>
    <phoneticPr fontId="2" type="noConversion"/>
  </si>
  <si>
    <t>SM02</t>
    <phoneticPr fontId="2" type="noConversion"/>
  </si>
  <si>
    <t>G003</t>
  </si>
  <si>
    <t>CE05</t>
    <phoneticPr fontId="2" type="noConversion"/>
  </si>
  <si>
    <t>CH33</t>
    <phoneticPr fontId="2" type="noConversion"/>
  </si>
  <si>
    <t>7S10</t>
    <phoneticPr fontId="2" type="noConversion"/>
  </si>
  <si>
    <t>V004</t>
    <phoneticPr fontId="2" type="noConversion"/>
  </si>
  <si>
    <t>5S13</t>
    <phoneticPr fontId="2" type="noConversion"/>
  </si>
  <si>
    <t>7S05</t>
    <phoneticPr fontId="2" type="noConversion"/>
  </si>
  <si>
    <t>CI14</t>
    <phoneticPr fontId="2" type="noConversion"/>
  </si>
  <si>
    <t>CI17</t>
    <phoneticPr fontId="2" type="noConversion"/>
  </si>
  <si>
    <t>CI15</t>
    <phoneticPr fontId="2" type="noConversion"/>
  </si>
  <si>
    <t>CI21</t>
    <phoneticPr fontId="2" type="noConversion"/>
  </si>
  <si>
    <t>G084</t>
    <phoneticPr fontId="2" type="noConversion"/>
  </si>
  <si>
    <t>5S15</t>
    <phoneticPr fontId="2" type="noConversion"/>
  </si>
  <si>
    <t>V002</t>
    <phoneticPr fontId="2" type="noConversion"/>
  </si>
  <si>
    <t>V003</t>
    <phoneticPr fontId="2" type="noConversion"/>
  </si>
  <si>
    <t>VM01</t>
    <phoneticPr fontId="2" type="noConversion"/>
  </si>
  <si>
    <t>CH01</t>
    <phoneticPr fontId="2" type="noConversion"/>
  </si>
  <si>
    <t>CE01</t>
    <phoneticPr fontId="2" type="noConversion"/>
  </si>
  <si>
    <t>CI01</t>
    <phoneticPr fontId="2" type="noConversion"/>
  </si>
  <si>
    <t>CD01</t>
    <phoneticPr fontId="2" type="noConversion"/>
  </si>
  <si>
    <t>G001</t>
    <phoneticPr fontId="2" type="noConversion"/>
  </si>
  <si>
    <t>G002</t>
    <phoneticPr fontId="2" type="noConversion"/>
  </si>
  <si>
    <t>CD12</t>
    <phoneticPr fontId="2" type="noConversion"/>
  </si>
  <si>
    <t>CI10</t>
    <phoneticPr fontId="2" type="noConversion"/>
  </si>
  <si>
    <t>SM01</t>
    <phoneticPr fontId="2" type="noConversion"/>
  </si>
  <si>
    <t>CF01</t>
    <phoneticPr fontId="2" type="noConversion"/>
  </si>
  <si>
    <t>CF02</t>
    <phoneticPr fontId="2" type="noConversion"/>
  </si>
  <si>
    <t>CF03</t>
    <phoneticPr fontId="2" type="noConversion"/>
  </si>
  <si>
    <t>CF04</t>
    <phoneticPr fontId="2" type="noConversion"/>
  </si>
  <si>
    <t>CF05</t>
    <phoneticPr fontId="2" type="noConversion"/>
  </si>
  <si>
    <t>CF06</t>
    <phoneticPr fontId="2" type="noConversion"/>
  </si>
  <si>
    <t>CF07</t>
    <phoneticPr fontId="2" type="noConversion"/>
  </si>
  <si>
    <t>CF08</t>
    <phoneticPr fontId="2" type="noConversion"/>
  </si>
  <si>
    <t>CF09</t>
    <phoneticPr fontId="2" type="noConversion"/>
  </si>
  <si>
    <t>CF10</t>
    <phoneticPr fontId="2" type="noConversion"/>
  </si>
  <si>
    <t>CF11</t>
  </si>
  <si>
    <t>CF12</t>
  </si>
  <si>
    <t>CF13</t>
  </si>
  <si>
    <t>CF14</t>
  </si>
  <si>
    <t>CF15</t>
  </si>
  <si>
    <t>CF16</t>
  </si>
  <si>
    <t>CF17</t>
    <phoneticPr fontId="2" type="noConversion"/>
  </si>
  <si>
    <t>CF18</t>
  </si>
  <si>
    <t>CF19</t>
  </si>
  <si>
    <t>CF20</t>
  </si>
  <si>
    <t>CF21</t>
    <phoneticPr fontId="2" type="noConversion"/>
  </si>
  <si>
    <t>CF22</t>
    <phoneticPr fontId="2" type="noConversion"/>
  </si>
  <si>
    <t>CF23</t>
    <phoneticPr fontId="2" type="noConversion"/>
  </si>
  <si>
    <t>D493</t>
    <phoneticPr fontId="2" type="noConversion"/>
  </si>
  <si>
    <t>D480</t>
    <phoneticPr fontId="2" type="noConversion"/>
  </si>
  <si>
    <t>D439</t>
  </si>
  <si>
    <t>D443</t>
  </si>
  <si>
    <t>D476</t>
  </si>
  <si>
    <t>DD42</t>
    <phoneticPr fontId="2" type="noConversion"/>
  </si>
  <si>
    <t>M050</t>
  </si>
  <si>
    <t>M140</t>
    <phoneticPr fontId="2" type="noConversion"/>
  </si>
  <si>
    <t>M080</t>
    <phoneticPr fontId="2" type="noConversion"/>
  </si>
  <si>
    <t>DD36</t>
    <phoneticPr fontId="2" type="noConversion"/>
  </si>
  <si>
    <t>MM00</t>
    <phoneticPr fontId="2" type="noConversion"/>
  </si>
  <si>
    <t>MM50</t>
    <phoneticPr fontId="2" type="noConversion"/>
  </si>
  <si>
    <t>MM90</t>
    <phoneticPr fontId="2" type="noConversion"/>
  </si>
  <si>
    <t>MM82</t>
    <phoneticPr fontId="2" type="noConversion"/>
  </si>
  <si>
    <t>1B849</t>
  </si>
  <si>
    <t>DEUTS</t>
    <phoneticPr fontId="2" type="noConversion"/>
  </si>
  <si>
    <t xml:space="preserve">EUGEUGENE_ASSET </t>
    <phoneticPr fontId="2" type="noConversion"/>
  </si>
  <si>
    <t>DB_ASSET</t>
    <phoneticPr fontId="2" type="noConversion"/>
  </si>
  <si>
    <t>KDB_ASSET</t>
    <phoneticPr fontId="2" type="noConversion"/>
  </si>
  <si>
    <t>KTB_ASSE_MGT</t>
    <phoneticPr fontId="2" type="noConversion"/>
  </si>
  <si>
    <t>PCA_INVESTME</t>
    <phoneticPr fontId="2" type="noConversion"/>
  </si>
  <si>
    <t>SAMSUNG_ASSE</t>
    <phoneticPr fontId="2" type="noConversion"/>
  </si>
  <si>
    <t>TONGYANG_TR</t>
    <phoneticPr fontId="2" type="noConversion"/>
  </si>
  <si>
    <t>YURI_ASSET</t>
    <phoneticPr fontId="2" type="noConversion"/>
  </si>
  <si>
    <t>WOORI_CSAM</t>
    <phoneticPr fontId="2" type="noConversion"/>
  </si>
  <si>
    <t>HANHWA_INV</t>
    <phoneticPr fontId="2" type="noConversion"/>
  </si>
  <si>
    <t>HYUNDAI_INVE</t>
    <phoneticPr fontId="2" type="noConversion"/>
  </si>
  <si>
    <t>HYUNDAI_ASST</t>
    <phoneticPr fontId="2" type="noConversion"/>
  </si>
  <si>
    <t>HUNGKUK_INV</t>
    <phoneticPr fontId="2" type="noConversion"/>
  </si>
  <si>
    <t>3G171</t>
    <phoneticPr fontId="2" type="noConversion"/>
  </si>
  <si>
    <t>DIMCO</t>
    <phoneticPr fontId="2" type="noConversion"/>
  </si>
  <si>
    <t>CK01</t>
    <phoneticPr fontId="2" type="noConversion"/>
  </si>
  <si>
    <t>CK02</t>
    <phoneticPr fontId="2" type="noConversion"/>
  </si>
  <si>
    <t>권정훈</t>
  </si>
  <si>
    <t>KTB해외주식중국주식형전문투자형</t>
  </si>
  <si>
    <t>이승환</t>
  </si>
  <si>
    <t>KTB글로벌4차산업1등주증권투자신탁[주식]</t>
  </si>
  <si>
    <t>O</t>
  </si>
  <si>
    <t>이종희</t>
  </si>
  <si>
    <t>KTB중국1등주증권투자신탁[주식]</t>
  </si>
  <si>
    <t xml:space="preserve">KTB민생 중국A주 액티브 전문투자형사모투자신탁 </t>
  </si>
  <si>
    <t xml:space="preserve">KTB옐로우엄브렐라글로벌전문투자형사모증권KZ-21호 주식 </t>
  </si>
  <si>
    <t>1C109</t>
  </si>
  <si>
    <t>1C078</t>
  </si>
  <si>
    <t>KTB듀얼금리연계전문투자형사모증권투자신탁제14호[채권]</t>
  </si>
  <si>
    <t>KTB4차산업1등주목표전환형증권투자신탁제1호[주식]</t>
  </si>
  <si>
    <t>KTB중국1등주목표전환형증권투자신탁제1호[주식]</t>
  </si>
  <si>
    <t>KTB4차산업1등주분할매수목표전환형증권투자신탁제1호[주식]</t>
  </si>
  <si>
    <t>-</t>
  </si>
  <si>
    <t>X</t>
  </si>
  <si>
    <t>예정배</t>
    <phoneticPr fontId="2" type="noConversion"/>
  </si>
  <si>
    <t>SHB</t>
    <phoneticPr fontId="2" type="noConversion"/>
  </si>
  <si>
    <t>우리자산</t>
    <phoneticPr fontId="2" type="noConversion"/>
  </si>
  <si>
    <t>5S16</t>
  </si>
  <si>
    <t>고현정</t>
  </si>
  <si>
    <t>2017-05-22</t>
  </si>
  <si>
    <t>5S27</t>
  </si>
  <si>
    <t>윤여준</t>
  </si>
  <si>
    <t>2019-09-26</t>
  </si>
  <si>
    <t>5S28</t>
  </si>
  <si>
    <t>송준호</t>
  </si>
  <si>
    <t>2019-12-20</t>
  </si>
  <si>
    <t>박매화</t>
  </si>
  <si>
    <t>우리차이나본토주식증권자투자신탁H호(주식)</t>
  </si>
  <si>
    <t>2010-09-15</t>
  </si>
  <si>
    <t>2013-03-06</t>
  </si>
  <si>
    <t>CK01</t>
  </si>
  <si>
    <t>임정택</t>
  </si>
  <si>
    <t>우리차이나전환사채증권모투자신탁(채권혼합)</t>
  </si>
  <si>
    <t>2019-05-27</t>
  </si>
  <si>
    <t>CK02</t>
  </si>
  <si>
    <t>우리차이나전환사채증권자투자신탁H(채권혼합)</t>
  </si>
  <si>
    <t>G001</t>
  </si>
  <si>
    <t>우리 글로벌 REF 사모혼합 투자신탁 1호</t>
  </si>
  <si>
    <t>2005-05-19</t>
  </si>
  <si>
    <t>G002</t>
  </si>
  <si>
    <t>우리 글로벌 REF 사모 재간접 투자신탁 2호</t>
  </si>
  <si>
    <t>KZ19</t>
  </si>
  <si>
    <t>서우석</t>
  </si>
  <si>
    <t>우리옐로우엄브렐라글로벌전문투자형사모투자신탁KZ-19호</t>
  </si>
  <si>
    <t>2020-07-02</t>
  </si>
  <si>
    <t>SM02</t>
  </si>
  <si>
    <t>우리과창판50바스켓증권자투자신탁H(주식)</t>
  </si>
  <si>
    <t>2020-11-11</t>
  </si>
  <si>
    <t>TF01</t>
  </si>
  <si>
    <t>우리다같이TDF2025증권투자신탁(혼합-재간접형)</t>
  </si>
  <si>
    <t>2020-09-21</t>
  </si>
  <si>
    <t>TF10</t>
  </si>
  <si>
    <t>우리다같이TDF2030증권투자신탁(혼합-재간접형)</t>
  </si>
  <si>
    <t>TF20</t>
  </si>
  <si>
    <t>우리다같이TDF2035증권투자신탁(혼합-재간접형)</t>
  </si>
  <si>
    <t>TF30</t>
  </si>
  <si>
    <t>우리다같이TDF2040증권투자신탁(혼합-재간접형)</t>
  </si>
  <si>
    <t>TF40</t>
  </si>
  <si>
    <t>우리다같이TDF2045증권투자신탁(혼합-재간접형)</t>
  </si>
  <si>
    <t>TF50</t>
  </si>
  <si>
    <t>우리다같이TDF2050증권투자신탁(혼합-재간접형)</t>
  </si>
  <si>
    <t>V004</t>
  </si>
  <si>
    <t>우리베트남증권자투자신탁H호(주식혼합)</t>
  </si>
  <si>
    <t>2009-02-02</t>
  </si>
  <si>
    <t>V014</t>
  </si>
  <si>
    <t>우리재형베트남적립식증권자투자신탁H호(주식혼합)</t>
  </si>
  <si>
    <t>2013-03-08</t>
  </si>
  <si>
    <t>V015</t>
  </si>
  <si>
    <t>우리파워연금저축베트남적립식증권전환형자투자신탁H호(주식혼합)</t>
  </si>
  <si>
    <t>2013-06-25</t>
  </si>
  <si>
    <t>PCA</t>
    <phoneticPr fontId="2" type="noConversion"/>
  </si>
  <si>
    <t>공 모</t>
  </si>
  <si>
    <t>트레이딩팀</t>
    <phoneticPr fontId="2" type="noConversion"/>
  </si>
  <si>
    <t>이스트스프링 미국 하이일드 증권모투자신탁[채권-재간접형]</t>
  </si>
  <si>
    <t>이스트스프링 미국 하이일드 증권자투자신탁(H)[채권-재간접형]</t>
  </si>
  <si>
    <t>이스트스프링 월지급 미국 하이일드 증권자투자신탁(H)[채권-재간접형]</t>
  </si>
  <si>
    <t>이스트스프링 미국 투자적격 회사채 증권자투자신탁 제2호(H)[채권-재간접형]</t>
  </si>
  <si>
    <t>이스트스프링 미국 투자적격 회사채 증권모투자신탁(미달러)[채권-재간접형]</t>
  </si>
  <si>
    <t>이스트스프링 미국 투자적격 회사채 증권자투자신탁(H)[채권-재간접형]</t>
  </si>
  <si>
    <t>이스트스프링 월지급 미국 투자적격 회사채 증권자투자신탁(H)[채권-재간접형]</t>
  </si>
  <si>
    <t>이스트스프링 K단기채 알파 증권투자신탁[채권혼합]</t>
  </si>
  <si>
    <t>이스트스프링 퇴직연금 글로벌 리더스 40 증권자투자신탁[채권혼합]</t>
  </si>
  <si>
    <t>이스트스프링 차이나 드래곤 A Share 40 증권자투자신탁(H)[채권혼합]</t>
  </si>
  <si>
    <t>이스트스프링 변액보험 코리아 원자재 지수연계 증권투자신탁 제2호[주식혼합-파생형]</t>
  </si>
  <si>
    <t>이스트스프링 코리아 차이나 지수연계 증권투자신탁 제1호[주식혼합-파생형]</t>
  </si>
  <si>
    <t>이스트스프링 아시아 퍼시픽 고배당 증권모투자신탁[주식-재간접형]</t>
  </si>
  <si>
    <t>이스트스프링 아시아 퍼시픽 고배당 증권자투자신탁(H)[주식-재간접형]</t>
  </si>
  <si>
    <t>이스트스프링 월지급 아시아 퍼시픽 고배당 증권자투자신탁(H)[주식-재간접형]</t>
  </si>
  <si>
    <t>이스트스프링 아시아 로우볼 증권자투자신탁(H)[주식-재간접형]</t>
  </si>
  <si>
    <t>사 모</t>
  </si>
  <si>
    <t>이스트스프링 유럽 뱅크론 전문투자형 사모 특별자산투자신탁(H)[대출채권-재간접형]</t>
  </si>
  <si>
    <t>이스트스프링 글로벌 이머징 증권모투자신탁(미달러)[주식-재간접형]</t>
  </si>
  <si>
    <t>이스트스프링 글로벌 이머징 증권자투자신탁 제1호[주식-재간접형]</t>
  </si>
  <si>
    <t>이스트스프링 글로벌 이머징 증권자투자신탁 제2호[주식-재간접형]</t>
  </si>
  <si>
    <t>이스트스프링 글로벌 이머징 증권자투자신탁 제3호[주식-재간접형]</t>
  </si>
  <si>
    <t>이스트스프링 글로벌 리더스 증권자투자신탁[주식]</t>
  </si>
  <si>
    <t>이스트스프링 유러피언 리더스 증권모투자신탁[주식-재간접형]</t>
  </si>
  <si>
    <t>이스트스프링 유러피언 리더스 증권자투자신탁[주식-재간접형]</t>
  </si>
  <si>
    <t>이스트스프링 차이나 증권모투자신탁[주식]</t>
  </si>
  <si>
    <t>이스트스프링 차이나 증권자투자신탁(H)[주식]</t>
  </si>
  <si>
    <t>이스트스프링 친디아 증권자투자신탁[주식]</t>
  </si>
  <si>
    <t>이스트스프링 차이나 드래곤 A Share 증권모투자신탁(미달러)[주식]</t>
  </si>
  <si>
    <t>이스트스프링 차이나 드래곤 A Share 증권자투자신탁(H)[주식]</t>
  </si>
  <si>
    <t>이스트스프링차이나리더스증권자투자신탁(H)[주식-재간접형]</t>
  </si>
  <si>
    <t>이스트스프링 유러피언 리더스 20 증권자투자신탁(H)[채권혼합]</t>
  </si>
  <si>
    <t>이스트스프링 유러피언 리더스 40 증권자투자신탁(H)[채권혼합]</t>
  </si>
  <si>
    <t>이스트스프링 미국 뱅크론 특별자산모투자신탁(미달러)[대출채권-재간접형]</t>
  </si>
  <si>
    <t>이스트스프링 미국 뱅크론 특별자산자투자신탁(H)[대출채권-재간접형]</t>
  </si>
  <si>
    <t>이스트스프링 미국 뱅크론 특별자산자투자신탁(UH)[대출채권-재간접형]</t>
  </si>
  <si>
    <t>이스트스프링 다이나믹 재팬 증권모투자신탁[주식-재간접형]</t>
  </si>
  <si>
    <t>이스트스프링 다이나믹 재팬 증권자투자신탁(H)[주식-재간접형]</t>
  </si>
  <si>
    <t>이스트스프링 글로벌 스마트 베타 EMP 증권자투자신탁(H)[주식-재간접형]</t>
  </si>
  <si>
    <t>거래펀드</t>
    <phoneticPr fontId="2" type="noConversion"/>
  </si>
  <si>
    <t>키움자산</t>
  </si>
  <si>
    <t>글로벌퍼블릭팀</t>
    <phoneticPr fontId="2" type="noConversion"/>
  </si>
  <si>
    <t>키움중국인덱스증권모투자신탁(주식-파생재간접형)</t>
  </si>
  <si>
    <t>키움글로벌인덱스증권모투자신탁 (주식-재간접형)</t>
  </si>
  <si>
    <t>ETF운용팀</t>
    <phoneticPr fontId="2" type="noConversion"/>
  </si>
  <si>
    <t>키움쿼터백글로벌EMP로보어드바이저증권투자신탁[채권혼합-재간접형]</t>
  </si>
  <si>
    <t>키움쿼터백글로벌EMP로보어드바이저증권투자신탁[주식형-재간접형]</t>
  </si>
  <si>
    <t>키움똑똑한4차산업혁명ETF분할매수증권투자신탁(혼합-재간접형)</t>
  </si>
  <si>
    <t>키움해외주식글로벌전문투자형사모증권투자신탁</t>
  </si>
  <si>
    <t>키움 해외주식 글로벌 전문투자형사모증권투자신탁제2호 (주식-재간접형)</t>
  </si>
  <si>
    <t>키움글로벌멀티전략증권자투자신탁 제2호(주식)</t>
  </si>
  <si>
    <t>키움 러시아 익스플로러 증권 투자신탁 제1호[주식]</t>
  </si>
  <si>
    <t xml:space="preserve">키움글로벌멀티전략증권자투자신탁 제3호(주식) </t>
  </si>
  <si>
    <t>키움글로벌멀티전략증권자투자신탁제6호(주식)</t>
  </si>
  <si>
    <t>키움글로벌멀티전략증권자투자신탁제5호(주식)</t>
  </si>
  <si>
    <t xml:space="preserve">키움퇴직연금MERCER글로벌멀티에셋전문투자형사모투자신탁 </t>
  </si>
  <si>
    <t>키움글로벌멀티전략증권자투자신탁 제1호(주식)</t>
  </si>
  <si>
    <t>키움불리오글로벌멀티에셋EMP증권자투자신탁(H) (혼합-재간접형)</t>
  </si>
  <si>
    <t>투자풀전문투자형글로벌ETF사모증권투자신탁제22-3</t>
  </si>
  <si>
    <t>연기금전문투자형 사모증권투자신탁 제 1-S2호[주식-재간접형]</t>
  </si>
  <si>
    <t>글로벌프라이빗팀</t>
    <phoneticPr fontId="2" type="noConversion"/>
  </si>
  <si>
    <t>키움비바체 사모증권투자신탁</t>
  </si>
  <si>
    <t>키움 라르고 전문투자형 사모증권 투자신탁 4-N</t>
  </si>
  <si>
    <t>키움아르테미스전문투자형사모증권투자신탁1-S[재간접형]</t>
  </si>
  <si>
    <t>키움아르테미스전문투자형사모증권투자신탁1-P[재간접형]</t>
  </si>
  <si>
    <t>키움키워드림TDF2025증권투자신탁제1호[혼합-재간접형]</t>
  </si>
  <si>
    <t>키움키워드림TDF2030증권투자신탁제1호[혼합-재간접형]</t>
  </si>
  <si>
    <t>키움키워드림TDF2035증권투자신탁제1호[혼합-재간접형]</t>
  </si>
  <si>
    <t>키움키워드림TDF2040증권투자신탁제1호[혼합-재간접형]</t>
  </si>
  <si>
    <t>키움키워드림TDF2045증권투자신탁제1호[혼합-재간접형]</t>
  </si>
  <si>
    <t>글로벌채권팀</t>
    <phoneticPr fontId="2" type="noConversion"/>
  </si>
  <si>
    <t>키움TUGF전문투자형사모증권투자신탁제1호</t>
  </si>
  <si>
    <t xml:space="preserve">키움해외주식미국주식형전문투자형사모증권투자신탁제1호 </t>
  </si>
  <si>
    <t>키움TUGF전문투자형사모증권투자신탁제2호</t>
  </si>
  <si>
    <t>키움TUGF전문투자형사모증권투자신탁제3호</t>
  </si>
  <si>
    <t>키움불리오글로벌멀티에셋EMP증권모투자신탁 (혼합-재간접형)</t>
  </si>
  <si>
    <t xml:space="preserve">키움 글로벌 구독경제 증권자투자신탁(H/UH) (주식) </t>
  </si>
  <si>
    <t xml:space="preserve">연기금전문투자형사모증권투자신탁 제1-B3호(채권-재간접형) </t>
  </si>
  <si>
    <t>HSBC</t>
    <phoneticPr fontId="2" type="noConversion"/>
  </si>
  <si>
    <t>키움CU글로벌전문투자형사모증권투자신탁제1호 [주식-재간접형]</t>
    <phoneticPr fontId="2" type="noConversion"/>
  </si>
  <si>
    <t>사모</t>
    <phoneticPr fontId="2" type="noConversion"/>
  </si>
  <si>
    <r>
      <t>한국</t>
    </r>
    <r>
      <rPr>
        <sz val="11"/>
        <rFont val="굴림체"/>
        <family val="3"/>
        <charset val="129"/>
      </rPr>
      <t>투신</t>
    </r>
    <phoneticPr fontId="2" type="noConversion"/>
  </si>
  <si>
    <t>GIS1팀</t>
    <phoneticPr fontId="2" type="noConversion"/>
  </si>
  <si>
    <t>한국투자글로벌CMVII전문투자형사모증권투자신탁(주식혼합-재간접형)</t>
  </si>
  <si>
    <t>한국투자BSP전문투자형사모특별자산투자신탁(대출채권-재간접형)</t>
  </si>
  <si>
    <t>한국투자글로벌BDLIII전문투자형사모투자신탁</t>
  </si>
  <si>
    <t>한국투자글로벌KPS멀티스트래티지전문투자형사모투자신탁</t>
  </si>
  <si>
    <t>한국투자글로벌KPIVEPVII전문투자형사모투자신탁</t>
  </si>
  <si>
    <t>한국투자글로벌유럽PDF전문투자형사모투자신탁</t>
  </si>
  <si>
    <t>한국투자글로벌KPIHIGV전문투자형사모투자신탁</t>
  </si>
  <si>
    <t>한국투자글로벌OSSFII전문투자형사모투자신탁</t>
  </si>
  <si>
    <t>한국투자글로벌KPILending전문투자형사모투자신탁</t>
  </si>
  <si>
    <t>한국투자글로벌KPIDoverX전문투자형사모투자신탁</t>
  </si>
  <si>
    <t>한국투자글로벌ACED전문투자형사모특별자산투자신탁(대출채권-재간접형)(모)</t>
  </si>
  <si>
    <t>한국투자글로벌SPVII전문투자형사모증권투자신탁(주식-재간접형)</t>
  </si>
  <si>
    <t>한국투자글로벌HPSIII전문투자형사모증권투자신탁(주식혼합-재간접형)</t>
  </si>
  <si>
    <t>한국투자글로벌AEPFIII전문투자형사모투자신탁</t>
  </si>
  <si>
    <t>한국투자KPIDoum전문투자형사모투자신탁1호</t>
  </si>
  <si>
    <t>한국투자글로벌PCOPII전문투자형사모투자신탁</t>
  </si>
  <si>
    <t>한국투자글로벌KPI멀티스트래티지전문투자형사모투자신탁</t>
  </si>
  <si>
    <t>한국투자글로벌KPIACIV전문투자형사모투자신탁</t>
  </si>
  <si>
    <t>06H98</t>
    <phoneticPr fontId="2" type="noConversion"/>
  </si>
  <si>
    <t>한국투자글로벌KPI구겐하임전문투자형사모투자신탁</t>
  </si>
  <si>
    <t>06H99</t>
    <phoneticPr fontId="2" type="noConversion"/>
  </si>
  <si>
    <t>한국투자글로벌KPS구겐하임전문투자형사모투자신탁</t>
  </si>
  <si>
    <t>한국투자글로벌ADLIII전문투자형사모투자신탁</t>
  </si>
  <si>
    <t>한국투자글로벌KPIResoluteIV전문투자형사모투자신탁</t>
  </si>
  <si>
    <t>한국투자HLGLOBALPRIVATEASSET전문투자형사모모투자신탁(재간접형)(USD)</t>
  </si>
  <si>
    <t>한국투자HLGLOBALPRIVATEASSET전문투자형사모자투자신탁UH(재간접형)(모)</t>
  </si>
  <si>
    <t>한국투자글로벌프라임전문투자형사모특별자산투자신탁1호(대출-재간접형)</t>
  </si>
  <si>
    <t>한국투자글로벌프라임전문투자형사모특별자산투자신탁2호(대출-재간접형)</t>
  </si>
  <si>
    <t>한국투자사모글로벌프라임증권투자신탁1호(주식혼합-재간접형)</t>
    <phoneticPr fontId="2" type="noConversion"/>
  </si>
  <si>
    <t xml:space="preserve">삼성퇴직연금코코알파전문투자형사모증권투자신탁제2호 (채권) </t>
    <phoneticPr fontId="2" type="noConversion"/>
  </si>
  <si>
    <t>조선묵</t>
    <phoneticPr fontId="2" type="noConversion"/>
  </si>
  <si>
    <t>유진에이펙스전문투자형사모투자신탁4호</t>
    <phoneticPr fontId="2" type="noConversion"/>
  </si>
  <si>
    <t>유진에이펙스전문투자형사모투자신탁5호</t>
    <phoneticPr fontId="2" type="noConversion"/>
  </si>
  <si>
    <t>HANA</t>
    <phoneticPr fontId="2" type="noConversion"/>
  </si>
  <si>
    <t>공모</t>
    <phoneticPr fontId="2" type="noConversion"/>
  </si>
  <si>
    <t>키움마켓시그널미국대표지수증권투자신탁H[혼합-재간접형]</t>
    <phoneticPr fontId="2" type="noConversion"/>
  </si>
  <si>
    <t xml:space="preserve">유리글로벌Top10주식과단기채증권자투자신탁(채권혼합) </t>
    <phoneticPr fontId="2" type="noConversion"/>
  </si>
  <si>
    <t>CITI</t>
    <phoneticPr fontId="2" type="noConversion"/>
  </si>
  <si>
    <t>SHB</t>
    <phoneticPr fontId="2" type="noConversion"/>
  </si>
  <si>
    <t>KB</t>
    <phoneticPr fontId="2" type="noConversion"/>
  </si>
  <si>
    <t>키움옐로우엄블렐러글로벌전문투자형사모투자신탁KZ-35호</t>
    <phoneticPr fontId="2" type="noConversion"/>
  </si>
  <si>
    <t>키움옐로우엄블렐러글로벌전문투자형사모투자신탁KZ-29호</t>
    <phoneticPr fontId="2" type="noConversion"/>
  </si>
  <si>
    <t xml:space="preserve">솔루션운용팀 </t>
    <phoneticPr fontId="2" type="noConversion"/>
  </si>
  <si>
    <t>유리글로벌top10 플러스증권모투자신탁(주식)</t>
    <phoneticPr fontId="2" type="noConversion"/>
  </si>
  <si>
    <t>박성진</t>
    <phoneticPr fontId="2" type="noConversion"/>
  </si>
  <si>
    <t xml:space="preserve">금리지수연계전문투자형사모증권투자신탁21호(채권) </t>
    <phoneticPr fontId="2" type="noConversion"/>
  </si>
  <si>
    <t xml:space="preserve">금리지수연계전문투자형사모증권투자신탁20호(채권) </t>
    <phoneticPr fontId="2" type="noConversion"/>
  </si>
  <si>
    <t>농협</t>
    <phoneticPr fontId="2" type="noConversion"/>
  </si>
  <si>
    <t xml:space="preserve">삼성ING-RiverRock 유럽PDF전문투자형사모투자신탁제1호 </t>
    <phoneticPr fontId="2" type="noConversion"/>
  </si>
  <si>
    <t>유리쿼터백글로벌BBIG주식EMP증권투자신탁(주식-재간접형)</t>
    <phoneticPr fontId="2" type="noConversion"/>
  </si>
  <si>
    <t>파인만 차이나 Bull 1.5배 증권자투자신탁 (주식-파생형)</t>
    <phoneticPr fontId="2" type="noConversion"/>
  </si>
  <si>
    <t>파인만 글로벌인프라증권모투자신탁(주식-재간접형)</t>
    <phoneticPr fontId="2" type="noConversion"/>
  </si>
  <si>
    <t>파인만 파워아시아증권투자신탁1호 (주식)</t>
    <phoneticPr fontId="2" type="noConversion"/>
  </si>
  <si>
    <t>파인만 글로벌 인프라 목표전환형 증권 자투자신탁(주식-재간접형)</t>
    <phoneticPr fontId="2" type="noConversion"/>
  </si>
  <si>
    <t xml:space="preserve">현대인베스트TA무역금융전문투자형사모투자신탁1호 </t>
    <phoneticPr fontId="2" type="noConversion"/>
  </si>
  <si>
    <t>KB</t>
    <phoneticPr fontId="2" type="noConversion"/>
  </si>
  <si>
    <t xml:space="preserve">최문희 </t>
    <phoneticPr fontId="2" type="noConversion"/>
  </si>
  <si>
    <t xml:space="preserve">유진AI휴먼투게더EMP전문투자형사모투자신탁 </t>
    <phoneticPr fontId="2" type="noConversion"/>
  </si>
  <si>
    <t>KB</t>
    <phoneticPr fontId="2" type="noConversion"/>
  </si>
  <si>
    <t>00300</t>
    <phoneticPr fontId="2" type="noConversion"/>
  </si>
  <si>
    <t>키움키워드림TDF2050증권투자신탁제1호(혼합-재간접형)</t>
    <phoneticPr fontId="2" type="noConversion"/>
  </si>
  <si>
    <t>KB</t>
    <phoneticPr fontId="2" type="noConversion"/>
  </si>
  <si>
    <t xml:space="preserve">전양민 </t>
    <phoneticPr fontId="2" type="noConversion"/>
  </si>
  <si>
    <t>현대인베스트먼트금리연계전문투자형사모증권투자신탁22호(채권-파생형)</t>
    <phoneticPr fontId="2" type="noConversion"/>
  </si>
  <si>
    <t>SHB</t>
    <phoneticPr fontId="2" type="noConversion"/>
  </si>
  <si>
    <t>57150</t>
    <phoneticPr fontId="2" type="noConversion"/>
  </si>
  <si>
    <t>유진챔피언글로벌월배당ETF혼합자산자투자신탁(H)(재간접형)</t>
    <phoneticPr fontId="2" type="noConversion"/>
  </si>
  <si>
    <t xml:space="preserve">유진챔피언글로벌상장인프라증권(채권혼합) </t>
    <phoneticPr fontId="2" type="noConversion"/>
  </si>
  <si>
    <t xml:space="preserve">유진챔피언뉴이코노미AI4.0(자)(H)(주식) </t>
    <phoneticPr fontId="2" type="noConversion"/>
  </si>
  <si>
    <t>06W56</t>
    <phoneticPr fontId="2" type="noConversion"/>
  </si>
  <si>
    <t xml:space="preserve">한국투자Multi-Selection전문투자형사모신탁1호 </t>
    <phoneticPr fontId="2" type="noConversion"/>
  </si>
  <si>
    <t>공모</t>
    <phoneticPr fontId="2" type="noConversion"/>
  </si>
  <si>
    <t>KB</t>
    <phoneticPr fontId="2" type="noConversion"/>
  </si>
  <si>
    <t>글로벌퍼블릭팀</t>
  </si>
  <si>
    <t>KSFC</t>
    <phoneticPr fontId="2" type="noConversion"/>
  </si>
  <si>
    <t>KB</t>
    <phoneticPr fontId="2" type="noConversion"/>
  </si>
  <si>
    <t>삼성NHFG대체투자DB솔루션전문투자형사모투자신탁제1호</t>
    <phoneticPr fontId="2" type="noConversion"/>
  </si>
  <si>
    <t>KTB</t>
    <phoneticPr fontId="2" type="noConversion"/>
  </si>
  <si>
    <t>06W74</t>
    <phoneticPr fontId="2" type="noConversion"/>
  </si>
  <si>
    <t xml:space="preserve">FI팀 </t>
    <phoneticPr fontId="2" type="noConversion"/>
  </si>
  <si>
    <t xml:space="preserve">한국투자베이직전문투자형사모증권투자신탁111호(채권-재간접형) </t>
    <phoneticPr fontId="2" type="noConversion"/>
  </si>
  <si>
    <t xml:space="preserve">공모 </t>
    <phoneticPr fontId="2" type="noConversion"/>
  </si>
  <si>
    <t>x</t>
    <phoneticPr fontId="2" type="noConversion"/>
  </si>
  <si>
    <t xml:space="preserve">오현지 </t>
    <phoneticPr fontId="2" type="noConversion"/>
  </si>
  <si>
    <t xml:space="preserve">흥국글로벌이노베이션증권자투자신탁1호 </t>
    <phoneticPr fontId="2" type="noConversion"/>
  </si>
  <si>
    <t>2021.08.30</t>
    <phoneticPr fontId="2" type="noConversion"/>
  </si>
  <si>
    <t xml:space="preserve">흥국미국배당우선주 증권자투자신탁1호(주식) </t>
    <phoneticPr fontId="2" type="noConversion"/>
  </si>
  <si>
    <t>2016.01.25</t>
    <phoneticPr fontId="2" type="noConversion"/>
  </si>
  <si>
    <t>MM20</t>
    <phoneticPr fontId="2" type="noConversion"/>
  </si>
  <si>
    <t>MM50</t>
    <phoneticPr fontId="2" type="noConversion"/>
  </si>
  <si>
    <t>MM82</t>
    <phoneticPr fontId="2" type="noConversion"/>
  </si>
  <si>
    <t>흥국탑티어미국배당우선주전문투자형증권사모투자신탁(주식)</t>
    <phoneticPr fontId="2" type="noConversion"/>
  </si>
  <si>
    <t xml:space="preserve">흥국미국배당우선주 전문투자형사모증권투자신탁(주식혼합) </t>
    <phoneticPr fontId="2" type="noConversion"/>
  </si>
  <si>
    <t>M280</t>
    <phoneticPr fontId="2" type="noConversion"/>
  </si>
  <si>
    <t xml:space="preserve">한국투자글로벌HPS SLF V 전문투자형 사모투자신탁 </t>
    <phoneticPr fontId="2" type="noConversion"/>
  </si>
  <si>
    <t xml:space="preserve">장재혁대리님 </t>
    <phoneticPr fontId="2" type="noConversion"/>
  </si>
  <si>
    <t>DB Manulife 전문투자형사모투자신탁제2호</t>
    <phoneticPr fontId="2" type="noConversion"/>
  </si>
  <si>
    <t>NACF</t>
    <phoneticPr fontId="2" type="noConversion"/>
  </si>
  <si>
    <t>06W82</t>
    <phoneticPr fontId="2" type="noConversion"/>
  </si>
  <si>
    <t>한국투자MF전문투자형사모증권투자신탁9호(채권-재간접형)</t>
    <phoneticPr fontId="2" type="noConversion"/>
  </si>
  <si>
    <t>한국투자KIARA일반사모투자신탁 (파생형)</t>
    <phoneticPr fontId="2" type="noConversion"/>
  </si>
  <si>
    <t xml:space="preserve">KTB글로벌멀티에셋인컴 </t>
    <phoneticPr fontId="2" type="noConversion"/>
  </si>
  <si>
    <t>KB</t>
    <phoneticPr fontId="2" type="noConversion"/>
  </si>
  <si>
    <t>키움PIMCO아시아Strategic채권증권자투자신탁(H)(채권-재간접형)</t>
    <phoneticPr fontId="2" type="noConversion"/>
  </si>
  <si>
    <t>HSBC</t>
    <phoneticPr fontId="2" type="noConversion"/>
  </si>
  <si>
    <t>키움PIMCO아시아Strategic채권증권모투자신탁(채권-재간접형)</t>
    <phoneticPr fontId="2" type="noConversion"/>
  </si>
  <si>
    <t>06K78</t>
    <phoneticPr fontId="2" type="noConversion"/>
  </si>
  <si>
    <t xml:space="preserve">한국투자 차이나 GI전문투자형 사모투자신탁 1호 </t>
    <phoneticPr fontId="2" type="noConversion"/>
  </si>
  <si>
    <t>06W07</t>
    <phoneticPr fontId="2" type="noConversion"/>
  </si>
  <si>
    <t xml:space="preserve">한국투자 중국 공모주투자증권투자신탁 </t>
    <phoneticPr fontId="2" type="noConversion"/>
  </si>
  <si>
    <t>HSBC</t>
    <phoneticPr fontId="2" type="noConversion"/>
  </si>
  <si>
    <t>O</t>
    <phoneticPr fontId="2" type="noConversion"/>
  </si>
  <si>
    <t xml:space="preserve">삼성 BAIN CAPITAL CREDIT 일반사모투자신탁 제1호 </t>
    <phoneticPr fontId="2" type="noConversion"/>
  </si>
  <si>
    <t>06X20</t>
    <phoneticPr fontId="2" type="noConversion"/>
  </si>
  <si>
    <t>06X21</t>
    <phoneticPr fontId="2" type="noConversion"/>
  </si>
  <si>
    <t>투자풀글로벌ETF일반사모증권투자신탁제1-1호(채권-재간접형)</t>
    <phoneticPr fontId="2" type="noConversion"/>
  </si>
  <si>
    <t>투자풀글로벌ETF일반사모증권투자신탁제1-2호(채권-재간접형)</t>
    <phoneticPr fontId="2" type="noConversion"/>
  </si>
  <si>
    <t>양홍하</t>
    <phoneticPr fontId="2" type="noConversion"/>
  </si>
  <si>
    <t>07A59</t>
    <phoneticPr fontId="2" type="noConversion"/>
  </si>
  <si>
    <t>SCB</t>
    <phoneticPr fontId="2" type="noConversion"/>
  </si>
  <si>
    <t>HANA</t>
    <phoneticPr fontId="2" type="noConversion"/>
  </si>
  <si>
    <t>글로벌퍼블릭팀(이루다)</t>
    <phoneticPr fontId="2" type="noConversion"/>
  </si>
  <si>
    <t>ETF운용팀(신승혜)</t>
    <phoneticPr fontId="2" type="noConversion"/>
  </si>
  <si>
    <t>글로벌퍼블릭팀(오효정)</t>
    <phoneticPr fontId="2" type="noConversion"/>
  </si>
  <si>
    <t xml:space="preserve">한국투자글로벌포모나X전문투자형사모투자신탁 </t>
    <phoneticPr fontId="2" type="noConversion"/>
  </si>
  <si>
    <t>FT01</t>
    <phoneticPr fontId="2" type="noConversion"/>
  </si>
  <si>
    <t>FT18</t>
    <phoneticPr fontId="2" type="noConversion"/>
  </si>
  <si>
    <t>FL01</t>
    <phoneticPr fontId="2" type="noConversion"/>
  </si>
  <si>
    <t>FL18</t>
    <phoneticPr fontId="2" type="noConversion"/>
  </si>
  <si>
    <t>HSBC</t>
    <phoneticPr fontId="2" type="noConversion"/>
  </si>
  <si>
    <t>FT02</t>
    <phoneticPr fontId="2" type="noConversion"/>
  </si>
  <si>
    <t>FL02</t>
    <phoneticPr fontId="2" type="noConversion"/>
  </si>
  <si>
    <t>우리프랭클린테크놀로지증권자투자신탁(H)(주식-재간접형)</t>
    <phoneticPr fontId="2" type="noConversion"/>
  </si>
  <si>
    <t>우리레그메이슨브랜디와인글로벌인컴증권자투자신탁(H)(채권-재간접형)</t>
    <phoneticPr fontId="2" type="noConversion"/>
  </si>
  <si>
    <t xml:space="preserve">CITI </t>
    <phoneticPr fontId="2" type="noConversion"/>
  </si>
  <si>
    <t>이관전(템플턴프랭클린)</t>
  </si>
  <si>
    <t>우리자산운용</t>
    <phoneticPr fontId="2" type="noConversion"/>
  </si>
  <si>
    <t>내부코드(Final)</t>
    <phoneticPr fontId="2" type="noConversion"/>
  </si>
  <si>
    <t>유형</t>
    <phoneticPr fontId="2" type="noConversion"/>
  </si>
  <si>
    <t>공/사모</t>
    <phoneticPr fontId="2" type="noConversion"/>
  </si>
  <si>
    <t>협회코드</t>
    <phoneticPr fontId="2" type="noConversion"/>
  </si>
  <si>
    <t>감독원코드</t>
    <phoneticPr fontId="2" type="noConversion"/>
  </si>
  <si>
    <t>수탁사명</t>
    <phoneticPr fontId="2" type="noConversion"/>
  </si>
  <si>
    <t>표시통화</t>
    <phoneticPr fontId="2" type="noConversion"/>
  </si>
  <si>
    <t>환헷지</t>
    <phoneticPr fontId="2" type="noConversion"/>
  </si>
  <si>
    <t>펀드명</t>
    <phoneticPr fontId="2" type="noConversion"/>
  </si>
  <si>
    <t>영문명</t>
    <phoneticPr fontId="2" type="noConversion"/>
  </si>
  <si>
    <t>우리자산 펀드명 (Final)</t>
    <phoneticPr fontId="2" type="noConversion"/>
  </si>
  <si>
    <t>우리자산 펀드 영문명(Final)</t>
    <phoneticPr fontId="2" type="noConversion"/>
  </si>
  <si>
    <t>템플턴글로벌증권모투자신탁(채권-재간접형)</t>
  </si>
  <si>
    <t>Templeton Global Bond Master FOF</t>
  </si>
  <si>
    <t>우리템플턴글로벌증권모투자신탁(채권-재간접형)</t>
  </si>
  <si>
    <t>Woori Templeton Global Bond Master FOF</t>
    <phoneticPr fontId="2" type="noConversion"/>
  </si>
  <si>
    <t>FB18</t>
  </si>
  <si>
    <t>모</t>
    <phoneticPr fontId="2" type="noConversion"/>
  </si>
  <si>
    <t>KR5217613433</t>
  </si>
  <si>
    <t>0010193C0174</t>
  </si>
  <si>
    <t>홍콩상하이은행</t>
  </si>
  <si>
    <t>2006-10-23</t>
  </si>
  <si>
    <t>USD</t>
    <phoneticPr fontId="2" type="noConversion"/>
  </si>
  <si>
    <t>템플턴글로벌증권자투자신탁(채권-재간접형)</t>
  </si>
  <si>
    <t>Templeton Global Bond Fund Feeder FOF</t>
  </si>
  <si>
    <t>우리템플턴글로벌증권자투자신탁(채권-재간접형)</t>
  </si>
  <si>
    <t>Woori Templeton Global Bond Fund Feeder FOF</t>
    <phoneticPr fontId="2" type="noConversion"/>
  </si>
  <si>
    <t>FB20</t>
  </si>
  <si>
    <t>자</t>
  </si>
  <si>
    <t>KR5217612732</t>
  </si>
  <si>
    <t>0010193C0172</t>
  </si>
  <si>
    <t>2006-10-20</t>
  </si>
  <si>
    <t>KRW</t>
    <phoneticPr fontId="2" type="noConversion"/>
  </si>
  <si>
    <t>USD환헷지</t>
    <phoneticPr fontId="2" type="noConversion"/>
  </si>
  <si>
    <t>템플턴글로벌증권자투자신탁(E)(채권-재간접형)</t>
  </si>
  <si>
    <t>Templeton Global Bond Fund Feeder FOF(E)</t>
  </si>
  <si>
    <t>우리템플턴글로벌증권자투자신탁(E)(채권-재간접형)</t>
  </si>
  <si>
    <t>Woori Templeton Global Bond Fund Feeder FOF(E)</t>
    <phoneticPr fontId="2" type="noConversion"/>
  </si>
  <si>
    <t>FB19</t>
  </si>
  <si>
    <t>자</t>
    <phoneticPr fontId="2" type="noConversion"/>
  </si>
  <si>
    <t>KR5217612740</t>
  </si>
  <si>
    <t>0010193C0173</t>
  </si>
  <si>
    <t>템플턴퇴직연금글로벌증권자투자신탁(채권-재간접형)</t>
  </si>
  <si>
    <t>Templeton Pension Global Bond Feeder FOF</t>
  </si>
  <si>
    <t>우리템플턴퇴직연금글로벌증권자투자신탁(채권-재간접형)</t>
  </si>
  <si>
    <t>Woori Templeton Pension Global Bond Feeder FOF</t>
    <phoneticPr fontId="2" type="noConversion"/>
  </si>
  <si>
    <t>FB32</t>
  </si>
  <si>
    <t>KR5217906803</t>
  </si>
  <si>
    <t>0010193C0317</t>
  </si>
  <si>
    <t>2009-09-08</t>
  </si>
  <si>
    <t>템플턴연금저축글로벌증권자투자신탁(채권-재간접형)</t>
  </si>
  <si>
    <t>Templeton Pension Savings Global Bond Feeder FOF</t>
  </si>
  <si>
    <t>우리템플턴연금저축글로벌증권자투자신탁(채권-재간접형)</t>
  </si>
  <si>
    <t>Woori Templeton Pension Savings Global Bond Feeder FOF</t>
    <phoneticPr fontId="2" type="noConversion"/>
  </si>
  <si>
    <t>FB24</t>
  </si>
  <si>
    <t>KR5217AI9077</t>
  </si>
  <si>
    <t>0010193C0452</t>
  </si>
  <si>
    <t>2013-06-20</t>
  </si>
  <si>
    <t>템플턴월지급글로벌증권자투자신탁(채권-재간접형)</t>
  </si>
  <si>
    <t>Templeton M-DIS Global Bond Feeder FOF</t>
  </si>
  <si>
    <t>우리템플턴월지급글로벌증권자투자신탁(채권-재간접형)</t>
  </si>
  <si>
    <t>Woori Templeton M-DIS Global Bond Feeder FOF</t>
    <phoneticPr fontId="2" type="noConversion"/>
  </si>
  <si>
    <t>FB28</t>
  </si>
  <si>
    <t>KR5217A48392</t>
  </si>
  <si>
    <t>0010193C0388</t>
  </si>
  <si>
    <t>2011-07-25</t>
  </si>
  <si>
    <t>프랭클린글로벌스트레티지증권자투자신탁(채권)</t>
  </si>
  <si>
    <t>Franklin Global Strategy Bond Feeder Fund</t>
  </si>
  <si>
    <t>우리프랭클린글로벌스트레티지증권자투자신탁(채권)</t>
  </si>
  <si>
    <t>Woori Franklin Global Strategy Bond Feeder Fund</t>
    <phoneticPr fontId="2" type="noConversion"/>
  </si>
  <si>
    <t>FB01</t>
  </si>
  <si>
    <t>KR5217AA7368</t>
  </si>
  <si>
    <t>0010193C0410</t>
  </si>
  <si>
    <t>국민은행</t>
  </si>
  <si>
    <t>2012-06-19</t>
  </si>
  <si>
    <t>템플턴퇴직연금글로벌채권50증권자투자신탁(채권-재간접형)</t>
  </si>
  <si>
    <t>Templeton Pension Global Bond 50 Feeder FOF</t>
  </si>
  <si>
    <t>우리템플턴퇴직연금글로벌채권50증권자투자신탁(채권-재간접형)</t>
  </si>
  <si>
    <t>Woori Templeton Pension Global Bond 50 Feeder FOF</t>
    <phoneticPr fontId="2" type="noConversion"/>
  </si>
  <si>
    <t>FB33</t>
  </si>
  <si>
    <t>KR5217A62575</t>
  </si>
  <si>
    <t>0010193C0398</t>
  </si>
  <si>
    <t>2011-12-02</t>
  </si>
  <si>
    <t>프랭클린미국하이일드증권모투자신탁(채권-재간접형)</t>
  </si>
  <si>
    <t>Franklin U.S. High Yield Bond Master FOF</t>
  </si>
  <si>
    <t>우리프랭클린미국하이일드증권모투자신탁(채권-재간접형)</t>
    <phoneticPr fontId="2" type="noConversion"/>
  </si>
  <si>
    <t>Woori Franklin U.S. High Yield Bond Master FOF</t>
    <phoneticPr fontId="2" type="noConversion"/>
  </si>
  <si>
    <t>FB34</t>
  </si>
  <si>
    <t>KR5217A25010</t>
  </si>
  <si>
    <t>0010193C0380</t>
  </si>
  <si>
    <t>2011-05-13</t>
  </si>
  <si>
    <t>프랭클린미국하이일드증권자투자신탁(채권-재간접형)</t>
  </si>
  <si>
    <t>Franklin U.S. High Yield Bond Feeder FOF</t>
  </si>
  <si>
    <t>우리프랭클린미국하이일드증권자투자신탁(채권-재간접형)</t>
    <phoneticPr fontId="2" type="noConversion"/>
  </si>
  <si>
    <t>Woori Franklin U.S. High Yield Bond Feeder FOF</t>
    <phoneticPr fontId="2" type="noConversion"/>
  </si>
  <si>
    <t>FB35</t>
  </si>
  <si>
    <t>KR5217956329</t>
  </si>
  <si>
    <t>0010193C0312</t>
  </si>
  <si>
    <t>2009-07-06</t>
  </si>
  <si>
    <t>프랭클린월지급미국하이일드증권자투자신탁(채권-재간접형)</t>
  </si>
  <si>
    <t>Franklin M-DIS U.S. High Yield Feeder FOF</t>
    <phoneticPr fontId="2" type="noConversion"/>
  </si>
  <si>
    <t>우리프랭클린월지급미국하이일드증권자투자신탁(채권-재간접형)</t>
  </si>
  <si>
    <t>Woori Franklin M-DIS U.S. High Yield Feeder FOF</t>
    <phoneticPr fontId="2" type="noConversion"/>
  </si>
  <si>
    <t>FB41</t>
  </si>
  <si>
    <t>KR5217A26992</t>
  </si>
  <si>
    <t>0010193C0381</t>
  </si>
  <si>
    <t>국민은행</t>
    <phoneticPr fontId="2" type="noConversion"/>
  </si>
  <si>
    <t>2011-05-27</t>
  </si>
  <si>
    <t>프랭클린미국인컴증권모투자신탁(주식혼합-재간접형)</t>
  </si>
  <si>
    <t>Franklin US Income Master FOF</t>
  </si>
  <si>
    <t>우리프랭클린미국인컴증권모투자신탁(주식혼합-재간접형)</t>
  </si>
  <si>
    <t>Woori Franklin US Income Master FOF</t>
    <phoneticPr fontId="2" type="noConversion"/>
  </si>
  <si>
    <t>FE53</t>
  </si>
  <si>
    <t>KR5217AD9924</t>
  </si>
  <si>
    <t>0010193C0425</t>
  </si>
  <si>
    <t>2012-12-18</t>
  </si>
  <si>
    <t>프랭클린미국인컴증권자투자신탁(주식혼합-재간접형)</t>
  </si>
  <si>
    <t>Franklin US Income Feeder FOF</t>
  </si>
  <si>
    <t>우리프랭클린미국인컴증권자투자신탁(주식혼합-재간접형)</t>
  </si>
  <si>
    <t>Woori Franklin US Income Feeder FOF</t>
    <phoneticPr fontId="2" type="noConversion"/>
  </si>
  <si>
    <t>FE54</t>
  </si>
  <si>
    <t>KR5217AE1425</t>
  </si>
  <si>
    <t>0010193C0426</t>
  </si>
  <si>
    <t>프랭클린월지급미국인컴증권자투자신탁(주식혼합-재간접형)</t>
  </si>
  <si>
    <t>Franklin M-dis US Income Feeder FOF</t>
  </si>
  <si>
    <t>우리프랭클린월지급미국인컴증권자투자신탁(주식혼합-재간접형)</t>
  </si>
  <si>
    <t>Woori Franklin M-dis US Income Feeder FOF</t>
    <phoneticPr fontId="2" type="noConversion"/>
  </si>
  <si>
    <t>FE61</t>
  </si>
  <si>
    <t>KR5217AE0013</t>
  </si>
  <si>
    <t>0010193C0432</t>
  </si>
  <si>
    <t>2013-01-23</t>
  </si>
  <si>
    <t>프랭클린재형미국인컴증권자투자신탁(주식혼합-재간접형)</t>
    <phoneticPr fontId="2" type="noConversion"/>
  </si>
  <si>
    <t>Franklin US Income Savings Feeder FOF</t>
  </si>
  <si>
    <t>우리프랭클린재형미국인컴증권자투자신탁(주식혼합-재간접형)</t>
  </si>
  <si>
    <t>Woori Franklin US Income Savings Feeder FOF</t>
    <phoneticPr fontId="2" type="noConversion"/>
  </si>
  <si>
    <t>FE78</t>
  </si>
  <si>
    <t>KR5217AG0458</t>
  </si>
  <si>
    <t>0010193C0441</t>
  </si>
  <si>
    <t>프랭클린미국바이오헬스케어증권모투자신탁(주식-재간접형)</t>
  </si>
  <si>
    <t>Franklin US Bio Healthcare Master FOF</t>
  </si>
  <si>
    <t>우리프랭클린미국바이오헬스케어증권모투자신탁(주식-재간접형)</t>
  </si>
  <si>
    <t>Woori Franklin US Bio Healthcare Master FOF</t>
    <phoneticPr fontId="2" type="noConversion"/>
  </si>
  <si>
    <t>FE42</t>
  </si>
  <si>
    <t>KR5217AH8153</t>
  </si>
  <si>
    <t>0010193C0447</t>
  </si>
  <si>
    <t>2013-05-31</t>
  </si>
  <si>
    <t>프랭클린미국바이오헬스케어증권자투자신탁(주식-재간접형)</t>
  </si>
  <si>
    <t>Franklin US Bio Healthcare Feeder FOF</t>
  </si>
  <si>
    <t>우리프랭클린미국바이오헬스케어증권자투자신탁(주식-재간접형)</t>
  </si>
  <si>
    <t>Woori Franklin US Bio Healthcare Feeder FOF</t>
    <phoneticPr fontId="2" type="noConversion"/>
  </si>
  <si>
    <t>FE43</t>
  </si>
  <si>
    <t>KR5217AH8161</t>
  </si>
  <si>
    <t>0010193C0448</t>
  </si>
  <si>
    <t>템플턴이스턴유럽증권모투자신탁(주식-재간접형)</t>
  </si>
  <si>
    <t>Templeton Eastern Europe Equity Master FOF</t>
  </si>
  <si>
    <t>우리템플턴이스턴유럽증권모투자신탁(주식-재간접형)</t>
  </si>
  <si>
    <t>Woori Templeton Eastern Europe Equity Master FOF</t>
    <phoneticPr fontId="2" type="noConversion"/>
  </si>
  <si>
    <t>FE01</t>
  </si>
  <si>
    <t>KR5217705064</t>
  </si>
  <si>
    <t>0010193C0204</t>
  </si>
  <si>
    <t>2007-06-19</t>
  </si>
  <si>
    <t>EUR</t>
    <phoneticPr fontId="2" type="noConversion"/>
  </si>
  <si>
    <t>템플턴이스턴유럽증권자투자신탁(주식-재간접형)</t>
  </si>
  <si>
    <t>Templeton Eastern Europe Equity Feeder FOF</t>
  </si>
  <si>
    <t>우리템플턴이스턴유럽증권자투자신탁(주식-재간접형)</t>
  </si>
  <si>
    <t>Woori Templeton Eastern Europe Equity Feeder FOF</t>
    <phoneticPr fontId="2" type="noConversion"/>
  </si>
  <si>
    <t>FE02</t>
  </si>
  <si>
    <t>KR5217704463</t>
  </si>
  <si>
    <t>0010193C0205</t>
  </si>
  <si>
    <t>2007-06-18</t>
  </si>
  <si>
    <t>EUR환헷지</t>
    <phoneticPr fontId="2" type="noConversion"/>
  </si>
  <si>
    <t>프랭클린인디아증권모투자신탁(주식-재간접형)</t>
  </si>
  <si>
    <t>Franklin India Equity Master FoF</t>
  </si>
  <si>
    <t>우리프랭클린인디아증권모투자신탁(주식-재간접형)</t>
  </si>
  <si>
    <t>Woori Franklin India Equity Master FoF</t>
    <phoneticPr fontId="2" type="noConversion"/>
  </si>
  <si>
    <t>FE66</t>
  </si>
  <si>
    <t>KR5217703598</t>
  </si>
  <si>
    <t>0010193C0198</t>
  </si>
  <si>
    <t>2007-06-15</t>
  </si>
  <si>
    <t>프랭클린인디아증권자투자신탁(UH)(주식-재간접형)</t>
  </si>
  <si>
    <t>Franklin India Equity Feeder FoF (UH)</t>
  </si>
  <si>
    <t>우리프랭클린인디아증권자투자신탁(UH)(주식-재간접형)</t>
  </si>
  <si>
    <t>Woori Franklin India Equity Feeder FoF (UH)</t>
    <phoneticPr fontId="2" type="noConversion"/>
  </si>
  <si>
    <t>FE67</t>
  </si>
  <si>
    <t>KR5217703069</t>
  </si>
  <si>
    <t>0010193C0199</t>
  </si>
  <si>
    <t>2007-06-14</t>
  </si>
  <si>
    <t>프랭클린친디아증권자투자신탁(주식-재간접형)</t>
  </si>
  <si>
    <t>Franklin Chindia Equity Feeder FoF</t>
  </si>
  <si>
    <t>우리프랭클린친디아증권자투자신탁(주식-재간접형)</t>
  </si>
  <si>
    <t>Woori Franklin Chindia Equity Feeder FoF</t>
    <phoneticPr fontId="2" type="noConversion"/>
  </si>
  <si>
    <t>FE79</t>
  </si>
  <si>
    <t>KR5217703051</t>
  </si>
  <si>
    <t>0010193C0203</t>
  </si>
  <si>
    <t>HKD환헷지</t>
    <phoneticPr fontId="2" type="noConversion"/>
  </si>
  <si>
    <t>템플턴차이나증권모투자신탁(주식-재간접형)</t>
  </si>
  <si>
    <t>Templeton China Equity Master FOF</t>
  </si>
  <si>
    <t>우리템플턴차이나증권모투자신탁(주식-재간접형)</t>
  </si>
  <si>
    <t>Woori Templeton China Equity Master FOF</t>
    <phoneticPr fontId="2" type="noConversion"/>
  </si>
  <si>
    <t>FE13</t>
  </si>
  <si>
    <t>KR5217703606</t>
  </si>
  <si>
    <t>0010193C0202</t>
  </si>
  <si>
    <t>HKD</t>
    <phoneticPr fontId="2" type="noConversion"/>
  </si>
  <si>
    <t>템플턴차이나드래곤증권자투자신탁(주식-재간접형)</t>
  </si>
  <si>
    <t>Templeton China Dragon Equity Feeder FOF</t>
  </si>
  <si>
    <t>우리템플턴차이나드래곤증권자투자신탁(주식-재간접형)</t>
  </si>
  <si>
    <t>Woori Templeton China Dragon Equity Feeder FOF</t>
    <phoneticPr fontId="2" type="noConversion"/>
  </si>
  <si>
    <t>FE11</t>
  </si>
  <si>
    <t>KR5217730229</t>
  </si>
  <si>
    <t>0010193C0210</t>
  </si>
  <si>
    <t>2007-08-29</t>
  </si>
  <si>
    <t>템플턴차이나드래곤증권자투자신탁(E)(주식-재간접형)</t>
  </si>
  <si>
    <t>Templeton China Dragon Equity Feeder FOF (E)</t>
  </si>
  <si>
    <t>우리템플턴차이나드래곤증권자투자신탁(E)(주식-재간접형)</t>
  </si>
  <si>
    <t>Woori Templeton China Dragon Equity Feeder FOF (E)</t>
    <phoneticPr fontId="2" type="noConversion"/>
  </si>
  <si>
    <t>FE10</t>
  </si>
  <si>
    <t>KR5217735582</t>
  </si>
  <si>
    <t>0010193C0211</t>
  </si>
  <si>
    <t>2007-09-11</t>
  </si>
  <si>
    <t>프랭클린내츄럴리소스증권모투자신탁(주식-재간접형)</t>
  </si>
  <si>
    <t>Franklin Natural Resources Equity Master FoF</t>
  </si>
  <si>
    <t>우리프랭클린내츄럴리소스증권모투자신탁(주식-재간접형)</t>
  </si>
  <si>
    <t>Woori Franklin Natural Resources Equity Master FoF</t>
    <phoneticPr fontId="2" type="noConversion"/>
  </si>
  <si>
    <t>FE32</t>
  </si>
  <si>
    <t>KR5217755135</t>
  </si>
  <si>
    <t>0010193C0218</t>
  </si>
  <si>
    <t>2007-10-31</t>
  </si>
  <si>
    <t>프랭클린내츄럴리소스증권자투자신탁(주식-재간접형)</t>
  </si>
  <si>
    <t>Franklin Natural Resources Equity Feeder FoF</t>
  </si>
  <si>
    <t>우리프랭클린내츄럴리소스증권자투자신탁(주식-재간접형)</t>
    <phoneticPr fontId="2" type="noConversion"/>
  </si>
  <si>
    <t>Woori Franklin Natural Resources Equity Feeder FoF</t>
    <phoneticPr fontId="2" type="noConversion"/>
  </si>
  <si>
    <t>FE33</t>
  </si>
  <si>
    <t>KR5217754633</t>
  </si>
  <si>
    <t>0010193C0214</t>
  </si>
  <si>
    <t>2007-10-30</t>
  </si>
  <si>
    <t>프랭클린K2멀티전략증권모투자신탁(주식혼합-재간접형)</t>
  </si>
  <si>
    <t>Franklin K2  Multi Strategies Master FOF</t>
  </si>
  <si>
    <t>우리프랭클린K2멀티전략증권모투자신탁(주식혼합-재간접형)</t>
  </si>
  <si>
    <t>Woori Franklin K2  Multi Strategies Master FOF</t>
    <phoneticPr fontId="2" type="noConversion"/>
  </si>
  <si>
    <t>FE14</t>
  </si>
  <si>
    <t>KR5217AZ1099</t>
  </si>
  <si>
    <t>0010193C0527</t>
  </si>
  <si>
    <t>2015-02-27</t>
  </si>
  <si>
    <t>프랭클린K2멀티전략증권자투자신탁(주식혼합-재간접형)</t>
  </si>
  <si>
    <t>Franklin K2  Multi Strategies Feeder FOF</t>
  </si>
  <si>
    <t>우리프랭클린K2멀티전략증권자투자신탁(주식혼합-재간접형)</t>
  </si>
  <si>
    <t>Woori Franklin K2  Multi Strategies Feeder FOF</t>
    <phoneticPr fontId="2" type="noConversion"/>
  </si>
  <si>
    <t>FE15</t>
  </si>
  <si>
    <t>KR5217AZ1107</t>
  </si>
  <si>
    <t>0010193C0528</t>
  </si>
  <si>
    <t>2015-02-26</t>
  </si>
  <si>
    <t>프랭클린재팬증권모투자신탁(주식)</t>
  </si>
  <si>
    <t>Franklin Japan Equity Master Fund</t>
  </si>
  <si>
    <t>우리재팬증권모투자신탁(주식)</t>
  </si>
  <si>
    <t>Woori Japan Equity Master Fund</t>
    <phoneticPr fontId="2" type="noConversion"/>
  </si>
  <si>
    <t>FS19</t>
  </si>
  <si>
    <t>KR5217566896</t>
  </si>
  <si>
    <t>0010193C0166</t>
  </si>
  <si>
    <t>2006-05-09</t>
  </si>
  <si>
    <t>JPY</t>
    <phoneticPr fontId="2" type="noConversion"/>
  </si>
  <si>
    <t>프랭클린재팬증권자투자신탁(주식)</t>
  </si>
  <si>
    <t>Franklin Japan Equity Feeder Fund</t>
  </si>
  <si>
    <t>우리재팬증권자투자신탁(주식)</t>
  </si>
  <si>
    <t>Woori Japan Equity Feeder Fund</t>
    <phoneticPr fontId="2" type="noConversion"/>
  </si>
  <si>
    <t>FS28</t>
  </si>
  <si>
    <t>KR5217566904</t>
  </si>
  <si>
    <t>0010193C0167</t>
  </si>
  <si>
    <t>JPY환헷지</t>
    <phoneticPr fontId="2" type="noConversion"/>
  </si>
  <si>
    <t>프랭클린재팬증권자투자신탁(UH)(주식)</t>
  </si>
  <si>
    <t>Franklin Japan Equity Feeder Fund (UH)</t>
  </si>
  <si>
    <t>우리재팬증권자투자신탁(UH)(주식)</t>
  </si>
  <si>
    <t>Woori Japan Equity Feeder Fund (UH)</t>
    <phoneticPr fontId="2" type="noConversion"/>
  </si>
  <si>
    <t>FS21</t>
  </si>
  <si>
    <t>KR5217648587</t>
  </si>
  <si>
    <t>0010193C0181</t>
  </si>
  <si>
    <t>2007-02-02</t>
  </si>
  <si>
    <t>프랭클린재팬증권자투자신탁(E)(주식)</t>
  </si>
  <si>
    <t>Franklin Japan Feeder Fund (E)</t>
  </si>
  <si>
    <t>우리재팬증권자투자신탁(E)(주식)</t>
  </si>
  <si>
    <t>Woori Japan Feeder Fund (E)</t>
    <phoneticPr fontId="2" type="noConversion"/>
  </si>
  <si>
    <t>FS20</t>
  </si>
  <si>
    <t>KR5217643448</t>
  </si>
  <si>
    <t>0010193C0179</t>
  </si>
  <si>
    <t>2007-01-22</t>
  </si>
  <si>
    <t>프랭클린연금재팬증권자투자신탁(주식)</t>
  </si>
  <si>
    <t>Franklin Pension Japan Equity Feeder Fund</t>
  </si>
  <si>
    <t>우리연금재팬증권자투자신탁(주식)</t>
  </si>
  <si>
    <t>Woori Pension Japan Equity Feeder Fund</t>
    <phoneticPr fontId="2" type="noConversion"/>
  </si>
  <si>
    <t>FS15</t>
  </si>
  <si>
    <t>K55217B26689</t>
  </si>
  <si>
    <t>0010193C0544</t>
  </si>
  <si>
    <t>2015-05-22</t>
  </si>
  <si>
    <t>템플턴글로벌증권모투자신탁(주식)</t>
  </si>
  <si>
    <t>Templeton Global Equity Master Fund</t>
  </si>
  <si>
    <t>우리템플턴글로벌증권모투자신탁(주식)</t>
  </si>
  <si>
    <t>Woori Templeton Global Equity Master Fund</t>
    <phoneticPr fontId="2" type="noConversion"/>
  </si>
  <si>
    <t>FS01</t>
  </si>
  <si>
    <t>모</t>
  </si>
  <si>
    <t>KR5217582067</t>
  </si>
  <si>
    <t>0010193C0169</t>
  </si>
  <si>
    <t>2006-07-04</t>
  </si>
  <si>
    <t>템플턴글로벌증권자투자신탁(주식)</t>
  </si>
  <si>
    <t>Templeton Global Equity Feeder Fund</t>
  </si>
  <si>
    <t>우리템플턴글로벌증권자투자신탁(주식)</t>
  </si>
  <si>
    <t>Woori Templeton Global Equity Feeder Fund</t>
    <phoneticPr fontId="2" type="noConversion"/>
  </si>
  <si>
    <t>FS03</t>
  </si>
  <si>
    <t>KR5217582075</t>
  </si>
  <si>
    <t>0010193C0170</t>
  </si>
  <si>
    <t>템플턴글로벌증권자투자신탁(E)(주식)</t>
  </si>
  <si>
    <t>Templeton Global Equity Feeder Fund (E)</t>
  </si>
  <si>
    <t>우리템플턴글로벌증권자투자신탁(E)(주식)</t>
    <phoneticPr fontId="2" type="noConversion"/>
  </si>
  <si>
    <t>Woori Templeton Global Equity Feeder Fund (E)</t>
    <phoneticPr fontId="2" type="noConversion"/>
  </si>
  <si>
    <t>FS02</t>
  </si>
  <si>
    <t>KR5217637440</t>
  </si>
  <si>
    <t>0010193C0178</t>
  </si>
  <si>
    <t>2007-01-03</t>
  </si>
  <si>
    <t>템플턴퇴직연금글로벌40증권자투자신탁(채권혼합)</t>
  </si>
  <si>
    <t>Templeton Pension Global Hybrid 40 Feeder Fund</t>
  </si>
  <si>
    <t>우리템플턴퇴직연금글로벌40증권자투자신탁(채권혼합)</t>
  </si>
  <si>
    <t>Woori Templeton Pension Global Hybrid 40 Feeder Fund</t>
    <phoneticPr fontId="2" type="noConversion"/>
  </si>
  <si>
    <t>FB06</t>
  </si>
  <si>
    <t>KR5217702392</t>
  </si>
  <si>
    <t>0010193C0197</t>
  </si>
  <si>
    <t>2007-06-13</t>
  </si>
  <si>
    <t>템플턴유로피언증권모투자신탁(주식)</t>
  </si>
  <si>
    <t>Templeton European Equity Master Fund</t>
  </si>
  <si>
    <t>우리템플턴유로피언증권모투자신탁(주식)</t>
  </si>
  <si>
    <t>Woori Templeton European Equity Master Fund</t>
    <phoneticPr fontId="2" type="noConversion"/>
  </si>
  <si>
    <t>FS08</t>
  </si>
  <si>
    <t>KR5217699739</t>
  </si>
  <si>
    <t>0010193C0195</t>
  </si>
  <si>
    <t>2007-06-07</t>
  </si>
  <si>
    <t>템플턴유로피언증권자투자신탁(주식)</t>
  </si>
  <si>
    <t>Templeton European Equity Feeder Fund</t>
  </si>
  <si>
    <t>우리템플턴유로피언증권자투자신탁(주식)</t>
  </si>
  <si>
    <t>Woori Templeton European Equity Feeder Fund</t>
    <phoneticPr fontId="2" type="noConversion"/>
  </si>
  <si>
    <t>FS10</t>
  </si>
  <si>
    <t>KR5217699291</t>
  </si>
  <si>
    <t>0010193C0193</t>
  </si>
  <si>
    <t>2007-06-05</t>
  </si>
  <si>
    <t>템플턴유로피언증권자투자신탁(E)(주식)</t>
  </si>
  <si>
    <t>Templeton European Equity Feeder Fund (E)</t>
  </si>
  <si>
    <t>우리템플턴유로피언증권자투자신탁(E)(주식)</t>
  </si>
  <si>
    <t>Woori Templeton European Equity Feeder Fund (E)</t>
    <phoneticPr fontId="2" type="noConversion"/>
  </si>
  <si>
    <t>FS09</t>
  </si>
  <si>
    <t>KR5217699309</t>
  </si>
  <si>
    <t>0010193C0194</t>
  </si>
  <si>
    <t>프랭클린미국금리연동특별자산모투자신탁(대출채권)</t>
  </si>
  <si>
    <t>Franklin US Floating Rate Master Fund</t>
  </si>
  <si>
    <t>우리프랭클린미국금리연동특별자산모투자신탁(대출채권)</t>
  </si>
  <si>
    <t>Woori Franklin US Floating Rate Master Fund</t>
    <phoneticPr fontId="2" type="noConversion"/>
  </si>
  <si>
    <t>FB07</t>
  </si>
  <si>
    <t>KR5217AN8536</t>
  </si>
  <si>
    <t>0010193C0498</t>
  </si>
  <si>
    <t>2014-04-29</t>
  </si>
  <si>
    <t>프랭클린미국금리연동특별자산자투자신탁(대출채권)</t>
  </si>
  <si>
    <t>Franklin US Floating Rate Feeder Fund</t>
  </si>
  <si>
    <t>우리프랭클린미국금리연동특별자산자투자신탁(대출채권)</t>
  </si>
  <si>
    <t>Woori Franklin US Floating Rate Feeder Fund</t>
    <phoneticPr fontId="2" type="noConversion"/>
  </si>
  <si>
    <t>FB08</t>
  </si>
  <si>
    <t>KR5217AN8544</t>
  </si>
  <si>
    <t>0010193C0492</t>
  </si>
  <si>
    <t>프랭클린NextStep밸런스드그로스증권투자신탁(주식혼합-재간접형)</t>
  </si>
  <si>
    <t>Franklin NextStep Balanced Growth FOF</t>
    <phoneticPr fontId="2" type="noConversion"/>
  </si>
  <si>
    <t>우리프랭클린NextStep밸런스드그로스증권투자신탁(주식혼합-재간접형)</t>
  </si>
  <si>
    <t>Woori Franklin NextStep Balanced Growth FOF</t>
    <phoneticPr fontId="2" type="noConversion"/>
  </si>
  <si>
    <t>FE28</t>
  </si>
  <si>
    <t>일반</t>
    <phoneticPr fontId="2" type="noConversion"/>
  </si>
  <si>
    <t>K55217BB2670</t>
  </si>
  <si>
    <t>0010193C0569</t>
  </si>
  <si>
    <t>2016-04-11</t>
    <phoneticPr fontId="2" type="noConversion"/>
  </si>
  <si>
    <t>프랭클린NextStep다이나믹그로스증권투자신탁(주식혼합-재간접형)</t>
  </si>
  <si>
    <t>Franklin NextStep Dynamic Growth FOF</t>
  </si>
  <si>
    <t>우리프랭클린NextStep다이나믹그로스증권투자신탁(주식혼합-재간접형)</t>
  </si>
  <si>
    <t>Woori Franklin NextStep Dynamic Growth FOF</t>
    <phoneticPr fontId="2" type="noConversion"/>
  </si>
  <si>
    <t>FE24</t>
  </si>
  <si>
    <t>K55217BB2738</t>
  </si>
  <si>
    <t>0010193C0574</t>
  </si>
  <si>
    <t>2016-04-11</t>
  </si>
  <si>
    <t>05C02</t>
    <phoneticPr fontId="2" type="noConversion"/>
  </si>
  <si>
    <t>05C14</t>
    <phoneticPr fontId="2" type="noConversion"/>
  </si>
  <si>
    <t>05C30</t>
    <phoneticPr fontId="2" type="noConversion"/>
  </si>
  <si>
    <t>05C44</t>
    <phoneticPr fontId="2" type="noConversion"/>
  </si>
  <si>
    <t>05C58</t>
    <phoneticPr fontId="2" type="noConversion"/>
  </si>
  <si>
    <t>05C72</t>
    <phoneticPr fontId="2" type="noConversion"/>
  </si>
  <si>
    <t>05C86</t>
    <phoneticPr fontId="2" type="noConversion"/>
  </si>
  <si>
    <t>05N23</t>
    <phoneticPr fontId="2" type="noConversion"/>
  </si>
  <si>
    <t>05W22</t>
    <phoneticPr fontId="2" type="noConversion"/>
  </si>
  <si>
    <t>05W24</t>
    <phoneticPr fontId="2" type="noConversion"/>
  </si>
  <si>
    <t>07A77</t>
    <phoneticPr fontId="2" type="noConversion"/>
  </si>
  <si>
    <t>07H33</t>
    <phoneticPr fontId="2" type="noConversion"/>
  </si>
  <si>
    <t>07H32</t>
    <phoneticPr fontId="2" type="noConversion"/>
  </si>
  <si>
    <t>07H68</t>
    <phoneticPr fontId="2" type="noConversion"/>
  </si>
  <si>
    <t>07H67</t>
    <phoneticPr fontId="2" type="noConversion"/>
  </si>
  <si>
    <t>SPOT(환전만)</t>
    <phoneticPr fontId="2" type="noConversion"/>
  </si>
  <si>
    <t xml:space="preserve">멀티에셋운용부 </t>
    <phoneticPr fontId="2" type="noConversion"/>
  </si>
  <si>
    <t>한국투자TDF알아서증권투자신탁(채권혼합-재간접형)(모)</t>
    <phoneticPr fontId="2" type="noConversion"/>
  </si>
  <si>
    <t>한국투자TDF알아서2020증권모투자신탁(채권혼합-재간접형)</t>
    <phoneticPr fontId="2" type="noConversion"/>
  </si>
  <si>
    <t>한국투자TDF알아서2025증권투자신탁(주식혼합-재간접형)(모)</t>
    <phoneticPr fontId="2" type="noConversion"/>
  </si>
  <si>
    <t>한국투자TDF알아서2030증권투자신탁(주식혼합-재간접형)(모)</t>
    <phoneticPr fontId="2" type="noConversion"/>
  </si>
  <si>
    <t>한국투자TDF알아서2035증권투자신탁(주식혼합-재간접형)(모)</t>
    <phoneticPr fontId="2" type="noConversion"/>
  </si>
  <si>
    <t>한국투자TDF알아서2040증권투자신탁(주식혼합-재간접형)(모)</t>
    <phoneticPr fontId="2" type="noConversion"/>
  </si>
  <si>
    <t>한국투자TDF알아서2045증권투자신탁(주식혼합-재간접형)(모)</t>
    <phoneticPr fontId="2" type="noConversion"/>
  </si>
  <si>
    <t>한국투자글로벌자산배분증권모투자신탁(채권혼합-재간접형)</t>
    <phoneticPr fontId="2" type="noConversion"/>
  </si>
  <si>
    <t>한국투자글로벌채권증권모투자신탁(채권-재간접형)</t>
    <phoneticPr fontId="2" type="noConversion"/>
  </si>
  <si>
    <t>한국투자TDF알아서2050증권모투자신탁(주식혼합-재간접형)</t>
    <phoneticPr fontId="2" type="noConversion"/>
  </si>
  <si>
    <t>한국투자TDF알아서2055증권자투자신탁H(주식혼합-재간접형)</t>
    <phoneticPr fontId="2" type="noConversion"/>
  </si>
  <si>
    <t>한국투자TDF알아서2060증권자투자신탁H(주식혼합-재간접형)</t>
    <phoneticPr fontId="2" type="noConversion"/>
  </si>
  <si>
    <t>한국투자TDF알아서2055증권모투자신탁H(주식혼합-재간접형)</t>
    <phoneticPr fontId="2" type="noConversion"/>
  </si>
  <si>
    <t>한국투자TDF알아서2060증권모투자신탁H(주식혼합-재간접형)</t>
    <phoneticPr fontId="2" type="noConversion"/>
  </si>
  <si>
    <t>한국투자신종개인연금TDF알아서2050전환형자H(주식혼합-재간접형)(모)</t>
    <phoneticPr fontId="2" type="noConversion"/>
  </si>
  <si>
    <t>05N22</t>
    <phoneticPr fontId="2" type="noConversion"/>
  </si>
  <si>
    <t>한국투자TDF알아서2050증권자투자신탁(주식혼합-재간접형)(모)</t>
    <phoneticPr fontId="2" type="noConversion"/>
  </si>
  <si>
    <t>정미정</t>
    <phoneticPr fontId="2" type="noConversion"/>
  </si>
  <si>
    <t>공모</t>
    <phoneticPr fontId="2" type="noConversion"/>
  </si>
  <si>
    <t>TR01</t>
    <phoneticPr fontId="2" type="noConversion"/>
  </si>
  <si>
    <t>우리다같이OCIO타겟리턴증권모투자신탁(채권혼합-재간접형)</t>
    <phoneticPr fontId="2" type="noConversion"/>
  </si>
  <si>
    <t>키움글로벌구독경제증권모투자신탁[주식]</t>
    <phoneticPr fontId="2" type="noConversion"/>
  </si>
  <si>
    <t>김연수</t>
    <phoneticPr fontId="2" type="noConversion"/>
  </si>
  <si>
    <t>HSBC</t>
    <phoneticPr fontId="2" type="noConversion"/>
  </si>
  <si>
    <t>유진챔피언플레인바닐라OCIO증권투자신탁(혼합-재간접형)</t>
    <phoneticPr fontId="2" type="noConversion"/>
  </si>
  <si>
    <t>1C400</t>
    <phoneticPr fontId="2" type="noConversion"/>
  </si>
  <si>
    <t>KB</t>
    <phoneticPr fontId="2" type="noConversion"/>
  </si>
  <si>
    <t>하나UBS미국테크증권자투자신탁(주식-재간접형)</t>
    <phoneticPr fontId="2" type="noConversion"/>
  </si>
  <si>
    <t>하나UBS미국테크증권자투자신탁(주식-재간접형)(H)</t>
    <phoneticPr fontId="2" type="noConversion"/>
  </si>
  <si>
    <t>키움OCIO퇴직연금일반사모투자신탁제1호(채권혼합-재간접형)</t>
    <phoneticPr fontId="2" type="noConversion"/>
  </si>
  <si>
    <t>사모</t>
    <phoneticPr fontId="2" type="noConversion"/>
  </si>
  <si>
    <t xml:space="preserve">글로벌채권팀 </t>
    <phoneticPr fontId="2" type="noConversion"/>
  </si>
  <si>
    <t>TY59</t>
    <phoneticPr fontId="2" type="noConversion"/>
  </si>
  <si>
    <t>HANA</t>
    <phoneticPr fontId="2" type="noConversion"/>
  </si>
  <si>
    <t>1C695</t>
    <phoneticPr fontId="2" type="noConversion"/>
  </si>
  <si>
    <t>06W20</t>
    <phoneticPr fontId="2" type="noConversion"/>
  </si>
  <si>
    <t>WOORI</t>
    <phoneticPr fontId="2" type="noConversion"/>
  </si>
  <si>
    <t xml:space="preserve">조소연부장님 </t>
    <phoneticPr fontId="2" type="noConversion"/>
  </si>
  <si>
    <t>하나UBS월지급PIMCO글로벌인컴혼합자산자투자신탁(재간접형)(H)</t>
    <phoneticPr fontId="2" type="noConversion"/>
  </si>
  <si>
    <t xml:space="preserve">유성식이사님 </t>
    <phoneticPr fontId="2" type="noConversion"/>
  </si>
  <si>
    <t>현대글로벌EMP증권자투자신탁1(혼합-재간접형)</t>
    <phoneticPr fontId="2" type="noConversion"/>
  </si>
  <si>
    <t xml:space="preserve">삼성 BAIN CAPITAL CREDIT 일반사모투자신탁 제2호 </t>
    <phoneticPr fontId="2" type="noConversion"/>
  </si>
  <si>
    <t>AI01</t>
    <phoneticPr fontId="2" type="noConversion"/>
  </si>
  <si>
    <t>WOORI</t>
    <phoneticPr fontId="2" type="noConversion"/>
  </si>
  <si>
    <t>한국투자GGARF전문투자형사모투자신탁1호</t>
    <phoneticPr fontId="2" type="noConversion"/>
  </si>
  <si>
    <t>HSBC</t>
    <phoneticPr fontId="2" type="noConversion"/>
  </si>
  <si>
    <t>흥국 싱가포르 리츠 플러스 부동산 모투자신탁(리츠-재간접형)</t>
    <phoneticPr fontId="2" type="noConversion"/>
  </si>
  <si>
    <t>2020.09.03</t>
    <phoneticPr fontId="2" type="noConversion"/>
  </si>
  <si>
    <t>D9394</t>
    <phoneticPr fontId="2" type="noConversion"/>
  </si>
  <si>
    <t>M200</t>
    <phoneticPr fontId="2" type="noConversion"/>
  </si>
  <si>
    <t>M280</t>
    <phoneticPr fontId="2" type="noConversion"/>
  </si>
  <si>
    <t>KB</t>
    <phoneticPr fontId="2" type="noConversion"/>
  </si>
  <si>
    <t>05A50</t>
    <phoneticPr fontId="2" type="noConversion"/>
  </si>
  <si>
    <t>06W67</t>
    <phoneticPr fontId="2" type="noConversion"/>
  </si>
  <si>
    <t>ETF5</t>
    <phoneticPr fontId="2" type="noConversion"/>
  </si>
  <si>
    <t>삼성 Cerberus Global NPL 일반사모투자신탁 제1호</t>
    <phoneticPr fontId="2" type="noConversion"/>
  </si>
  <si>
    <t>우리WOORI미국S&amp;P500증권상장지수투자신탁(주식)</t>
    <phoneticPr fontId="2" type="noConversion"/>
  </si>
  <si>
    <t>다올자산운용</t>
  </si>
  <si>
    <t>펀드명[FULL NAME]</t>
  </si>
  <si>
    <t xml:space="preserve">KTB글로벌멀티에셋인컴EMP증권투자신탁[혼합-재간접형] </t>
  </si>
  <si>
    <t>KT글로벌EMP[주식-재간접]</t>
  </si>
  <si>
    <t>KTB듀얼금리연계전문투자형13[채권-파생형]</t>
  </si>
  <si>
    <t>KTB중국플러스찬스증권투자신탁[채권혼합]</t>
  </si>
  <si>
    <t xml:space="preserve">KTB RF 전문투자형사모증권제1호 [주식-재간접형] </t>
  </si>
  <si>
    <t xml:space="preserve">KTB글로벌메타버스&amp;우주산업1등주증권자투자신탁[주식] </t>
  </si>
  <si>
    <t xml:space="preserve">KTB글로벌구독경제EMP펀드 [주식-재간접형] </t>
  </si>
  <si>
    <t>다올KTB글로벌주식EMP일반사모증권투자신탁제1호[주식-재간접형]</t>
  </si>
  <si>
    <t>다올KTB월드멀티에셋전략일반사모증권투자신탁제1호 [채권혼합형]</t>
  </si>
  <si>
    <t>다올KTBEMP글로벌자산배분일반사모증권투자신탁제1호[채권혼합형]</t>
  </si>
  <si>
    <t>다올KTBTARGET솔루션일반사모증권투자신탁제1호[채권혼합형]</t>
  </si>
  <si>
    <t>87,607(백만)</t>
  </si>
  <si>
    <t>85,921(백만)</t>
  </si>
  <si>
    <t>93,803(백만)</t>
  </si>
  <si>
    <t>76,818(백만)</t>
  </si>
  <si>
    <t>6,523(백만)</t>
  </si>
  <si>
    <t>5,207(백만)</t>
  </si>
  <si>
    <t>공모</t>
    <phoneticPr fontId="2" type="noConversion"/>
  </si>
  <si>
    <t>경영전략본부 오퍼레이션팀</t>
    <phoneticPr fontId="2" type="noConversion"/>
  </si>
  <si>
    <t>키움KOSEF미국S&amp;P500증권상장지수투자신탁[주식]</t>
    <phoneticPr fontId="2" type="noConversion"/>
  </si>
  <si>
    <t>키움KOSEF미국S&amp;P500증권상장지수투자신탁[주식](H)</t>
    <phoneticPr fontId="2" type="noConversion"/>
  </si>
  <si>
    <t>2022.12.13 폐쇄</t>
    <phoneticPr fontId="2" type="noConversion"/>
  </si>
  <si>
    <t>FS02</t>
    <phoneticPr fontId="2" type="noConversion"/>
  </si>
  <si>
    <t>HL06</t>
    <phoneticPr fontId="2" type="noConversion"/>
  </si>
  <si>
    <t>HL07</t>
    <phoneticPr fontId="2" type="noConversion"/>
  </si>
  <si>
    <t>SHB</t>
    <phoneticPr fontId="2" type="noConversion"/>
  </si>
  <si>
    <t>HYUNDAI_ASST</t>
    <phoneticPr fontId="2" type="noConversion"/>
  </si>
  <si>
    <t>TQ01</t>
    <phoneticPr fontId="2" type="noConversion"/>
  </si>
  <si>
    <t>CITI</t>
    <phoneticPr fontId="2" type="noConversion"/>
  </si>
  <si>
    <t>MT01</t>
    <phoneticPr fontId="2" type="noConversion"/>
  </si>
  <si>
    <t>우리퀀팃OCIO일반사모투자신탁1호</t>
    <phoneticPr fontId="2" type="noConversion"/>
  </si>
  <si>
    <t>KB</t>
    <phoneticPr fontId="2" type="noConversion"/>
  </si>
  <si>
    <t>HSBC</t>
    <phoneticPr fontId="2" type="noConversion"/>
  </si>
  <si>
    <t>3D002</t>
    <phoneticPr fontId="2" type="noConversion"/>
  </si>
  <si>
    <t>CF24</t>
    <phoneticPr fontId="2" type="noConversion"/>
  </si>
  <si>
    <t>CITI</t>
    <phoneticPr fontId="2" type="noConversion"/>
  </si>
  <si>
    <t>한국투자사모StableIncome증권투자신탁2호</t>
    <phoneticPr fontId="2" type="noConversion"/>
  </si>
  <si>
    <t>2014.6.26</t>
    <phoneticPr fontId="2" type="noConversion"/>
  </si>
  <si>
    <t>05H12</t>
    <phoneticPr fontId="2" type="noConversion"/>
  </si>
  <si>
    <t>06X15</t>
    <phoneticPr fontId="2" type="noConversion"/>
  </si>
  <si>
    <t>T031</t>
    <phoneticPr fontId="2" type="noConversion"/>
  </si>
  <si>
    <t>KB</t>
    <phoneticPr fontId="2" type="noConversion"/>
  </si>
  <si>
    <t>DIMCO</t>
    <phoneticPr fontId="2" type="noConversion"/>
  </si>
  <si>
    <t>SHB</t>
    <phoneticPr fontId="2" type="noConversion"/>
  </si>
  <si>
    <t>이상하</t>
    <phoneticPr fontId="2" type="noConversion"/>
  </si>
  <si>
    <t>HSBC</t>
    <phoneticPr fontId="2" type="noConversion"/>
  </si>
  <si>
    <t>8A0006</t>
    <phoneticPr fontId="2" type="noConversion"/>
  </si>
  <si>
    <t>KB</t>
    <phoneticPr fontId="2" type="noConversion"/>
  </si>
  <si>
    <t>HL04</t>
    <phoneticPr fontId="2" type="noConversion"/>
  </si>
  <si>
    <t>SHB</t>
    <phoneticPr fontId="2" type="noConversion"/>
  </si>
  <si>
    <t>KZ22</t>
    <phoneticPr fontId="2" type="noConversion"/>
  </si>
  <si>
    <t>KZ23</t>
    <phoneticPr fontId="2" type="noConversion"/>
  </si>
  <si>
    <t>KZ24</t>
    <phoneticPr fontId="2" type="noConversion"/>
  </si>
  <si>
    <t>우리예로우엄브렐라글로벌주식일반사무투자신탁KZ(G)2022-6</t>
    <phoneticPr fontId="2" type="noConversion"/>
  </si>
  <si>
    <t>우리KBIZ글로벌채권일반사모증권모투자신탁1호(USD)(채권-재간접형)</t>
    <phoneticPr fontId="2" type="noConversion"/>
  </si>
  <si>
    <t>우리KBIZ글로벌채권일반사모증권모투자신탁1호(H)(채권-재간접형)</t>
    <phoneticPr fontId="2" type="noConversion"/>
  </si>
  <si>
    <t>KB</t>
    <phoneticPr fontId="2" type="noConversion"/>
  </si>
  <si>
    <t>HSBC</t>
    <phoneticPr fontId="2" type="noConversion"/>
  </si>
  <si>
    <t>하나</t>
    <phoneticPr fontId="2" type="noConversion"/>
  </si>
  <si>
    <t>삼성 Puccini 글로벌인수금융 일반사모투자신탁 제1호</t>
    <phoneticPr fontId="2" type="noConversion"/>
  </si>
  <si>
    <t>ING_INVESTMA</t>
    <phoneticPr fontId="2" type="noConversion"/>
  </si>
  <si>
    <t>YURIE_ASSET</t>
    <phoneticPr fontId="2" type="noConversion"/>
  </si>
  <si>
    <t>김수영매니저</t>
    <phoneticPr fontId="2" type="noConversion"/>
  </si>
  <si>
    <t>NACF</t>
    <phoneticPr fontId="2" type="noConversion"/>
  </si>
  <si>
    <t>KSFC</t>
    <phoneticPr fontId="2" type="noConversion"/>
  </si>
  <si>
    <t>키움KOSEF미국나스닥100증권상장지수투자신탁[주식](H)</t>
    <phoneticPr fontId="2" type="noConversion"/>
  </si>
  <si>
    <t>PM01</t>
    <phoneticPr fontId="2" type="noConversion"/>
  </si>
  <si>
    <t>HANA</t>
    <phoneticPr fontId="2" type="noConversion"/>
  </si>
  <si>
    <t>현대 AVIATION 전문투자형 사모 투자신탁 10호[채무증권]</t>
    <phoneticPr fontId="2" type="noConversion"/>
  </si>
  <si>
    <t>07B10</t>
    <phoneticPr fontId="2" type="noConversion"/>
  </si>
  <si>
    <t>KB</t>
    <phoneticPr fontId="2" type="noConversion"/>
  </si>
  <si>
    <t>KB</t>
    <phoneticPr fontId="2" type="noConversion"/>
  </si>
  <si>
    <t>정혁철</t>
    <phoneticPr fontId="2" type="noConversion"/>
  </si>
  <si>
    <t>NACF</t>
    <phoneticPr fontId="2" type="noConversion"/>
  </si>
  <si>
    <t>DB Manulife Secondary 일반사모투자신탁 제1호</t>
    <phoneticPr fontId="2" type="noConversion"/>
  </si>
  <si>
    <t>(USD) 27,029,791.18</t>
    <phoneticPr fontId="2" type="noConversion"/>
  </si>
  <si>
    <t>DB글로벌AMP인프라일반사모투자신탁제1호</t>
    <phoneticPr fontId="2" type="noConversion"/>
  </si>
  <si>
    <t>KB자산</t>
    <phoneticPr fontId="2" type="noConversion"/>
  </si>
  <si>
    <t>SHB</t>
    <phoneticPr fontId="2" type="noConversion"/>
  </si>
  <si>
    <t>18F7</t>
    <phoneticPr fontId="2" type="noConversion"/>
  </si>
  <si>
    <t>사모</t>
    <phoneticPr fontId="2" type="noConversion"/>
  </si>
  <si>
    <t>KB CVC 북미 일반 사모 투자신탁 제2호</t>
    <phoneticPr fontId="2" type="noConversion"/>
  </si>
  <si>
    <t>18I7</t>
    <phoneticPr fontId="2" type="noConversion"/>
  </si>
  <si>
    <t>189I</t>
    <phoneticPr fontId="2" type="noConversion"/>
  </si>
  <si>
    <t>189G</t>
    <phoneticPr fontId="2" type="noConversion"/>
  </si>
  <si>
    <t>18E4</t>
    <phoneticPr fontId="2" type="noConversion"/>
  </si>
  <si>
    <t>HANA</t>
    <phoneticPr fontId="2" type="noConversion"/>
  </si>
  <si>
    <t>SHB</t>
    <phoneticPr fontId="2" type="noConversion"/>
  </si>
  <si>
    <t>KB 유럽 ICG PDF 일반 사모 특별자산 투자신탁 제3호</t>
    <phoneticPr fontId="2" type="noConversion"/>
  </si>
  <si>
    <t>KB 유럽 Tikehau PDF 일반 사모 특별자산 투자신탁 제 1호(재간접형)</t>
    <phoneticPr fontId="2" type="noConversion"/>
  </si>
  <si>
    <t>KB 유럽 Tikehau PDF 일반 사모 특별자산 투자신탁 제 2호(재간접형)</t>
  </si>
  <si>
    <t>KB 유럽 Tikehau PDF 일반 사모 특별자산 투자신탁 제 3호(재간접형)</t>
  </si>
  <si>
    <t>2020.05.12</t>
    <phoneticPr fontId="2" type="noConversion"/>
  </si>
  <si>
    <t>2021.06.07</t>
    <phoneticPr fontId="2" type="noConversion"/>
  </si>
  <si>
    <t>헷지비율 조정</t>
    <phoneticPr fontId="2" type="noConversion"/>
  </si>
  <si>
    <t>2018.09.27</t>
    <phoneticPr fontId="2" type="noConversion"/>
  </si>
  <si>
    <t>HSBC</t>
    <phoneticPr fontId="2" type="noConversion"/>
  </si>
  <si>
    <t>유진챔피언성과연동TDF2030증권투자신탁(혼합-재간접형)</t>
  </si>
  <si>
    <t>유진챔피언성과연동TDF2040증권투자신탁(혼합-재간접형)</t>
  </si>
  <si>
    <t>심누리</t>
    <phoneticPr fontId="2" type="noConversion"/>
  </si>
  <si>
    <t>송주영대리</t>
    <phoneticPr fontId="2" type="noConversion"/>
  </si>
  <si>
    <t>DB 글로벌크레딧일반사모증권투자신탁제1호</t>
    <phoneticPr fontId="2" type="noConversion"/>
  </si>
  <si>
    <t>AUD 10,000,000</t>
    <phoneticPr fontId="2" type="noConversion"/>
  </si>
  <si>
    <t>06G95</t>
    <phoneticPr fontId="2" type="noConversion"/>
  </si>
  <si>
    <t>한국투자글로벌CIPVI일반사모투자신탁</t>
    <phoneticPr fontId="2" type="noConversion"/>
  </si>
  <si>
    <t>2017.04.04</t>
    <phoneticPr fontId="2" type="noConversion"/>
  </si>
  <si>
    <t>멀티에셋투자본부</t>
    <phoneticPr fontId="2" type="noConversion"/>
  </si>
  <si>
    <t>이준 부장, 이지원 대리</t>
    <phoneticPr fontId="2" type="noConversion"/>
  </si>
  <si>
    <t>2016.09.05</t>
    <phoneticPr fontId="2" type="noConversion"/>
  </si>
  <si>
    <t>1C078</t>
    <phoneticPr fontId="2" type="noConversion"/>
  </si>
  <si>
    <t>1C051</t>
    <phoneticPr fontId="2" type="noConversion"/>
  </si>
  <si>
    <t>다올KTB듀얼금리연계전문투자형사모증권투자신탁제13호[채권-파생형]</t>
    <phoneticPr fontId="2" type="noConversion"/>
  </si>
  <si>
    <t>다올KTB듀얼금리연계전문투자형사모증권투자신탁제12호[채권-파생형]</t>
    <phoneticPr fontId="2" type="noConversion"/>
  </si>
  <si>
    <t>2016.07.13</t>
    <phoneticPr fontId="2" type="noConversion"/>
  </si>
  <si>
    <t>SHB</t>
    <phoneticPr fontId="2" type="noConversion"/>
  </si>
  <si>
    <t>US09</t>
    <phoneticPr fontId="2" type="noConversion"/>
  </si>
  <si>
    <t>우리하이플러스채권증권자투자신탁3호(USD)[채권]</t>
    <phoneticPr fontId="2" type="noConversion"/>
  </si>
  <si>
    <t>05Q03</t>
    <phoneticPr fontId="2" type="noConversion"/>
  </si>
  <si>
    <t>05X31</t>
    <phoneticPr fontId="2" type="noConversion"/>
  </si>
  <si>
    <t>KB</t>
    <phoneticPr fontId="2" type="noConversion"/>
  </si>
  <si>
    <t>18S1</t>
    <phoneticPr fontId="2" type="noConversion"/>
  </si>
  <si>
    <t>KB 북미 Jefferies 일반 사모 특별자산 투자신탁 제2호(대출채권-재간접형)</t>
    <phoneticPr fontId="2" type="noConversion"/>
  </si>
  <si>
    <t>2023.06.13</t>
    <phoneticPr fontId="2" type="noConversion"/>
  </si>
  <si>
    <t>공모</t>
    <phoneticPr fontId="2" type="noConversion"/>
  </si>
  <si>
    <t>WOORI</t>
    <phoneticPr fontId="2" type="noConversion"/>
  </si>
  <si>
    <t>서세희</t>
    <phoneticPr fontId="2" type="noConversion"/>
  </si>
  <si>
    <t>다올파운트1등TDF2040증권투자신탁[혼합-재간접형]</t>
    <phoneticPr fontId="2" type="noConversion"/>
  </si>
  <si>
    <t>DB 글로벌인프라일반사모투자신탁제1호</t>
    <phoneticPr fontId="2" type="noConversion"/>
  </si>
  <si>
    <t>DB Hancock일반사모투자신탁제1호</t>
    <phoneticPr fontId="2" type="noConversion"/>
  </si>
  <si>
    <t>DB Mirai Creation 일반사모투자신탁 제1호</t>
    <phoneticPr fontId="2" type="noConversion"/>
  </si>
  <si>
    <t>DB 뉴잉글랜드발전소전문투자형 사모특별자산투자신탁 제36호</t>
    <phoneticPr fontId="2" type="noConversion"/>
  </si>
  <si>
    <t xml:space="preserve">DB US Private Loan 전문투자형사모투자신탁1호 </t>
    <phoneticPr fontId="2" type="noConversion"/>
  </si>
  <si>
    <t xml:space="preserve">DB 미국 LNG 터미널 전문투자형사모특별자산투자신탁 제1호 (대출채권) </t>
    <phoneticPr fontId="2" type="noConversion"/>
  </si>
  <si>
    <t xml:space="preserve">DB 블랙록인프라일반사모투자신탁제1호 </t>
    <phoneticPr fontId="2" type="noConversion"/>
  </si>
  <si>
    <t xml:space="preserve">DB 일반사모특별자산투자신탁제19호 (인프라) </t>
    <phoneticPr fontId="2" type="noConversion"/>
  </si>
  <si>
    <t xml:space="preserve">발전소전문투자형사모특별자산투자신탁 </t>
    <phoneticPr fontId="2" type="noConversion"/>
  </si>
  <si>
    <t>DB 뉴잉글랜드발전소전문투자형 사모특별자산투자신탁 제35호</t>
    <phoneticPr fontId="2" type="noConversion"/>
  </si>
  <si>
    <t xml:space="preserve">DB 아시아인컴 사모증권 투자신탁 제2호 (채권) </t>
    <phoneticPr fontId="2" type="noConversion"/>
  </si>
  <si>
    <t>DB 유로화표시자산전문투자형 사모투자신탁 제1호</t>
    <phoneticPr fontId="2" type="noConversion"/>
  </si>
  <si>
    <t xml:space="preserve">DB 글로벌원자재전문투자형사모투자신탁제1호 </t>
    <phoneticPr fontId="2" type="noConversion"/>
  </si>
  <si>
    <t xml:space="preserve">DB Asia Private Credit 일반사모투자신탁 제1호 </t>
    <phoneticPr fontId="2" type="noConversion"/>
  </si>
  <si>
    <t>DB 일반사모특별자산투자신탁33호[인프라]</t>
    <phoneticPr fontId="2" type="noConversion"/>
  </si>
  <si>
    <t xml:space="preserve">DB 일반사모특별자산투자신탁24호 (인프라) </t>
    <phoneticPr fontId="2" type="noConversion"/>
  </si>
  <si>
    <t xml:space="preserve">DB 일반사모사모특별자산투자신탁25호 (인프라) </t>
    <phoneticPr fontId="2" type="noConversion"/>
  </si>
  <si>
    <t>KB</t>
    <phoneticPr fontId="2" type="noConversion"/>
  </si>
  <si>
    <t>사모</t>
    <phoneticPr fontId="2" type="noConversion"/>
  </si>
  <si>
    <t>SHB</t>
    <phoneticPr fontId="2" type="noConversion"/>
  </si>
  <si>
    <t>1C677</t>
    <phoneticPr fontId="2" type="noConversion"/>
  </si>
  <si>
    <t>다올KTB금리연계일반사모증권제116호[채권-파생형]</t>
    <phoneticPr fontId="2" type="noConversion"/>
  </si>
  <si>
    <t>06Y47</t>
    <phoneticPr fontId="2" type="noConversion"/>
  </si>
  <si>
    <t>한국투자 글로벌 VV SEA&amp;INDIA 5 일반사모투자신탁(파생형)</t>
    <phoneticPr fontId="2" type="noConversion"/>
  </si>
  <si>
    <t>파인만 글로벌 인프라증권투자신탁(주식-재간접형)</t>
    <phoneticPr fontId="2" type="noConversion"/>
  </si>
  <si>
    <t>한국투자웰링턴글로벌퀄리티증권자신탁(H)(A)</t>
    <phoneticPr fontId="2" type="noConversion"/>
  </si>
  <si>
    <t>한국투자골드플랜차이나연금증권전환형자투자신탁1호(주식)(모)</t>
    <phoneticPr fontId="2" type="noConversion"/>
  </si>
  <si>
    <t>한국투자베트남그로스증권자신탁(주식)(모)</t>
    <phoneticPr fontId="2" type="noConversion"/>
  </si>
  <si>
    <t>한국투자중국4차산업탄소제로증권신탁(주식)(모)</t>
    <phoneticPr fontId="2" type="noConversion"/>
  </si>
  <si>
    <t>한국투자연금베트남그로스증권자투자신탁(주식)(모)</t>
    <phoneticPr fontId="2" type="noConversion"/>
  </si>
  <si>
    <t>18S6</t>
    <phoneticPr fontId="2" type="noConversion"/>
  </si>
  <si>
    <t>18S7</t>
    <phoneticPr fontId="2" type="noConversion"/>
  </si>
  <si>
    <t>KB 북미 Apogem 선순위 일반 사모 특별자산 모투자신탁 제4호(대출채권-재간접형)</t>
    <phoneticPr fontId="2" type="noConversion"/>
  </si>
  <si>
    <t>KB 북미 Apogem 선순위 일반 사모 특별자산 자투자신탁 제4-1호(대출채권-재간접형)(H)</t>
    <phoneticPr fontId="2" type="noConversion"/>
  </si>
  <si>
    <t>2023.06.22</t>
    <phoneticPr fontId="2" type="noConversion"/>
  </si>
  <si>
    <t>KB 북미 Apogem 선순위 일반 사모 특별자산 자투자신탁 제4-2호(대출채권-재간접형)</t>
    <phoneticPr fontId="2" type="noConversion"/>
  </si>
  <si>
    <t>18S8</t>
    <phoneticPr fontId="2" type="noConversion"/>
  </si>
  <si>
    <t>SCB</t>
    <phoneticPr fontId="2" type="noConversion"/>
  </si>
  <si>
    <t>HANA</t>
    <phoneticPr fontId="2" type="noConversion"/>
  </si>
  <si>
    <t>하나UBS 글로벌마켓알파일반사모투자신탁 1호</t>
    <phoneticPr fontId="2" type="noConversion"/>
  </si>
  <si>
    <t>우리세이프플러스일반사모증권투자신탁S-6호(DLS-파생형)</t>
    <phoneticPr fontId="2" type="noConversion"/>
  </si>
  <si>
    <t>우리글로벌인컴일반사모증권투자신탁1-2호 (채권)</t>
    <phoneticPr fontId="2" type="noConversion"/>
  </si>
  <si>
    <t>우리글로벌인컴일반사모증권투자신탁1-1호 (채권)</t>
    <phoneticPr fontId="2" type="noConversion"/>
  </si>
  <si>
    <t>하나UBS글로벌리츠온리원부동산모투자신탁[재간접형]</t>
    <phoneticPr fontId="2" type="noConversion"/>
  </si>
  <si>
    <t>2020.04.20</t>
    <phoneticPr fontId="2" type="noConversion"/>
  </si>
  <si>
    <t>HANA</t>
    <phoneticPr fontId="2" type="noConversion"/>
  </si>
  <si>
    <t>HANA</t>
    <phoneticPr fontId="2" type="noConversion"/>
  </si>
  <si>
    <t>PCA</t>
  </si>
  <si>
    <t>CITI</t>
    <phoneticPr fontId="2" type="noConversion"/>
  </si>
  <si>
    <t>이스트스프링 글로벌온콜로지증권자투자신탁(H)[주식-재간접형]</t>
    <phoneticPr fontId="2" type="noConversion"/>
  </si>
  <si>
    <t>이스트스프링 글로벌온콜로지증권자투자신탁(UH)[주식-재간접형]</t>
    <phoneticPr fontId="2" type="noConversion"/>
  </si>
  <si>
    <t>유리글로벌거래소연금저축증권자투자신탁(주식)</t>
    <phoneticPr fontId="2" type="noConversion"/>
  </si>
  <si>
    <t>CITI</t>
    <phoneticPr fontId="2" type="noConversion"/>
  </si>
  <si>
    <t>NACF</t>
    <phoneticPr fontId="2" type="noConversion"/>
  </si>
  <si>
    <t>손경아,이경원</t>
  </si>
  <si>
    <t>한화 Japan REITs 부동산 투자신탁 1호 (리츠-재간접형)</t>
  </si>
  <si>
    <t>한화아시아리츠부동산 모투자신탁 (리츠-재간접형)</t>
  </si>
  <si>
    <t>이경원대리님</t>
  </si>
  <si>
    <t>한화옐로우엄브렐러멀티에셋전문투자형사모투자신탁1호</t>
  </si>
  <si>
    <t>한화TUGS전문투자형사모자투자신탁1호</t>
  </si>
  <si>
    <t>한화옐로우엄브렐러멀티에셋전문투자형사모 모KZ-1호</t>
  </si>
  <si>
    <t xml:space="preserve">한화OCIO솔루션증권투자신탁(혼합-재간접형) </t>
  </si>
  <si>
    <t xml:space="preserve">사모 </t>
  </si>
  <si>
    <t xml:space="preserve">구다은대리님 </t>
  </si>
  <si>
    <t>한화글로벌채권ETF전문투자형사모증권투자신탁11호(채권-재간접형)</t>
  </si>
  <si>
    <t>한화TUGS전문투자형사모자투자신탁2호</t>
  </si>
  <si>
    <t>이인제과장님</t>
  </si>
  <si>
    <t>플러스UP변액연금V파생혼합형</t>
  </si>
  <si>
    <t xml:space="preserve">한화KBIZ 멀티에셋 DWS 전문투자형 사모 자투자신탁 </t>
  </si>
  <si>
    <t>한화옐로우엄브렐라전문투자형사모투자신탁 KZ-37호</t>
  </si>
  <si>
    <t xml:space="preserve">공모 </t>
  </si>
  <si>
    <t>정겨운대리님</t>
  </si>
  <si>
    <t>한화꿈에그린차이나증권모투자신탁(주식)</t>
  </si>
  <si>
    <t>한화꿈에그린차이나A주증권자투자신탁H-1호(주식)</t>
  </si>
  <si>
    <t xml:space="preserve">임정민대리님 </t>
  </si>
  <si>
    <t>한화퇴직연금 OCIO 솔루션일반사모증권투자신탁(혼합-재간접형)</t>
  </si>
  <si>
    <t xml:space="preserve">형성하과장님 </t>
  </si>
  <si>
    <t xml:space="preserve">한화KBIZ 멀티에셋 NB 전문투자형 사모 자투자신탁 </t>
  </si>
  <si>
    <t>한화퇴직연금 OCIO 솔루션일반사모증권투자신탁2호(혼합-재간접형)</t>
  </si>
  <si>
    <t>x (펀드해지)</t>
  </si>
  <si>
    <t>한화KBIZ멀티에셋DWS일반사모모투자신탁</t>
  </si>
  <si>
    <t>한화옐로우엄브렐러일반사모모투자신탁KZ-2호</t>
  </si>
  <si>
    <t xml:space="preserve">연기금글로벌리츠일반사모부동산투자신탁2호(리츠-재간접) </t>
  </si>
  <si>
    <t xml:space="preserve">오미선대리님 </t>
  </si>
  <si>
    <t>한화글로벌본드인컴증권 자투자신탁H(채권 - 재간접형)</t>
  </si>
  <si>
    <t xml:space="preserve">한화글로벌전문투자형사모증권투자신탁14호 (채권-재간접형) </t>
  </si>
  <si>
    <t xml:space="preserve">한화글로벌전문투자형사모증권투자신탁10호 (채권) </t>
  </si>
  <si>
    <t>한화글로벌전문투자형사모증권투자신탁12호(채권)</t>
  </si>
  <si>
    <t>한화글로벌인컴증권 자투자신탁H(채권 - 재간접형)</t>
  </si>
  <si>
    <t>한화글로벌인컴전문투자형사모증권투자신탁1호(채권)</t>
  </si>
  <si>
    <t>박세영차장</t>
  </si>
  <si>
    <t>한화글로벌매크로퀀트EMP증권모투자신탁(혼합-재간접형)</t>
  </si>
  <si>
    <t>2023.04.17</t>
  </si>
  <si>
    <t>조희상</t>
    <phoneticPr fontId="2" type="noConversion"/>
  </si>
  <si>
    <t xml:space="preserve">형성하과장님 </t>
    <phoneticPr fontId="2" type="noConversion"/>
  </si>
  <si>
    <t>18S0</t>
    <phoneticPr fontId="2" type="noConversion"/>
  </si>
  <si>
    <t>KB_ASSET</t>
    <phoneticPr fontId="2" type="noConversion"/>
  </si>
  <si>
    <t>X</t>
    <phoneticPr fontId="2" type="noConversion"/>
  </si>
  <si>
    <t>O</t>
    <phoneticPr fontId="2" type="noConversion"/>
  </si>
  <si>
    <t>2014.01.02</t>
    <phoneticPr fontId="2" type="noConversion"/>
  </si>
  <si>
    <t>설정(예정)일</t>
    <phoneticPr fontId="2" type="noConversion"/>
  </si>
  <si>
    <t>O</t>
    <phoneticPr fontId="2" type="noConversion"/>
  </si>
  <si>
    <t>파인만자산운용</t>
    <phoneticPr fontId="2" type="noConversion"/>
  </si>
  <si>
    <t>다올KTBRF일반사모증권투자신탁제2호[채권-재간접형]</t>
    <phoneticPr fontId="2" type="noConversion"/>
  </si>
  <si>
    <t xml:space="preserve">다올KTB글로벌채권ETF일반사모증권제12호[채권-재간접형] </t>
    <phoneticPr fontId="2" type="noConversion"/>
  </si>
  <si>
    <t>-</t>
    <phoneticPr fontId="2" type="noConversion"/>
  </si>
  <si>
    <t>서세희</t>
    <phoneticPr fontId="2" type="noConversion"/>
  </si>
  <si>
    <t>공모/사모</t>
    <phoneticPr fontId="2" type="noConversion"/>
  </si>
  <si>
    <t>공모</t>
    <phoneticPr fontId="2" type="noConversion"/>
  </si>
  <si>
    <t>사모</t>
    <phoneticPr fontId="2" type="noConversion"/>
  </si>
  <si>
    <t>정채은</t>
    <phoneticPr fontId="2" type="noConversion"/>
  </si>
  <si>
    <t>이용준</t>
    <phoneticPr fontId="2" type="noConversion"/>
  </si>
  <si>
    <t>정채은/이용준</t>
    <phoneticPr fontId="2" type="noConversion"/>
  </si>
  <si>
    <t>2017.04.27</t>
    <phoneticPr fontId="2" type="noConversion"/>
  </si>
  <si>
    <t>2016.08.31</t>
    <phoneticPr fontId="2" type="noConversion"/>
  </si>
  <si>
    <t xml:space="preserve">흥국차이나플러스증권자투자신탁 1호 (H) (채권혼합) </t>
    <phoneticPr fontId="2" type="noConversion"/>
  </si>
  <si>
    <t>O</t>
    <phoneticPr fontId="2" type="noConversion"/>
  </si>
  <si>
    <t>2019.12.19</t>
    <phoneticPr fontId="2" type="noConversion"/>
  </si>
  <si>
    <t>한국투자글로벌KPI ASP전문투자형사모투자신탁</t>
    <phoneticPr fontId="2" type="noConversion"/>
  </si>
  <si>
    <t>한국투자글로벌KPI VARDE XIII전문투자형사모투자신탁</t>
    <phoneticPr fontId="2" type="noConversion"/>
  </si>
  <si>
    <t>한국투자글로벌KPIPG2020전문투자형사모투자신탁</t>
    <phoneticPr fontId="2" type="noConversion"/>
  </si>
  <si>
    <t>HSBC</t>
    <phoneticPr fontId="2" type="noConversion"/>
  </si>
  <si>
    <t>키움JP모간일본증권자투자신탁(H)[주식-재간접형]</t>
    <phoneticPr fontId="2" type="noConversion"/>
  </si>
  <si>
    <t>PH07</t>
    <phoneticPr fontId="2" type="noConversion"/>
  </si>
  <si>
    <t>KH18</t>
    <phoneticPr fontId="2" type="noConversion"/>
  </si>
  <si>
    <t>KH19</t>
    <phoneticPr fontId="2" type="noConversion"/>
  </si>
  <si>
    <t>CITI</t>
    <phoneticPr fontId="2" type="noConversion"/>
  </si>
  <si>
    <t>이준/ 이지원</t>
    <phoneticPr fontId="2" type="noConversion"/>
  </si>
  <si>
    <t>하나UBS SmartUPChinaA Share증권투자신탁 제1호 (주식혼합-재간접)</t>
    <phoneticPr fontId="2" type="noConversion"/>
  </si>
  <si>
    <t>하나UBS 글로벌롱숏플러스증권모투자신탁(주식혼합-재간접)</t>
    <phoneticPr fontId="2" type="noConversion"/>
  </si>
  <si>
    <t>UH15</t>
    <phoneticPr fontId="2" type="noConversion"/>
  </si>
  <si>
    <t>UH14</t>
    <phoneticPr fontId="2" type="noConversion"/>
  </si>
  <si>
    <t>27(백만)</t>
    <phoneticPr fontId="2" type="noConversion"/>
  </si>
  <si>
    <t>24(백만)</t>
    <phoneticPr fontId="2" type="noConversion"/>
  </si>
  <si>
    <t>하나UBS China증권모투자신탁(주식)</t>
    <phoneticPr fontId="2" type="noConversion"/>
  </si>
  <si>
    <t xml:space="preserve">키움 HM4 메자닌 전문투자형 사모투자신탁(재간접형) </t>
    <phoneticPr fontId="2" type="noConversion"/>
  </si>
  <si>
    <t>김수영</t>
    <phoneticPr fontId="2" type="noConversion"/>
  </si>
  <si>
    <t>2017.08.03</t>
    <phoneticPr fontId="2" type="noConversion"/>
  </si>
  <si>
    <t>키움쿼터백글로벌EMP로보어드바이저증권투자신탁[주식혼합-재간접형]</t>
    <phoneticPr fontId="2" type="noConversion"/>
  </si>
  <si>
    <t>유미래 사원</t>
    <phoneticPr fontId="2" type="noConversion"/>
  </si>
  <si>
    <t>삼성 가지안텝 전문투자형 사모투자신탁 제1호</t>
    <phoneticPr fontId="2" type="noConversion"/>
  </si>
  <si>
    <t>EUR 88,000,000</t>
    <phoneticPr fontId="2" type="noConversion"/>
  </si>
  <si>
    <t>V002</t>
    <phoneticPr fontId="2" type="noConversion"/>
  </si>
  <si>
    <t>공모</t>
    <phoneticPr fontId="2" type="noConversion"/>
  </si>
  <si>
    <t>우리베트남민영화혼합증권투자신탁1호</t>
    <phoneticPr fontId="2" type="noConversion"/>
  </si>
  <si>
    <t>V003</t>
    <phoneticPr fontId="2" type="noConversion"/>
  </si>
  <si>
    <t>우리베트남민영화혼합증권투자신탁2호</t>
    <phoneticPr fontId="2" type="noConversion"/>
  </si>
  <si>
    <t>삼성 글로벌 인프라 일반사모투자신탁 제3호</t>
    <phoneticPr fontId="2" type="noConversion"/>
  </si>
  <si>
    <t>EUR 400,000,000</t>
    <phoneticPr fontId="2" type="noConversion"/>
  </si>
  <si>
    <t>2016.10</t>
    <phoneticPr fontId="2" type="noConversion"/>
  </si>
  <si>
    <t>글로벌운용본부</t>
  </si>
  <si>
    <t>글로벌운용본부</t>
    <phoneticPr fontId="2" type="noConversion"/>
  </si>
  <si>
    <t>GIS팀(김민혜)</t>
    <phoneticPr fontId="2" type="noConversion"/>
  </si>
  <si>
    <t>글로벌운영본부</t>
    <phoneticPr fontId="2" type="noConversion"/>
  </si>
  <si>
    <t>홍현 매니저</t>
    <phoneticPr fontId="2" type="noConversion"/>
  </si>
  <si>
    <t>설정좌수</t>
    <phoneticPr fontId="2" type="noConversion"/>
  </si>
  <si>
    <t>김경은 사원</t>
    <phoneticPr fontId="2" type="noConversion"/>
  </si>
  <si>
    <t>삼성 Carlyle PE 일반사모투자신탁 제1호</t>
    <phoneticPr fontId="2" type="noConversion"/>
  </si>
  <si>
    <t>삼성 CIP IX 일반사모투자신탁 제1호</t>
    <phoneticPr fontId="2" type="noConversion"/>
  </si>
  <si>
    <t>흥국 그레이트스트레티지해외채권일반사모모투자신탁</t>
    <phoneticPr fontId="2" type="noConversion"/>
  </si>
  <si>
    <t>흥국 그레이트스트레티지해외채권일반사모자투자신탁1호</t>
    <phoneticPr fontId="2" type="noConversion"/>
  </si>
  <si>
    <t>해외채권운용팀 
신준수 부장 추가람 대리</t>
    <phoneticPr fontId="2" type="noConversion"/>
  </si>
  <si>
    <t>해외채권운용팀
신준수 부장 추가람 대리</t>
    <phoneticPr fontId="2" type="noConversion"/>
  </si>
  <si>
    <t>HK51</t>
    <phoneticPr fontId="2" type="noConversion"/>
  </si>
  <si>
    <t>한국투자신종개인연금네비게이터중국본토증권전환형자신탁2호H(주식)</t>
    <phoneticPr fontId="2" type="noConversion"/>
  </si>
  <si>
    <t>유진DEXUS호주부동산일반사모투자신탁[H]적격 1호</t>
    <phoneticPr fontId="2" type="noConversion"/>
  </si>
  <si>
    <t>유진DEXUS호주부동산일반사모투자신탁[H]적격 2호</t>
    <phoneticPr fontId="2" type="noConversion"/>
  </si>
  <si>
    <t>유진DEXUS호주부동산3H환헤지전략추구형</t>
    <phoneticPr fontId="2" type="noConversion"/>
  </si>
  <si>
    <t>유진DEXUS호주부동산일반사모투자신탁[H]적격 4호</t>
    <phoneticPr fontId="2" type="noConversion"/>
  </si>
  <si>
    <t>GIS1팀/ 이동석</t>
    <phoneticPr fontId="2" type="noConversion"/>
  </si>
  <si>
    <t>현대AVIATION일반사모투자신탁 8호</t>
    <phoneticPr fontId="2" type="noConversion"/>
  </si>
  <si>
    <t>현대AVIATION일반사모투자신탁14-2호[사모사채]</t>
    <phoneticPr fontId="2" type="noConversion"/>
  </si>
  <si>
    <t>현대AVIATION일반사모투자신탁14-3호[사모사채]</t>
    <phoneticPr fontId="2" type="noConversion"/>
  </si>
  <si>
    <t>현대 AVIATION 일반사모투자신탁 13호</t>
    <phoneticPr fontId="2" type="noConversion"/>
  </si>
  <si>
    <t>현대 AVIATION 사모특별자산투자신탁 6호[대출채권]</t>
    <phoneticPr fontId="2" type="noConversion"/>
  </si>
  <si>
    <t>현대 Star일반사모부동산투자신탁 4호</t>
    <phoneticPr fontId="2" type="noConversion"/>
  </si>
  <si>
    <t>삼성 CDB 전문투자형사모특별자산 제1호</t>
  </si>
  <si>
    <t>삼성 글로벌 인프라 일반사모투자신탁 제2-1호</t>
  </si>
  <si>
    <t>삼성IFM글로벌인프라선순위전문투자형사모투자신탁 제1호</t>
  </si>
  <si>
    <t>삼성Blackstone글로벌인프라일반사모투자신탁 제1호</t>
  </si>
  <si>
    <t>삼성BlackstonePE일반사모투자신탁 제1호</t>
  </si>
  <si>
    <t>삼성 PE Manager 2022 일반사모 제1호</t>
  </si>
  <si>
    <t>삼성 Co-Investment 2021 일반사모1</t>
  </si>
  <si>
    <t>삼성 PE Manager 2019 일반사모투자신탁 제2호</t>
  </si>
  <si>
    <t>삼성글로벌세컨더리2023일반사모투자신탁 제1호</t>
  </si>
  <si>
    <t>삼성DIF글로벌인프라일반사모투자신탁 제2호</t>
  </si>
  <si>
    <t>삼성AXIUM전문투자형사모 제1호</t>
  </si>
  <si>
    <t>UK Solar선순위대출채권전문사모특별자산[대출채권]</t>
  </si>
  <si>
    <t>삼성유럽통신타워인수금융일반사모투자신탁 제1호</t>
  </si>
  <si>
    <t>UK공항 후순위대출 전문투자형사모투자신탁 제1호</t>
  </si>
  <si>
    <t>삼성칠레Solar전문투자형사모 제1호</t>
  </si>
  <si>
    <t>삼성 글로벌 인프라 일반사모투자신탁 제2-2호</t>
  </si>
  <si>
    <t>삼성AXIUM전문투자형사모 제2호</t>
  </si>
  <si>
    <t>Kookmin</t>
  </si>
  <si>
    <t>Shinhan</t>
  </si>
  <si>
    <t>번호</t>
    <phoneticPr fontId="2" type="noConversion"/>
  </si>
  <si>
    <t>복제펀드코드</t>
    <phoneticPr fontId="2" type="noConversion"/>
  </si>
  <si>
    <t>삼성RiverRock유럽PDF 일반사모투자신탁 제3호</t>
  </si>
  <si>
    <t>삼성 인프라전략 일반사모투자신탁 제1호</t>
  </si>
  <si>
    <t>삼성유럽인프라대출일반사모투자신탁제1호</t>
  </si>
  <si>
    <t>삼성 파워플랜트전문투자형사모특별자산 제1호</t>
  </si>
  <si>
    <t>삼성미국태양광전문투자형사모 제1호</t>
  </si>
  <si>
    <t>삼성Ardian일반사모 제1호</t>
  </si>
  <si>
    <t>UK가스인프라전문투자형사모투자신탁 제1호</t>
  </si>
  <si>
    <t>UK가스인프라전문투자형사모투자신탁 제2호</t>
  </si>
  <si>
    <t>UK가스인프라전문투자형사모투자신탁 제3호</t>
  </si>
  <si>
    <t>삼성통신타워대출일반사모투자신탁 제2호[인프라]</t>
  </si>
  <si>
    <t>1MGZ00</t>
  </si>
  <si>
    <t>삼성 PIS 글로벌 인프라 전문투자형 사모투자신탁 제1호</t>
  </si>
  <si>
    <t>삼성 통신타워대출일반사모투자신탁 제1호</t>
  </si>
  <si>
    <t>삼성 글로벌인프라전문투자형사모투자신탁 제1호</t>
  </si>
  <si>
    <t>NACF</t>
    <phoneticPr fontId="2" type="noConversion"/>
  </si>
  <si>
    <t>상환완료</t>
    <phoneticPr fontId="2" type="noConversion"/>
  </si>
  <si>
    <t>06G59</t>
    <phoneticPr fontId="2" type="noConversion"/>
  </si>
  <si>
    <t>SHB</t>
    <phoneticPr fontId="2" type="noConversion"/>
  </si>
  <si>
    <t>삼성DIF글로벌인프라전문투자형사모투자신탁 제1호</t>
    <phoneticPr fontId="2" type="noConversion"/>
  </si>
  <si>
    <t>한국투자Hamilton lane SCOPE일반사모자투자신탁H</t>
    <phoneticPr fontId="2" type="noConversion"/>
  </si>
  <si>
    <t>2023.10.24</t>
    <phoneticPr fontId="2" type="noConversion"/>
  </si>
  <si>
    <t>06Z07</t>
    <phoneticPr fontId="2" type="noConversion"/>
  </si>
  <si>
    <t>06Y13</t>
    <phoneticPr fontId="2" type="noConversion"/>
  </si>
  <si>
    <t>한국투자HLGLOBALPRIVATEASSET일반사모자투자신탁5호H(재간접)(모)</t>
    <phoneticPr fontId="2" type="noConversion"/>
  </si>
  <si>
    <t>2023.01.19</t>
    <phoneticPr fontId="2" type="noConversion"/>
  </si>
  <si>
    <t>06Y39</t>
    <phoneticPr fontId="2" type="noConversion"/>
  </si>
  <si>
    <t>06X92</t>
    <phoneticPr fontId="2" type="noConversion"/>
  </si>
  <si>
    <t>한국투자HLGLOBALPRIVATEASSET일반사모자투자신탁4호H(재간접형)(모)</t>
    <phoneticPr fontId="2" type="noConversion"/>
  </si>
  <si>
    <t>2022.09.22</t>
    <phoneticPr fontId="2" type="noConversion"/>
  </si>
  <si>
    <t>리테일</t>
    <phoneticPr fontId="2" type="noConversion"/>
  </si>
  <si>
    <t>한국투자아폴로AAA일반사모자투자신탁H(모)</t>
    <phoneticPr fontId="2" type="noConversion"/>
  </si>
  <si>
    <t>2023.06.19</t>
    <phoneticPr fontId="2" type="noConversion"/>
  </si>
  <si>
    <t>05F09</t>
    <phoneticPr fontId="2" type="noConversion"/>
  </si>
  <si>
    <t>GAI HF팀 김태현</t>
    <phoneticPr fontId="2" type="noConversion"/>
  </si>
  <si>
    <t>한국투자사모퍼스트CTA증권투자신탁3호(주식혼합-재간접형)</t>
    <phoneticPr fontId="2" type="noConversion"/>
  </si>
  <si>
    <t>2011.05.16</t>
    <phoneticPr fontId="2" type="noConversion"/>
  </si>
  <si>
    <t>D575</t>
    <phoneticPr fontId="2" type="noConversion"/>
  </si>
  <si>
    <t>이주연</t>
    <phoneticPr fontId="2" type="noConversion"/>
  </si>
  <si>
    <t>흥국더파트너스일반사모투자신탁(H)</t>
    <phoneticPr fontId="2" type="noConversion"/>
  </si>
  <si>
    <t>삼성AXIUM전문투자형사모투자신탁 제3호</t>
    <phoneticPr fontId="2" type="noConversion"/>
  </si>
  <si>
    <t>삼성AXIUM일반사모 제4호</t>
    <phoneticPr fontId="2" type="noConversion"/>
  </si>
  <si>
    <t>삼성미주인프라선순위일반사모투자신탁 제1호</t>
    <phoneticPr fontId="2" type="noConversion"/>
  </si>
  <si>
    <t xml:space="preserve">삼성PEManager 2022 일반사모투자신탁 제2호 </t>
    <phoneticPr fontId="2" type="noConversion"/>
  </si>
  <si>
    <t>삼성인프라전략일반사모투자신탁 제2호</t>
    <phoneticPr fontId="2" type="noConversion"/>
  </si>
  <si>
    <t>2023.11.10</t>
    <phoneticPr fontId="2" type="noConversion"/>
  </si>
  <si>
    <t>SCB</t>
    <phoneticPr fontId="2" type="noConversion"/>
  </si>
  <si>
    <t>HANA</t>
    <phoneticPr fontId="2" type="noConversion"/>
  </si>
  <si>
    <t>Kookmin</t>
    <phoneticPr fontId="2" type="noConversion"/>
  </si>
  <si>
    <t>Shinhan</t>
    <phoneticPr fontId="2" type="noConversion"/>
  </si>
  <si>
    <t>2023.10.25</t>
    <phoneticPr fontId="2" type="noConversion"/>
  </si>
  <si>
    <t>하나자산운용</t>
  </si>
  <si>
    <t>하나자산운용</t>
    <phoneticPr fontId="2" type="noConversion"/>
  </si>
  <si>
    <t>하나 글로벌증권모투자신탁[채권-재간접형]</t>
    <phoneticPr fontId="2" type="noConversion"/>
  </si>
  <si>
    <t>하나 글로벌증권모투자신탁[주식-재간접형]</t>
    <phoneticPr fontId="2" type="noConversion"/>
  </si>
  <si>
    <t>하나 글로벌이머징국공채증권모투자신탁[채권-재간접형]</t>
    <phoneticPr fontId="2" type="noConversion"/>
  </si>
  <si>
    <t>하나 유로하이일드증권모투자신탁[채권-재간접형]</t>
    <phoneticPr fontId="2" type="noConversion"/>
  </si>
  <si>
    <t>하나 유럽오퍼튜니티증권모투자신탁[주식-재간접형]</t>
    <phoneticPr fontId="2" type="noConversion"/>
  </si>
  <si>
    <t>하나 유럽포커스증권모투자신탁[주식-재간접형]</t>
    <phoneticPr fontId="2" type="noConversion"/>
  </si>
  <si>
    <t>하나 글로벌롱숏플러스증권모투자신탁[주식혼합-재간접형]</t>
    <phoneticPr fontId="2" type="noConversion"/>
  </si>
  <si>
    <t>하나 미국토탈일드증권모투자신탁[주식-재간접형]</t>
    <phoneticPr fontId="2" type="noConversion"/>
  </si>
  <si>
    <t>하나 글로벌4차산업1등주플러스증권모투자신탁[주식]</t>
    <phoneticPr fontId="2" type="noConversion"/>
  </si>
  <si>
    <t>하나 PIMCO글로벌인컴혼합자산모투자신탁[재간접형]</t>
    <phoneticPr fontId="2" type="noConversion"/>
  </si>
  <si>
    <t>하나 올차이나증권모투자신탁[주식-재간접형]</t>
    <phoneticPr fontId="2" type="noConversion"/>
  </si>
  <si>
    <t>하나 글로벌리츠온리원부동산모투자신탁[재간접형]</t>
    <phoneticPr fontId="2" type="noConversion"/>
  </si>
  <si>
    <t>하나 미국테크증권모투자신탁[주식-재간접형]</t>
    <phoneticPr fontId="2" type="noConversion"/>
  </si>
  <si>
    <t>하나 차이나대표증권모투자신탁[주식-재간접형]</t>
    <phoneticPr fontId="2" type="noConversion"/>
  </si>
  <si>
    <t>하나 글로벌인프라증권모투자신탁[주식]</t>
    <phoneticPr fontId="2" type="noConversion"/>
  </si>
  <si>
    <t>하나 글로벌리츠부동산모투자신탁[재간접형]</t>
    <phoneticPr fontId="2" type="noConversion"/>
  </si>
  <si>
    <t>하나 SmartUpChinaAShare증권투자신탁(제1호)[주식혼합-재간접형]</t>
    <phoneticPr fontId="2" type="noConversion"/>
  </si>
  <si>
    <t>하나 PIMCO글로벌인컴혼합자산자투자신탁(H)[재간접형]</t>
    <phoneticPr fontId="2" type="noConversion"/>
  </si>
  <si>
    <t>하나 월지급PIMCO글로벌인컴혼합자산자투자신탁[재간접형](H)</t>
    <phoneticPr fontId="2" type="noConversion"/>
  </si>
  <si>
    <t>하나 재팬코어플러스증권투자신탁[주식]</t>
    <phoneticPr fontId="2" type="noConversion"/>
  </si>
  <si>
    <t>하나 미국테크증권자투자신탁(H)[주식-재간접형]</t>
    <phoneticPr fontId="2" type="noConversion"/>
  </si>
  <si>
    <t>하나 아시안리츠부동산투자신탁[재간접형]</t>
    <phoneticPr fontId="2" type="noConversion"/>
  </si>
  <si>
    <t>하나 글로벌마켓알파일반사모투자신탁1호</t>
    <phoneticPr fontId="2" type="noConversion"/>
  </si>
  <si>
    <t>하나 중국소비재사모증권투자신탁[주식-재간접형]</t>
    <phoneticPr fontId="2" type="noConversion"/>
  </si>
  <si>
    <t>3G900</t>
    <phoneticPr fontId="2" type="noConversion"/>
  </si>
  <si>
    <t>하나레그메이슨아시안본드혼합자산모투자신탁[재간접형]</t>
    <phoneticPr fontId="2" type="noConversion"/>
  </si>
  <si>
    <t>2019.09.20</t>
    <phoneticPr fontId="2" type="noConversion"/>
  </si>
  <si>
    <t>DL01</t>
    <phoneticPr fontId="2" type="noConversion"/>
  </si>
  <si>
    <t>HSBC</t>
    <phoneticPr fontId="2" type="noConversion"/>
  </si>
  <si>
    <t>우리미국채목표전환형증권투자신탁(H)[채권-재간접형]</t>
    <phoneticPr fontId="2" type="noConversion"/>
  </si>
  <si>
    <t>한국투자글로벌칼라일일반사모투자신탁</t>
    <phoneticPr fontId="2" type="noConversion"/>
  </si>
  <si>
    <t>글로벌주식팀</t>
    <phoneticPr fontId="2" type="noConversion"/>
  </si>
  <si>
    <t>키움키워드림TDF2055증권투자신탁제1호[혼합-재간접형]</t>
    <phoneticPr fontId="2" type="noConversion"/>
  </si>
  <si>
    <t>06X28</t>
    <phoneticPr fontId="2" type="noConversion"/>
  </si>
  <si>
    <t>HANA</t>
    <phoneticPr fontId="2" type="noConversion"/>
  </si>
  <si>
    <t>06Z18</t>
    <phoneticPr fontId="2" type="noConversion"/>
  </si>
  <si>
    <t>CITI</t>
    <phoneticPr fontId="2" type="noConversion"/>
  </si>
  <si>
    <t>1C755</t>
    <phoneticPr fontId="2" type="noConversion"/>
  </si>
  <si>
    <t xml:space="preserve">다올글로벌채권EMP일반사모증권투자신탁제1호[채권-재간접형] </t>
    <phoneticPr fontId="2" type="noConversion"/>
  </si>
  <si>
    <t>06Z24</t>
    <phoneticPr fontId="2" type="noConversion"/>
  </si>
  <si>
    <t>2023.12.11</t>
    <phoneticPr fontId="2" type="noConversion"/>
  </si>
  <si>
    <t>NHIS</t>
    <phoneticPr fontId="2" type="noConversion"/>
  </si>
  <si>
    <t>하나KTOP차이나H증권상장지주투자신탁[주식](H)</t>
    <phoneticPr fontId="2" type="noConversion"/>
  </si>
  <si>
    <t>2023.12.08</t>
    <phoneticPr fontId="2" type="noConversion"/>
  </si>
  <si>
    <t>DL09</t>
    <phoneticPr fontId="2" type="noConversion"/>
  </si>
  <si>
    <t>우리미국채목표전환형증권투자신탁2호(H)[채권-재간접형]</t>
    <phoneticPr fontId="2" type="noConversion"/>
  </si>
  <si>
    <t>KB 글로벌 아폴로 ADS 일반 사모 모투자신탁 제1호(USD)(재간접형)(적격)</t>
    <phoneticPr fontId="2" type="noConversion"/>
  </si>
  <si>
    <t>KB 글로벌 아폴로 ADS 일반 사모 자투자신탁 제1호(재간접형)(H)(적격)</t>
    <phoneticPr fontId="2" type="noConversion"/>
  </si>
  <si>
    <t>KB 글로벌 아폴로 ADS 일반 사모 자투자신탁 제1호(USD)(재간접형)(적격)</t>
    <phoneticPr fontId="2" type="noConversion"/>
  </si>
  <si>
    <t>KB 골드만삭스 PDF 일반사모 투자신탁 제1호(재간접형)(H)(적격)</t>
    <phoneticPr fontId="2" type="noConversion"/>
  </si>
  <si>
    <t>HSBC</t>
    <phoneticPr fontId="2" type="noConversion"/>
  </si>
  <si>
    <t>현대인베스트칼라일크레딧오퍼튜니티일반사모투자신탁16호</t>
    <phoneticPr fontId="2" type="noConversion"/>
  </si>
  <si>
    <t>2019.07.25</t>
    <phoneticPr fontId="2" type="noConversion"/>
  </si>
  <si>
    <t>우리자산운용 TY59펀드</t>
    <phoneticPr fontId="2" type="noConversion"/>
  </si>
  <si>
    <t>UK바이오매스발전일반사모투자신탁 제1호</t>
    <phoneticPr fontId="2" type="noConversion"/>
  </si>
  <si>
    <t>x</t>
    <phoneticPr fontId="2" type="noConversion"/>
  </si>
  <si>
    <t>CITI</t>
    <phoneticPr fontId="2" type="noConversion"/>
  </si>
  <si>
    <t>삼성Pemberton MMDF IV일반사모투자신탁제1호</t>
  </si>
  <si>
    <t>2024.01.</t>
    <phoneticPr fontId="2" type="noConversion"/>
  </si>
  <si>
    <t>EUR 60000000</t>
    <phoneticPr fontId="2" type="noConversion"/>
  </si>
  <si>
    <t>SCB</t>
    <phoneticPr fontId="2" type="noConversion"/>
  </si>
  <si>
    <t>기준가</t>
    <phoneticPr fontId="2" type="noConversion"/>
  </si>
  <si>
    <t>한국투자칼라일CLO일반사모자투자신탁3호H</t>
    <phoneticPr fontId="2" type="noConversion"/>
  </si>
  <si>
    <t>2024.02.18</t>
    <phoneticPr fontId="2" type="noConversion"/>
  </si>
  <si>
    <t>사모</t>
    <phoneticPr fontId="2" type="noConversion"/>
  </si>
  <si>
    <t>06Z25</t>
  </si>
  <si>
    <t>한국투자칼라일CLO일반사모자투자신탁3호H</t>
  </si>
  <si>
    <t>19S2</t>
    <phoneticPr fontId="2" type="noConversion"/>
  </si>
  <si>
    <t>19S5</t>
    <phoneticPr fontId="2" type="noConversion"/>
  </si>
  <si>
    <t>19S1</t>
    <phoneticPr fontId="2" type="noConversion"/>
  </si>
  <si>
    <t>SS14</t>
    <phoneticPr fontId="2" type="noConversion"/>
  </si>
  <si>
    <t>SS15</t>
    <phoneticPr fontId="2" type="noConversion"/>
  </si>
  <si>
    <t>박수민</t>
    <phoneticPr fontId="2" type="noConversion"/>
  </si>
  <si>
    <t>07P52</t>
    <phoneticPr fontId="2" type="noConversion"/>
  </si>
  <si>
    <t>HSBC</t>
    <phoneticPr fontId="2" type="noConversion"/>
  </si>
  <si>
    <t>2024.01.25</t>
    <phoneticPr fontId="2" type="noConversion"/>
  </si>
  <si>
    <t>GH07</t>
    <phoneticPr fontId="2" type="noConversion"/>
  </si>
  <si>
    <t>PH06</t>
    <phoneticPr fontId="2" type="noConversion"/>
  </si>
  <si>
    <t>WOORI</t>
    <phoneticPr fontId="2" type="noConversion"/>
  </si>
  <si>
    <t xml:space="preserve"> 사모</t>
    <phoneticPr fontId="2" type="noConversion"/>
  </si>
  <si>
    <t>하나CU글로벌EMP일반사모증권투자신탁[주식-재간접형](전문)</t>
  </si>
  <si>
    <t>하나CU글로벌EMP일반사모증권투자신탁[주식-재간접형](전문)</t>
    <phoneticPr fontId="2" type="noConversion"/>
  </si>
  <si>
    <t>2023.11.27</t>
    <phoneticPr fontId="2" type="noConversion"/>
  </si>
  <si>
    <t>키움글로벌구독경제증권자투자신탁2호(H)[주식]</t>
    <phoneticPr fontId="2" type="noConversion"/>
  </si>
  <si>
    <t>06Z55</t>
    <phoneticPr fontId="2" type="noConversion"/>
  </si>
  <si>
    <t>06Z53</t>
    <phoneticPr fontId="2" type="noConversion"/>
  </si>
  <si>
    <t>06Z54</t>
    <phoneticPr fontId="2" type="noConversion"/>
  </si>
  <si>
    <t>CITI</t>
    <phoneticPr fontId="2" type="noConversion"/>
  </si>
  <si>
    <t>KB 북미 Sound Point 일반 사모 특별자산 투자신탁 제3호(전문)</t>
  </si>
  <si>
    <t>KB 북미 Sound Point 일반 사모 특별자산 투자신탁 제3호(전문)</t>
    <phoneticPr fontId="2" type="noConversion"/>
  </si>
  <si>
    <t>2024.02.07</t>
    <phoneticPr fontId="2" type="noConversion"/>
  </si>
  <si>
    <t>18U8</t>
  </si>
  <si>
    <t>18U8</t>
    <phoneticPr fontId="2" type="noConversion"/>
  </si>
  <si>
    <t>06Z20</t>
    <phoneticPr fontId="2" type="noConversion"/>
  </si>
  <si>
    <t>PR06</t>
    <phoneticPr fontId="2" type="noConversion"/>
  </si>
  <si>
    <t>PR07</t>
    <phoneticPr fontId="2" type="noConversion"/>
  </si>
  <si>
    <t>WOORI</t>
    <phoneticPr fontId="2" type="noConversion"/>
  </si>
  <si>
    <t>1B05</t>
    <phoneticPr fontId="2" type="noConversion"/>
  </si>
  <si>
    <t>2024.02.20</t>
    <phoneticPr fontId="2" type="noConversion"/>
  </si>
  <si>
    <t>CITI</t>
    <phoneticPr fontId="2" type="noConversion"/>
  </si>
  <si>
    <t>김경은 사원</t>
    <phoneticPr fontId="2" type="noConversion"/>
  </si>
  <si>
    <t>삼성 PE 프라임 리턴 일반사모투자신탁 제1호</t>
    <phoneticPr fontId="2" type="noConversion"/>
  </si>
  <si>
    <t>2024.01.05</t>
    <phoneticPr fontId="2" type="noConversion"/>
  </si>
  <si>
    <t>USD 420000000</t>
    <phoneticPr fontId="2" type="noConversion"/>
  </si>
  <si>
    <t>NACF</t>
    <phoneticPr fontId="2" type="noConversion"/>
  </si>
  <si>
    <t>2022.10.13</t>
    <phoneticPr fontId="2" type="noConversion"/>
  </si>
  <si>
    <t>2024.02.14</t>
    <phoneticPr fontId="2" type="noConversion"/>
  </si>
  <si>
    <t>하나 글로벌ETF일반사모투자신탁제5호(전문)</t>
    <phoneticPr fontId="2" type="noConversion"/>
  </si>
  <si>
    <t>키움글로벌파도타기EMP증권투자신탁[주식혼합-재간접형]</t>
    <phoneticPr fontId="2" type="noConversion"/>
  </si>
  <si>
    <t>키움글로벌주식트렌드EMP증권투자신탁[주식-재간접형]</t>
    <phoneticPr fontId="2" type="noConversion"/>
  </si>
  <si>
    <t>이지원</t>
    <phoneticPr fontId="2" type="noConversion"/>
  </si>
  <si>
    <t>CITI</t>
    <phoneticPr fontId="2" type="noConversion"/>
  </si>
  <si>
    <t>DB MetlifeMiddleMarket일반사모투자신탁제1호</t>
  </si>
  <si>
    <t>우리프랭클린K2멀티전략증권자투자신탁(주식혼합-재간접형)</t>
    <phoneticPr fontId="2" type="noConversion"/>
  </si>
  <si>
    <t>우리재팬증권자투자신탁(주식)</t>
    <phoneticPr fontId="2" type="noConversion"/>
  </si>
  <si>
    <t>우리재팬증권자투자신탁(E)(주식)</t>
    <phoneticPr fontId="2" type="noConversion"/>
  </si>
  <si>
    <t>우리템플턴글로벌증권모투자신탁(주식)</t>
    <phoneticPr fontId="2" type="noConversion"/>
  </si>
  <si>
    <t>우리템플턴유로피언증권모투자신탁(주식)</t>
    <phoneticPr fontId="2" type="noConversion"/>
  </si>
  <si>
    <t>키움글로벌반도체Smart Investor목표전환증권투자신탁제2호</t>
  </si>
  <si>
    <t>키움글로벌반도체Smart Investor분할매수증권투자신탁</t>
  </si>
  <si>
    <t>CITI</t>
    <phoneticPr fontId="2" type="noConversion"/>
  </si>
  <si>
    <t>HSBC</t>
    <phoneticPr fontId="2" type="noConversion"/>
  </si>
  <si>
    <t>HSBC</t>
    <phoneticPr fontId="2" type="noConversion"/>
  </si>
  <si>
    <t>06Z71</t>
    <phoneticPr fontId="2" type="noConversion"/>
  </si>
  <si>
    <t>예탁원코드</t>
    <phoneticPr fontId="2" type="noConversion"/>
  </si>
  <si>
    <t>신한자산</t>
    <phoneticPr fontId="2" type="noConversion"/>
  </si>
  <si>
    <t>2P2010</t>
    <phoneticPr fontId="2" type="noConversion"/>
  </si>
  <si>
    <t>공모주달러인컴일반사모제1호(USD)[채권]</t>
    <phoneticPr fontId="2" type="noConversion"/>
  </si>
  <si>
    <t>USD 20,000,000</t>
    <phoneticPr fontId="2" type="noConversion"/>
  </si>
  <si>
    <t>06Y97</t>
    <phoneticPr fontId="2" type="noConversion"/>
  </si>
  <si>
    <t>한국투자글로벌해밀턴레인GPA일반사모투자신탁H</t>
    <phoneticPr fontId="2" type="noConversion"/>
  </si>
  <si>
    <t>2024.04.30</t>
    <phoneticPr fontId="2" type="noConversion"/>
  </si>
  <si>
    <t>06W83</t>
    <phoneticPr fontId="2" type="noConversion"/>
  </si>
  <si>
    <t>HANA</t>
    <phoneticPr fontId="2" type="noConversion"/>
  </si>
  <si>
    <t>SHB</t>
    <phoneticPr fontId="2" type="noConversion"/>
  </si>
  <si>
    <t>HANA</t>
    <phoneticPr fontId="2" type="noConversion"/>
  </si>
  <si>
    <t>유진DEXUS호주부동산일반사모투자신탁[H]적격 3호</t>
  </si>
  <si>
    <t>KRZ501948030</t>
  </si>
  <si>
    <t>KRZ501948040</t>
  </si>
  <si>
    <t>KRZ502016340</t>
  </si>
  <si>
    <t>KRZ502090020</t>
  </si>
  <si>
    <t>KRZ502208690</t>
  </si>
  <si>
    <t>KRZ502208700</t>
  </si>
  <si>
    <t>KRZ502211911</t>
  </si>
  <si>
    <t>KRZ502267111</t>
  </si>
  <si>
    <t>KRZ502324671</t>
  </si>
  <si>
    <t>KRZ502376011</t>
  </si>
  <si>
    <t>KRZ502259990</t>
  </si>
  <si>
    <t>KRZ501863161</t>
  </si>
  <si>
    <t>KRZ502140781</t>
  </si>
  <si>
    <t>KRZ502431040</t>
  </si>
  <si>
    <t>KRZ502478071</t>
  </si>
  <si>
    <t>KRZ502506390</t>
  </si>
  <si>
    <t>KRZ502459040</t>
  </si>
  <si>
    <t>KRZ502537757</t>
  </si>
  <si>
    <t>KRZ501984861</t>
  </si>
  <si>
    <t>KRZ502510920</t>
  </si>
  <si>
    <t>KRZ502373860</t>
  </si>
  <si>
    <t>KRZ502567820</t>
  </si>
  <si>
    <t>KRZ500396330</t>
  </si>
  <si>
    <t>예탁원종목코드</t>
    <phoneticPr fontId="2" type="noConversion"/>
  </si>
  <si>
    <t>KRZ502198250</t>
  </si>
  <si>
    <t>KRZ502402590</t>
  </si>
  <si>
    <t>KRZ502502850</t>
  </si>
  <si>
    <t>KRZ502561890</t>
  </si>
  <si>
    <t>KRZ502542000</t>
  </si>
  <si>
    <t>KRZ502100790</t>
  </si>
  <si>
    <t>KRZ502559210</t>
  </si>
  <si>
    <t>KRZ502502300</t>
  </si>
  <si>
    <t>KRZ502570690</t>
  </si>
  <si>
    <t>KRZ502144820</t>
  </si>
  <si>
    <t>KRZ502372490</t>
  </si>
  <si>
    <t>KRZ502390380</t>
  </si>
  <si>
    <t>KRZ500648411</t>
  </si>
  <si>
    <t>KRZ502340747</t>
  </si>
  <si>
    <t>KRZ502438012</t>
  </si>
  <si>
    <t>KRZ50154662E</t>
  </si>
  <si>
    <t>KRZ501829231</t>
  </si>
  <si>
    <t>KR5707016T47</t>
  </si>
  <si>
    <t>KR5707016TB2</t>
  </si>
  <si>
    <t>KRZ502574501</t>
  </si>
  <si>
    <t xml:space="preserve"> </t>
  </si>
  <si>
    <t>KRZ500582960</t>
  </si>
  <si>
    <t>KRZ501828172</t>
  </si>
  <si>
    <t>KRZ501713391</t>
  </si>
  <si>
    <t>KRZ500366431</t>
  </si>
  <si>
    <t>KRZ501391211</t>
  </si>
  <si>
    <t>KRZ500395690</t>
  </si>
  <si>
    <t>KRZ501237481</t>
  </si>
  <si>
    <t>KRZ500311320</t>
  </si>
  <si>
    <t>KRZ501982201</t>
  </si>
  <si>
    <t>KRZ502051111</t>
  </si>
  <si>
    <t>KRZ500328831</t>
  </si>
  <si>
    <t>KRZ502035651</t>
  </si>
  <si>
    <t>KRZ502394551</t>
  </si>
  <si>
    <t>KRZ501714671</t>
  </si>
  <si>
    <t>KRZ501714681</t>
  </si>
  <si>
    <t>KRZ502092124</t>
  </si>
  <si>
    <t>KRZ501778361</t>
  </si>
  <si>
    <t>KRZ501778371</t>
  </si>
  <si>
    <t>KRZ501349891</t>
  </si>
  <si>
    <t>KRZ501859052</t>
  </si>
  <si>
    <t>KRZ501829511</t>
  </si>
  <si>
    <t>KRZ501914111</t>
  </si>
  <si>
    <t>KRZ500147624</t>
  </si>
  <si>
    <t>KRZ500168834</t>
  </si>
  <si>
    <t>KRZ500222442</t>
  </si>
  <si>
    <t>KRZ500321151</t>
  </si>
  <si>
    <t>KRZ500656010</t>
  </si>
  <si>
    <t>KRZ500628471</t>
  </si>
  <si>
    <t>KRZ500323660</t>
  </si>
  <si>
    <t>KRZ502047236</t>
  </si>
  <si>
    <t>KRZ500265132</t>
  </si>
  <si>
    <t>KRZ502120370</t>
  </si>
  <si>
    <t>KRZ501964311</t>
  </si>
  <si>
    <t>KRZ502557162</t>
  </si>
  <si>
    <t>KRZ500588581</t>
  </si>
  <si>
    <t>KRZ502047229</t>
  </si>
  <si>
    <t>KRZ502061841</t>
  </si>
  <si>
    <t>KRZ502073991</t>
  </si>
  <si>
    <t>KRZ502405320</t>
  </si>
  <si>
    <t>KRZ502384141</t>
  </si>
  <si>
    <t>KRZ500317261</t>
  </si>
  <si>
    <t>KRZ501971461</t>
  </si>
  <si>
    <t>KRZ500650111</t>
  </si>
  <si>
    <t>KRZ501715050</t>
  </si>
  <si>
    <t>KRZ501918450</t>
  </si>
  <si>
    <t>KRZ501198891</t>
  </si>
  <si>
    <t>KRZ500242610</t>
  </si>
  <si>
    <t>KRZ501784460</t>
  </si>
  <si>
    <t>KRZ502518880</t>
  </si>
  <si>
    <t>KRZ501980190</t>
  </si>
  <si>
    <t>KRZ501925560</t>
  </si>
  <si>
    <t>KRZ501872940</t>
  </si>
  <si>
    <t>KRZ500343080</t>
  </si>
  <si>
    <t>KRZ500236671</t>
  </si>
  <si>
    <t>KRZ502193850</t>
  </si>
  <si>
    <t>KRZ502388360</t>
  </si>
  <si>
    <t>KRZ502520611</t>
  </si>
  <si>
    <t>KRZ502458701</t>
  </si>
  <si>
    <t>KRZ502317590</t>
  </si>
  <si>
    <t>KRZ502406450</t>
  </si>
  <si>
    <t>KRZ502370360</t>
  </si>
  <si>
    <t>KR7472350008</t>
  </si>
  <si>
    <t>KRZ501925570</t>
    <phoneticPr fontId="2" type="noConversion"/>
  </si>
  <si>
    <t>KRZ500227720</t>
  </si>
  <si>
    <t>KRZ501906680</t>
  </si>
  <si>
    <t>KRZ501485362</t>
  </si>
  <si>
    <t>KRZ501816851</t>
  </si>
  <si>
    <t>KRZ500608691</t>
  </si>
  <si>
    <t>KRZ500403931</t>
  </si>
  <si>
    <t>KRZ500312651</t>
  </si>
  <si>
    <t>KRZ502048754</t>
  </si>
  <si>
    <t>KRZ502055551</t>
  </si>
  <si>
    <t>KRZ502228201</t>
  </si>
  <si>
    <t>KRZ502103000</t>
  </si>
  <si>
    <t>KRZ502211660</t>
  </si>
  <si>
    <t>KRZ502289920</t>
  </si>
  <si>
    <t>KRZ502334910</t>
  </si>
  <si>
    <t>KRZ502344060</t>
  </si>
  <si>
    <t>KRZ502350510</t>
  </si>
  <si>
    <t>KRZ502366510</t>
  </si>
  <si>
    <t>KRZ502403220</t>
  </si>
  <si>
    <t>KRZ502407890</t>
  </si>
  <si>
    <t>KRZ502434130</t>
  </si>
  <si>
    <t>KRZ502439870</t>
  </si>
  <si>
    <t>KRZ502472780</t>
  </si>
  <si>
    <t>KRZ502554570</t>
  </si>
  <si>
    <t>KRZ502169371</t>
  </si>
  <si>
    <t>KRZ500223611</t>
  </si>
  <si>
    <t>KRZ500612372</t>
  </si>
  <si>
    <t>KRZ502568791</t>
  </si>
  <si>
    <t>KRZ502537131</t>
  </si>
  <si>
    <t>KRZ502525671</t>
  </si>
  <si>
    <t>KRZ502553931</t>
  </si>
  <si>
    <t>KRZ501699740</t>
  </si>
  <si>
    <t>KRZ502580200</t>
  </si>
  <si>
    <t>KRZ502064110</t>
  </si>
  <si>
    <t>KRZ502388520</t>
  </si>
  <si>
    <t>KRZ502471480</t>
  </si>
  <si>
    <t>KRZ500654990</t>
  </si>
  <si>
    <t>KRZ500665170</t>
  </si>
  <si>
    <t>KRZ501844120</t>
  </si>
  <si>
    <t>KRZ502029950</t>
  </si>
  <si>
    <t>KRZ502193520</t>
  </si>
  <si>
    <t>KRZ502193570</t>
  </si>
  <si>
    <t>KRZ502163410</t>
  </si>
  <si>
    <t>KRZ502430790</t>
  </si>
  <si>
    <t>KRZ502006850</t>
  </si>
  <si>
    <t>KRZ502061200</t>
  </si>
  <si>
    <t>예탁원종목코드</t>
    <phoneticPr fontId="2" type="noConversion"/>
  </si>
  <si>
    <t>KRZ502445580</t>
  </si>
  <si>
    <t>KRZ502030190</t>
  </si>
  <si>
    <t>KRZ502077831</t>
  </si>
  <si>
    <t>KRZ502138070</t>
  </si>
  <si>
    <t>KRZ502118880</t>
  </si>
  <si>
    <t>KRZ502367190</t>
  </si>
  <si>
    <t>KRZ502441510</t>
  </si>
  <si>
    <t>KRZ502008710</t>
  </si>
  <si>
    <t>KRZ502229280</t>
  </si>
  <si>
    <t>KRZ502485150</t>
  </si>
  <si>
    <t>예탁원종목코드</t>
    <phoneticPr fontId="2" type="noConversion"/>
  </si>
  <si>
    <t>KRZ502585320</t>
  </si>
  <si>
    <t>KRZ502271810</t>
  </si>
  <si>
    <t>KRZ502271820</t>
  </si>
  <si>
    <t>KRZ502387890</t>
  </si>
  <si>
    <t>KRZ502552260</t>
  </si>
  <si>
    <t>KRZ502555690</t>
  </si>
  <si>
    <t>예탁원 종목코드</t>
    <phoneticPr fontId="2" type="noConversion"/>
  </si>
  <si>
    <t>KRZ501701430</t>
    <phoneticPr fontId="2" type="noConversion"/>
  </si>
  <si>
    <t>KRZ502367881</t>
  </si>
  <si>
    <t>07V11</t>
    <phoneticPr fontId="2" type="noConversion"/>
  </si>
  <si>
    <t>KRZ502316031</t>
  </si>
  <si>
    <t>KRZ502139142</t>
  </si>
  <si>
    <t>KRZ502576771</t>
  </si>
  <si>
    <t>KRZ502577891</t>
  </si>
  <si>
    <t>KB 글로벌 하버베스트 HGPS 일반 사모 투자신탁 제 1-1호(재간접형)(H)(적격)</t>
    <phoneticPr fontId="2" type="noConversion"/>
  </si>
  <si>
    <t>1F88</t>
    <phoneticPr fontId="2" type="noConversion"/>
  </si>
  <si>
    <t>KB 골드만삭스 PDF 일반 사모 투자신탁 제2-1호(재간접형)(H)(적격)</t>
    <phoneticPr fontId="2" type="noConversion"/>
  </si>
  <si>
    <t>1F80</t>
    <phoneticPr fontId="2" type="noConversion"/>
  </si>
  <si>
    <t>1F91</t>
  </si>
  <si>
    <t>1F84</t>
  </si>
  <si>
    <t>KB 골드만삭스 PDF 일반 사모 투자신탁 제2-2호(USD)(재간접형)(적격)</t>
  </si>
  <si>
    <t>KB 하버베스트 HGPS 일반 사모 투자신탁 제 1-2호(USD)(재간접형)(적격)</t>
    <phoneticPr fontId="2" type="noConversion"/>
  </si>
  <si>
    <t>KB 한국 단기채 프리미엄 일반 사모증권 투자신탁 제47호(USD)(채권)(전문)</t>
    <phoneticPr fontId="2" type="noConversion"/>
  </si>
  <si>
    <t>Q032</t>
    <phoneticPr fontId="2" type="noConversion"/>
  </si>
  <si>
    <t>SHB</t>
    <phoneticPr fontId="2" type="noConversion"/>
  </si>
  <si>
    <t>CME6</t>
    <phoneticPr fontId="2" type="noConversion"/>
  </si>
  <si>
    <t>KRZ502590570</t>
    <phoneticPr fontId="2" type="noConversion"/>
  </si>
  <si>
    <t>KRZ502112511</t>
  </si>
  <si>
    <t>KRZ502046731</t>
  </si>
  <si>
    <t>KRZ502553540</t>
  </si>
  <si>
    <t>KRZ502418330</t>
  </si>
  <si>
    <t>KRZ501362901</t>
  </si>
  <si>
    <t>KRZ500362910</t>
  </si>
  <si>
    <t>KRZ502587560</t>
  </si>
  <si>
    <t>KRZ502285310</t>
  </si>
  <si>
    <t>KRZ502285330</t>
  </si>
  <si>
    <t>KRZ502258790</t>
  </si>
  <si>
    <t>KRZ502022120</t>
  </si>
  <si>
    <t>KRZ502022130</t>
  </si>
  <si>
    <t>KRZ502573650</t>
  </si>
  <si>
    <t>KRZ502388480</t>
    <phoneticPr fontId="2" type="noConversion"/>
  </si>
  <si>
    <t>DB Manulife Private Equity 전문투자형사모투자신탁 제1호</t>
    <phoneticPr fontId="2" type="noConversion"/>
  </si>
  <si>
    <t>KRZ502579360</t>
    <phoneticPr fontId="2" type="noConversion"/>
  </si>
  <si>
    <t>삼성글로벌세컨더리2023일반사모투자신탁 제1호</t>
    <phoneticPr fontId="2" type="noConversion"/>
  </si>
  <si>
    <t>키움쿼터백글로벌EMP로보어드바이저증권투자신탁[채권혼합-재간접형]</t>
    <phoneticPr fontId="2" type="noConversion"/>
  </si>
  <si>
    <t>KB 롬바르오디에 글로벌세컨더리 일반사모혼합자산투자신탁 제1호</t>
    <phoneticPr fontId="2" type="noConversion"/>
  </si>
  <si>
    <t>ㅇ</t>
    <phoneticPr fontId="2" type="noConversion"/>
  </si>
  <si>
    <t>KB Oaktree Opportunities 일반사모특별자산투자신탁 제1호</t>
    <phoneticPr fontId="2" type="noConversion"/>
  </si>
  <si>
    <t>KB Apax 글로벌 바이아웃 일반사모 투자신탁 제1호(전문)</t>
  </si>
  <si>
    <t>KB 글로벌 선순위 Private Debt 일반사모투자신탁 제 2호(전문)</t>
    <phoneticPr fontId="2" type="noConversion"/>
  </si>
  <si>
    <t xml:space="preserve">캐피탈콜 </t>
    <phoneticPr fontId="2" type="noConversion"/>
  </si>
  <si>
    <t>06Z03</t>
    <phoneticPr fontId="2" type="noConversion"/>
  </si>
  <si>
    <t>한국투자글로벌월지급식아폴로ADS일반사모투자신탁</t>
    <phoneticPr fontId="2" type="noConversion"/>
  </si>
  <si>
    <t>~</t>
    <phoneticPr fontId="2" type="noConversion"/>
  </si>
  <si>
    <t>KRZ502591700</t>
    <phoneticPr fontId="2" type="noConversion"/>
  </si>
  <si>
    <t>2024.06.11</t>
    <phoneticPr fontId="2" type="noConversion"/>
  </si>
  <si>
    <t>HSBC</t>
    <phoneticPr fontId="2" type="noConversion"/>
  </si>
  <si>
    <t>06Z65</t>
    <phoneticPr fontId="2" type="noConversion"/>
  </si>
  <si>
    <t>NHIS</t>
    <phoneticPr fontId="2" type="noConversion"/>
  </si>
  <si>
    <t>KTB_ASSE_MGT</t>
  </si>
  <si>
    <t>KRZ502397610</t>
  </si>
  <si>
    <t>KRZ502292870</t>
  </si>
  <si>
    <t>한국투자중국공모주투자일반사모투자신탁1호</t>
  </si>
  <si>
    <t>KRZ502590381</t>
    <phoneticPr fontId="2" type="noConversion"/>
  </si>
  <si>
    <t>CITI</t>
    <phoneticPr fontId="2" type="noConversion"/>
  </si>
  <si>
    <t>삼성증권</t>
    <phoneticPr fontId="2" type="noConversion"/>
  </si>
  <si>
    <t>KRZ502442830</t>
    <phoneticPr fontId="2" type="noConversion"/>
  </si>
  <si>
    <t>우리베트남증권자투자신탁H호(주식혼합)</t>
    <phoneticPr fontId="2" type="noConversion"/>
  </si>
  <si>
    <t>키움CU글로벌EMP일반사모증권투자신탁제1호[주식-재간접형]</t>
    <phoneticPr fontId="2" type="noConversion"/>
  </si>
  <si>
    <t>한화</t>
    <phoneticPr fontId="2" type="noConversion"/>
  </si>
  <si>
    <t>사모</t>
    <phoneticPr fontId="2" type="noConversion"/>
  </si>
  <si>
    <t>CITI</t>
    <phoneticPr fontId="2" type="noConversion"/>
  </si>
  <si>
    <t>형성하</t>
    <phoneticPr fontId="2" type="noConversion"/>
  </si>
  <si>
    <t>한화 CU 글로벌 일반사모 증권 자투자신탁 19호</t>
  </si>
  <si>
    <t>KRZ502597410</t>
    <phoneticPr fontId="2" type="noConversion"/>
  </si>
  <si>
    <t>KRZ502595140</t>
    <phoneticPr fontId="2" type="noConversion"/>
  </si>
  <si>
    <t>1C758</t>
    <phoneticPr fontId="2" type="noConversion"/>
  </si>
  <si>
    <t>김수연</t>
    <phoneticPr fontId="2" type="noConversion"/>
  </si>
  <si>
    <t>투자풀글로벌ETF일반사모투자신탁제16-8호H[채권-재간접형]</t>
    <phoneticPr fontId="2" type="noConversion"/>
  </si>
  <si>
    <t>정수연</t>
    <phoneticPr fontId="2" type="noConversion"/>
  </si>
  <si>
    <t>한국투자파트너스그룹GlobalValue일반사모자투자신탁(H)</t>
    <phoneticPr fontId="2" type="noConversion"/>
  </si>
  <si>
    <t>2024.07.16</t>
    <phoneticPr fontId="2" type="noConversion"/>
  </si>
  <si>
    <t>08K51</t>
    <phoneticPr fontId="2" type="noConversion"/>
  </si>
  <si>
    <t>08K49</t>
    <phoneticPr fontId="2" type="noConversion"/>
  </si>
  <si>
    <t>08K50</t>
    <phoneticPr fontId="2" type="noConversion"/>
  </si>
  <si>
    <t>KRZ502598460</t>
    <phoneticPr fontId="2" type="noConversion"/>
  </si>
  <si>
    <t>운용사명</t>
  </si>
  <si>
    <t>펀드코드</t>
  </si>
  <si>
    <t>공모/사모</t>
  </si>
  <si>
    <t>예탁원종목코드</t>
  </si>
  <si>
    <t>수탁은행</t>
  </si>
  <si>
    <t>펀드명(FULL NAME)</t>
  </si>
  <si>
    <t>설정일</t>
  </si>
  <si>
    <t>기준가</t>
  </si>
  <si>
    <t>순자산</t>
  </si>
  <si>
    <t>설정원본</t>
  </si>
  <si>
    <t>0F0310</t>
    <phoneticPr fontId="2" type="noConversion"/>
  </si>
  <si>
    <t>0F0410</t>
    <phoneticPr fontId="2" type="noConversion"/>
  </si>
  <si>
    <t>060110</t>
    <phoneticPr fontId="2" type="noConversion"/>
  </si>
  <si>
    <t>061610</t>
    <phoneticPr fontId="2" type="noConversion"/>
  </si>
  <si>
    <t>KRZ500521141</t>
  </si>
  <si>
    <t>KRZ500521151</t>
  </si>
  <si>
    <t>KRZ500579591</t>
  </si>
  <si>
    <t>KRZ501989351</t>
  </si>
  <si>
    <t xml:space="preserve">iM에셋 </t>
  </si>
  <si>
    <t>iM에셋 월드광업주 증권자투자신탁(주식-재간접형)(H))</t>
  </si>
  <si>
    <t>iM에셋 글로벌자산배분증권투자신탁(주식혼합-재간접)(H)</t>
  </si>
  <si>
    <t>iM에셋 월드헬스사이언스증권투자신탁(주식-재간접))</t>
  </si>
  <si>
    <t>iM에셋 월드에너지증권자투자신탁(주식-재간접형)(H))</t>
    <phoneticPr fontId="2" type="noConversion"/>
  </si>
  <si>
    <t>PR05</t>
    <phoneticPr fontId="2" type="noConversion"/>
  </si>
  <si>
    <t>1B03</t>
    <phoneticPr fontId="2" type="noConversion"/>
  </si>
  <si>
    <t>18U4</t>
    <phoneticPr fontId="2" type="noConversion"/>
  </si>
  <si>
    <t>1B02</t>
    <phoneticPr fontId="2" type="noConversion"/>
  </si>
  <si>
    <t>1F78</t>
    <phoneticPr fontId="2" type="noConversion"/>
  </si>
  <si>
    <t>03V65</t>
    <phoneticPr fontId="2" type="noConversion"/>
  </si>
  <si>
    <t>KRZ502598600</t>
  </si>
  <si>
    <t>DB Blackstone 사모대출 일반사모투자신탁 제1호</t>
  </si>
  <si>
    <t>DB유럽PrivateLoan일반사모투자신탁제2호</t>
  </si>
  <si>
    <t>NACF</t>
    <phoneticPr fontId="2" type="noConversion"/>
  </si>
  <si>
    <t>CITI</t>
    <phoneticPr fontId="2" type="noConversion"/>
  </si>
  <si>
    <t>18W2</t>
    <phoneticPr fontId="2" type="noConversion"/>
  </si>
  <si>
    <t>KRZ502599930</t>
    <phoneticPr fontId="2" type="noConversion"/>
  </si>
  <si>
    <t>KB 글로벌 누버거버먼 PEF 일반 사모 투자신탁 제1호(재간접형)(H)</t>
  </si>
  <si>
    <t>SAMSUNG_SEC</t>
    <phoneticPr fontId="2" type="noConversion"/>
  </si>
  <si>
    <t>KB</t>
    <phoneticPr fontId="2" type="noConversion"/>
  </si>
  <si>
    <t>전유진</t>
    <phoneticPr fontId="2" type="noConversion"/>
  </si>
  <si>
    <t>미래에셋자산운용</t>
    <phoneticPr fontId="2" type="noConversion"/>
  </si>
  <si>
    <t>53696M</t>
    <phoneticPr fontId="2" type="noConversion"/>
  </si>
  <si>
    <t>미래에셋이머징달러우량국공채증권자투자신탁(H)(채권)</t>
  </si>
  <si>
    <t>미래에셋미국달러우량회사채증권자투자신탁1호(H)(채권)</t>
  </si>
  <si>
    <t>미래에셋달러우량중장기채권증권자투자신탁(H)(채권)</t>
  </si>
  <si>
    <t>미래에셋AI퀀트미국투자등급회사채증권모투자신탁(채권)</t>
  </si>
  <si>
    <t>미래에셋글로벌투자적격채권증권자투자신탁(H)(채권)</t>
  </si>
  <si>
    <t>2007-09</t>
    <phoneticPr fontId="2" type="noConversion"/>
  </si>
  <si>
    <t>2018-05</t>
    <phoneticPr fontId="2" type="noConversion"/>
  </si>
  <si>
    <t>2017-08</t>
    <phoneticPr fontId="2" type="noConversion"/>
  </si>
  <si>
    <t>2009-06</t>
    <phoneticPr fontId="2" type="noConversion"/>
  </si>
  <si>
    <t>2012-04</t>
    <phoneticPr fontId="2" type="noConversion"/>
  </si>
  <si>
    <t>2017-07</t>
    <phoneticPr fontId="2" type="noConversion"/>
  </si>
  <si>
    <t>2016-04</t>
    <phoneticPr fontId="2" type="noConversion"/>
  </si>
  <si>
    <t>2019-03</t>
    <phoneticPr fontId="2" type="noConversion"/>
  </si>
  <si>
    <t>2017-03</t>
    <phoneticPr fontId="2" type="noConversion"/>
  </si>
  <si>
    <t>2020-06</t>
    <phoneticPr fontId="2" type="noConversion"/>
  </si>
  <si>
    <t>미래에셋브라질하이인컴채권증권모투자신탁[채권]</t>
    <phoneticPr fontId="2" type="noConversion"/>
  </si>
  <si>
    <t>959.46</t>
  </si>
  <si>
    <t>미래에셋달러단기자금증권모투자신탁(USD)(채권)</t>
    <phoneticPr fontId="2" type="noConversion"/>
  </si>
  <si>
    <t>KRZ502258200</t>
  </si>
  <si>
    <t>10.5552</t>
  </si>
  <si>
    <t>미래에셋글로벌4차산업전환사채증권자투자신탁H[채권]</t>
    <phoneticPr fontId="2" type="noConversion"/>
  </si>
  <si>
    <t>KRZ50216533E</t>
  </si>
  <si>
    <t>1098.94</t>
  </si>
  <si>
    <t>미래에셋글로벌증권모투자신탁(채권)</t>
    <phoneticPr fontId="2" type="noConversion"/>
  </si>
  <si>
    <t>KRZ500282370</t>
  </si>
  <si>
    <t>980.94</t>
  </si>
  <si>
    <t>미래에셋글로벌다이나믹플러스증권자투자신탁1호(채권)</t>
    <phoneticPr fontId="2" type="noConversion"/>
  </si>
  <si>
    <t>KRZ50175348D</t>
  </si>
  <si>
    <t>941.23</t>
  </si>
  <si>
    <t>KRZ50215287A</t>
  </si>
  <si>
    <t>847.03</t>
  </si>
  <si>
    <t>KRZ50205100A</t>
  </si>
  <si>
    <t>878.02</t>
  </si>
  <si>
    <t>KRZ502320861</t>
  </si>
  <si>
    <t>875.83</t>
  </si>
  <si>
    <t>KRZ502560630</t>
  </si>
  <si>
    <t>1078</t>
  </si>
  <si>
    <t>KRZ502421008</t>
  </si>
  <si>
    <t>824.44</t>
  </si>
  <si>
    <t>18U5</t>
    <phoneticPr fontId="2" type="noConversion"/>
  </si>
  <si>
    <t>KRZ502442920</t>
  </si>
  <si>
    <t>KB Oaktree Opportunities 일반사모특별자산투자신탁 제2호</t>
    <phoneticPr fontId="2" type="noConversion"/>
  </si>
  <si>
    <t>AI02</t>
    <phoneticPr fontId="2" type="noConversion"/>
  </si>
  <si>
    <t>SCB</t>
    <phoneticPr fontId="2" type="noConversion"/>
  </si>
  <si>
    <t>UI02</t>
    <phoneticPr fontId="2" type="noConversion"/>
  </si>
  <si>
    <t>정연화</t>
    <phoneticPr fontId="2" type="noConversion"/>
  </si>
  <si>
    <t>우리정말쉬운미국공모주증권자투자신탁1호(H)(채권혼합)</t>
    <phoneticPr fontId="2" type="noConversion"/>
  </si>
  <si>
    <t>KRZ502599445</t>
    <phoneticPr fontId="2" type="noConversion"/>
  </si>
  <si>
    <t>08K58</t>
    <phoneticPr fontId="2" type="noConversion"/>
  </si>
  <si>
    <t>KRZ502601680</t>
    <phoneticPr fontId="2" type="noConversion"/>
  </si>
  <si>
    <t>CITI</t>
    <phoneticPr fontId="2" type="noConversion"/>
  </si>
  <si>
    <t>한국투자칼라일CLO일반사모자투자신탁4호H</t>
    <phoneticPr fontId="2" type="noConversion"/>
  </si>
  <si>
    <t>1B13</t>
    <phoneticPr fontId="2" type="noConversion"/>
  </si>
  <si>
    <t>KB 글로벌 에이리스 사모대출 일반 사모투자신탁 제1-1호(재간접형)(H)(적격)</t>
    <phoneticPr fontId="2" type="noConversion"/>
  </si>
  <si>
    <t>KRZ502601361</t>
    <phoneticPr fontId="2" type="noConversion"/>
  </si>
  <si>
    <t>1C678</t>
    <phoneticPr fontId="2" type="noConversion"/>
  </si>
  <si>
    <t>WOORI_SEC</t>
    <phoneticPr fontId="2" type="noConversion"/>
  </si>
  <si>
    <t>3G800</t>
    <phoneticPr fontId="2" type="noConversion"/>
  </si>
  <si>
    <t>KRZ502394870</t>
    <phoneticPr fontId="2" type="noConversion"/>
  </si>
  <si>
    <t>하나 글로벌 ETF 일반사모투자신탁제2호(전문)</t>
    <phoneticPr fontId="2" type="noConversion"/>
  </si>
  <si>
    <t>하나 레그메이슨매크로오퍼튜니티혼합자산모[재간접형]</t>
    <phoneticPr fontId="2" type="noConversion"/>
  </si>
  <si>
    <t>하나 중국1등주플러스증권모[주식]</t>
    <phoneticPr fontId="2" type="noConversion"/>
  </si>
  <si>
    <t>KRZ502249720</t>
    <phoneticPr fontId="2" type="noConversion"/>
  </si>
  <si>
    <t>KRZ502193760</t>
    <phoneticPr fontId="2" type="noConversion"/>
  </si>
  <si>
    <t>사모</t>
    <phoneticPr fontId="2" type="noConversion"/>
  </si>
  <si>
    <t>2017.12.04</t>
    <phoneticPr fontId="2" type="noConversion"/>
  </si>
  <si>
    <t>2018.07.16</t>
    <phoneticPr fontId="2" type="noConversion"/>
  </si>
  <si>
    <t>공모</t>
    <phoneticPr fontId="2" type="noConversion"/>
  </si>
  <si>
    <t>1C701</t>
    <phoneticPr fontId="2" type="noConversion"/>
  </si>
  <si>
    <t>08K60</t>
    <phoneticPr fontId="2" type="noConversion"/>
  </si>
  <si>
    <t>KRZ502604160</t>
    <phoneticPr fontId="2" type="noConversion"/>
  </si>
  <si>
    <t>한국투자글로벌월지급식골드만삭스BDC일반사모자투자신탁(H)</t>
    <phoneticPr fontId="2" type="noConversion"/>
  </si>
  <si>
    <t>2024.09.10</t>
    <phoneticPr fontId="2" type="noConversion"/>
  </si>
  <si>
    <t>KRZ502600861</t>
  </si>
  <si>
    <t>KRZ502600881</t>
  </si>
  <si>
    <t>하나해외주식미국주식일반사모증권투자신탁CW-1호[주식-재간접형](전문)</t>
    <phoneticPr fontId="2" type="noConversion"/>
  </si>
  <si>
    <t>KRZ502599770</t>
    <phoneticPr fontId="2" type="noConversion"/>
  </si>
  <si>
    <t>하나달러단기채증권모투자신탁(USD)[채권]</t>
    <phoneticPr fontId="2" type="noConversion"/>
  </si>
  <si>
    <t>2024.09.13</t>
    <phoneticPr fontId="2" type="noConversion"/>
  </si>
  <si>
    <t>KRZ502579680</t>
    <phoneticPr fontId="2" type="noConversion"/>
  </si>
  <si>
    <t>NHSEC</t>
    <phoneticPr fontId="2" type="noConversion"/>
  </si>
  <si>
    <t>2024.2.2</t>
    <phoneticPr fontId="2" type="noConversion"/>
  </si>
  <si>
    <t>한국투자글로벌장기종합투자 솔루션 일반사모투자신탁</t>
    <phoneticPr fontId="2" type="noConversion"/>
  </si>
  <si>
    <t>김형철</t>
    <phoneticPr fontId="2" type="noConversion"/>
  </si>
  <si>
    <t>KRZ502604370</t>
    <phoneticPr fontId="2" type="noConversion"/>
  </si>
  <si>
    <t>18W6</t>
    <phoneticPr fontId="2" type="noConversion"/>
  </si>
  <si>
    <t>KRZ502603970</t>
    <phoneticPr fontId="2" type="noConversion"/>
  </si>
  <si>
    <t>KB Oaktree Opportunities 일반사모특별자산투자신탁 제3호</t>
    <phoneticPr fontId="2" type="noConversion"/>
  </si>
  <si>
    <t>4JM48</t>
    <phoneticPr fontId="2" type="noConversion"/>
  </si>
  <si>
    <t>민여경</t>
    <phoneticPr fontId="2" type="noConversion"/>
  </si>
  <si>
    <t>2024.10.21</t>
    <phoneticPr fontId="2" type="noConversion"/>
  </si>
  <si>
    <t>M190</t>
    <phoneticPr fontId="2" type="noConversion"/>
  </si>
  <si>
    <t>TB01</t>
    <phoneticPr fontId="2" type="noConversion"/>
  </si>
  <si>
    <t>우리디딤미국테크와바이오증권자투자신탁[채권혼합-재간접형]</t>
    <phoneticPr fontId="2" type="noConversion"/>
  </si>
  <si>
    <t>KRZ502604068</t>
    <phoneticPr fontId="2" type="noConversion"/>
  </si>
  <si>
    <t>08K86</t>
    <phoneticPr fontId="2" type="noConversion"/>
  </si>
  <si>
    <t>KRZ502604750</t>
    <phoneticPr fontId="2" type="noConversion"/>
  </si>
  <si>
    <t>한국투자글로벌아폴로대체자산일반사모자투자신탁(H)</t>
    <phoneticPr fontId="2" type="noConversion"/>
  </si>
  <si>
    <t>2024.10.07</t>
    <phoneticPr fontId="2" type="noConversion"/>
  </si>
  <si>
    <t>M180</t>
    <phoneticPr fontId="2" type="noConversion"/>
  </si>
  <si>
    <t>08K94</t>
    <phoneticPr fontId="2" type="noConversion"/>
  </si>
  <si>
    <t>KRZ502610970</t>
    <phoneticPr fontId="2" type="noConversion"/>
  </si>
  <si>
    <t>한국투자Multi-Selection일반사모투자신탁2호</t>
  </si>
  <si>
    <t>2024.11.25</t>
    <phoneticPr fontId="2" type="noConversion"/>
  </si>
  <si>
    <t>WOORI</t>
    <phoneticPr fontId="2" type="noConversion"/>
  </si>
  <si>
    <t>KRZ502612540</t>
    <phoneticPr fontId="2" type="noConversion"/>
  </si>
  <si>
    <t>KB 북미 누버거버먼 일반 사모 특별자산투자신탁 제5호</t>
    <phoneticPr fontId="2" type="noConversion"/>
  </si>
  <si>
    <t>2024.12.</t>
    <phoneticPr fontId="2" type="noConversion"/>
  </si>
  <si>
    <t>18X4</t>
    <phoneticPr fontId="2" type="noConversion"/>
  </si>
  <si>
    <t>하나원큐안정형OCIO증권투자신탁[채권혼합-재간접형]</t>
    <phoneticPr fontId="2" type="noConversion"/>
  </si>
  <si>
    <t>1C762</t>
    <phoneticPr fontId="2" type="noConversion"/>
  </si>
  <si>
    <t>2024.12.</t>
    <phoneticPr fontId="2" type="noConversion"/>
  </si>
  <si>
    <t>KB 아시아 KKR 일반 사모 특별자산 투자신탁 제 1호</t>
    <phoneticPr fontId="2" type="noConversion"/>
  </si>
  <si>
    <t>18X3</t>
    <phoneticPr fontId="2" type="noConversion"/>
  </si>
  <si>
    <t>KRZ502612500</t>
    <phoneticPr fontId="2" type="noConversion"/>
  </si>
  <si>
    <t>CITI</t>
    <phoneticPr fontId="2" type="noConversion"/>
  </si>
  <si>
    <t>M320</t>
    <phoneticPr fontId="2" type="noConversion"/>
  </si>
  <si>
    <t>08K59</t>
    <phoneticPr fontId="2" type="noConversion"/>
  </si>
  <si>
    <t>1B19</t>
    <phoneticPr fontId="2" type="noConversion"/>
  </si>
  <si>
    <t>KRZ502603570</t>
    <phoneticPr fontId="2" type="noConversion"/>
  </si>
  <si>
    <t>KB 판테온 글로벌 세컨더리 일반 사모 투자신탁 제1호</t>
    <phoneticPr fontId="2" type="noConversion"/>
  </si>
  <si>
    <t>08L06</t>
    <phoneticPr fontId="2" type="noConversion"/>
  </si>
  <si>
    <t>KRZ502615350</t>
    <phoneticPr fontId="2" type="noConversion"/>
  </si>
  <si>
    <t>한국투자칼라일CLO일반사모자투자신탁5호(H)</t>
    <phoneticPr fontId="2" type="noConversion"/>
  </si>
  <si>
    <t>2025.01.10</t>
    <phoneticPr fontId="2" type="noConversion"/>
  </si>
  <si>
    <t>KRZ502580600</t>
    <phoneticPr fontId="2" type="noConversion"/>
  </si>
  <si>
    <t>WOORI</t>
    <phoneticPr fontId="2" type="noConversion"/>
  </si>
  <si>
    <t>08L28</t>
    <phoneticPr fontId="2" type="noConversion"/>
  </si>
  <si>
    <t>KRZ502616580</t>
    <phoneticPr fontId="2" type="noConversion"/>
  </si>
  <si>
    <t>한국투자글로벌칼라일일반사모투자신탁2호</t>
    <phoneticPr fontId="2" type="noConversion"/>
  </si>
  <si>
    <t>2025.01.14</t>
    <phoneticPr fontId="2" type="noConversion"/>
  </si>
  <si>
    <t>DB crescent 사모대출 일반사모투자신탁 제1호</t>
    <phoneticPr fontId="2" type="noConversion"/>
  </si>
  <si>
    <t>KRZ502617210</t>
    <phoneticPr fontId="2" type="noConversion"/>
  </si>
  <si>
    <t>08K98</t>
    <phoneticPr fontId="2" type="noConversion"/>
  </si>
  <si>
    <t>KRZ502615290</t>
    <phoneticPr fontId="2" type="noConversion"/>
  </si>
  <si>
    <t>이진형</t>
    <phoneticPr fontId="2" type="noConversion"/>
  </si>
  <si>
    <t>한국투자글로벌해밀턴레인GPA일반사모자투자신탁2호(H)</t>
    <phoneticPr fontId="2" type="noConversion"/>
  </si>
  <si>
    <t>2025.01.20</t>
    <phoneticPr fontId="2" type="noConversion"/>
  </si>
  <si>
    <t>1B29</t>
    <phoneticPr fontId="2" type="noConversion"/>
  </si>
  <si>
    <t>KB 글로벌 슈로더 GPE 일반 사모 투자신탁 제1호(재간접형)(H)(적격)</t>
    <phoneticPr fontId="2" type="noConversion"/>
  </si>
  <si>
    <t>CITI</t>
    <phoneticPr fontId="2" type="noConversion"/>
  </si>
  <si>
    <t>08L47</t>
    <phoneticPr fontId="2" type="noConversion"/>
  </si>
  <si>
    <t>한국투자글로벌월지급식아폴로ADS일반 사모 자투자신탁 2호(H)</t>
    <phoneticPr fontId="2" type="noConversion"/>
  </si>
  <si>
    <t>2025.02.12</t>
    <phoneticPr fontId="2" type="noConversion"/>
  </si>
  <si>
    <t>청산펀드</t>
    <phoneticPr fontId="2" type="noConversion"/>
  </si>
  <si>
    <t>구분</t>
    <phoneticPr fontId="2" type="noConversion"/>
  </si>
  <si>
    <t>다올중국1등주증권투자신탁[주식]</t>
  </si>
  <si>
    <t>다올글로벌4차산업1등주증권투자신탁[주식]</t>
  </si>
  <si>
    <t xml:space="preserve">다올옐로우엄브렐라글로벌전문투자형사모증권KZ-21호 주식 </t>
  </si>
  <si>
    <t>다올중국플러스찬스증권투자신탁[채권혼합]</t>
  </si>
  <si>
    <t xml:space="preserve">다올글로벌메타버스&amp;우주산업1등주증권자투자신탁(H)[주식] </t>
    <phoneticPr fontId="2" type="noConversion"/>
  </si>
  <si>
    <t>다올KTB글로벌주식EMP일반사모증권투자신탁제1호[주식-재간접형]</t>
    <phoneticPr fontId="2" type="noConversion"/>
  </si>
  <si>
    <t xml:space="preserve">다올글로벌멀티에셋인컴EMP증권모투자신탁[혼합-재간접형] </t>
    <phoneticPr fontId="2" type="noConversion"/>
  </si>
  <si>
    <t>다올KTB RF일반사모증권투자신탁제2호[채권-재간접형]</t>
    <phoneticPr fontId="2" type="noConversion"/>
  </si>
  <si>
    <t>다올듀얼금리연계일반사모증권투자신탁제12호[채권-파생형]</t>
    <phoneticPr fontId="2" type="noConversion"/>
  </si>
  <si>
    <t>다올듀얼금리연계일반사모증권투자신탁제13호[채권-파생형]</t>
    <phoneticPr fontId="2" type="noConversion"/>
  </si>
  <si>
    <t>다올KTB금리연계일반사모증권제116호[채권-파생형]</t>
    <phoneticPr fontId="2" type="noConversion"/>
  </si>
  <si>
    <t>AB02</t>
    <phoneticPr fontId="2" type="noConversion"/>
  </si>
  <si>
    <t>우리미국부자따라하기EMP증권자투자신탁(H)[채권혼합-재간접형]</t>
    <phoneticPr fontId="2" type="noConversion"/>
  </si>
  <si>
    <t>다올EMP글로벌자산배분일반사모증권투자신탁제1호[주식혼합형]</t>
    <phoneticPr fontId="2" type="noConversion"/>
  </si>
  <si>
    <t>2P2047</t>
    <phoneticPr fontId="2" type="noConversion"/>
  </si>
  <si>
    <t>KRZ502620570</t>
    <phoneticPr fontId="2" type="noConversion"/>
  </si>
  <si>
    <t>신한법인용달러자금일반사모증권투자신탁제1호(USD)[채권]</t>
    <phoneticPr fontId="2" type="noConversion"/>
  </si>
  <si>
    <t xml:space="preserve">EUGENE_ASSET </t>
    <phoneticPr fontId="2" type="noConversion"/>
  </si>
  <si>
    <t>WOORI</t>
    <phoneticPr fontId="2" type="noConversion"/>
  </si>
  <si>
    <t>08L53</t>
    <phoneticPr fontId="2" type="noConversion"/>
  </si>
  <si>
    <t>WOORI_SEC</t>
  </si>
  <si>
    <t>08L68</t>
    <phoneticPr fontId="2" type="noConversion"/>
  </si>
  <si>
    <t>한국투자파트너스그룹GlobalValue일반사모자투자신탁2호(H)</t>
    <phoneticPr fontId="2" type="noConversion"/>
  </si>
  <si>
    <t>2025.02.26</t>
    <phoneticPr fontId="2" type="noConversion"/>
  </si>
  <si>
    <t>전무석</t>
    <phoneticPr fontId="2" type="noConversion"/>
  </si>
  <si>
    <t>진용환</t>
    <phoneticPr fontId="2" type="noConversion"/>
  </si>
  <si>
    <t>메일</t>
    <phoneticPr fontId="2" type="noConversion"/>
  </si>
  <si>
    <t>yhjin@hdfund.co.kr</t>
    <phoneticPr fontId="2" type="noConversion"/>
  </si>
  <si>
    <t>globalai3@hdfund.co.kr</t>
    <phoneticPr fontId="2" type="noConversion"/>
  </si>
  <si>
    <t>청산펀드</t>
    <phoneticPr fontId="2" type="noConversion"/>
  </si>
  <si>
    <t>이효선</t>
    <phoneticPr fontId="2" type="noConversion"/>
  </si>
  <si>
    <t>유진디딤플레인바닐라OCIO증권투자신탁(혼합-재간접형)</t>
    <phoneticPr fontId="2" type="noConversion"/>
  </si>
  <si>
    <t>KRZ502534120</t>
  </si>
  <si>
    <t>KRZ502394530</t>
    <phoneticPr fontId="2" type="noConversion"/>
  </si>
  <si>
    <t>KRZ502547364</t>
    <phoneticPr fontId="2" type="noConversion"/>
  </si>
  <si>
    <t>KRZ502547385</t>
  </si>
  <si>
    <t>유진챔피언성과연동TDF2030증권투자신탁(혼합-재간접형)</t>
    <phoneticPr fontId="2" type="noConversion"/>
  </si>
  <si>
    <t>유진챔피언성과연동TDF2040증권투자신탁(혼합-재간접형)</t>
    <phoneticPr fontId="2" type="noConversion"/>
  </si>
  <si>
    <t>이장원</t>
    <phoneticPr fontId="2" type="noConversion"/>
  </si>
  <si>
    <t>심누리</t>
    <phoneticPr fontId="2" type="noConversion"/>
  </si>
  <si>
    <t>최현희</t>
    <phoneticPr fontId="2" type="noConversion"/>
  </si>
  <si>
    <t>이효선</t>
    <phoneticPr fontId="2" type="noConversion"/>
  </si>
  <si>
    <t>임관호</t>
    <phoneticPr fontId="2" type="noConversion"/>
  </si>
  <si>
    <t>WOORI</t>
    <phoneticPr fontId="2" type="noConversion"/>
  </si>
  <si>
    <t>1C764</t>
    <phoneticPr fontId="2" type="noConversion"/>
  </si>
  <si>
    <t>1C781</t>
    <phoneticPr fontId="2" type="noConversion"/>
  </si>
  <si>
    <t>공모</t>
    <phoneticPr fontId="2" type="noConversion"/>
  </si>
  <si>
    <t>이지원</t>
    <phoneticPr fontId="2" type="noConversion"/>
  </si>
  <si>
    <t>글로벌운용팀</t>
    <phoneticPr fontId="2" type="noConversion"/>
  </si>
  <si>
    <t>다올BNYUSFallenAngel하이일드증권자(H)[채권-재간접형]</t>
    <phoneticPr fontId="2" type="noConversion"/>
  </si>
  <si>
    <t>다올 월지급 BNYUSFallenAngel하이일드증권자(H)[채권-재간접형]</t>
    <phoneticPr fontId="2" type="noConversion"/>
  </si>
  <si>
    <t>KRZ502610461</t>
    <phoneticPr fontId="2" type="noConversion"/>
  </si>
  <si>
    <t>KRZ502610471</t>
    <phoneticPr fontId="2" type="noConversion"/>
  </si>
  <si>
    <t>하나 글로벌리츠부동산자투자신탁 [재간접형] (종류C3)</t>
    <phoneticPr fontId="2" type="noConversion"/>
  </si>
  <si>
    <t>하나 글로벌인프라 증권 자투자신탁[주식] (종류 S-P2)</t>
    <phoneticPr fontId="2" type="noConversion"/>
  </si>
  <si>
    <t>KRZ50132367K</t>
    <phoneticPr fontId="2" type="noConversion"/>
  </si>
  <si>
    <t>CITI</t>
    <phoneticPr fontId="2" type="noConversion"/>
  </si>
  <si>
    <t>08L63</t>
    <phoneticPr fontId="2" type="noConversion"/>
  </si>
  <si>
    <t>08L71</t>
    <phoneticPr fontId="2" type="noConversion"/>
  </si>
  <si>
    <t>KRZ502619840</t>
    <phoneticPr fontId="2" type="noConversion"/>
  </si>
  <si>
    <t>KRZ502621150</t>
    <phoneticPr fontId="2" type="noConversion"/>
  </si>
  <si>
    <t>한국투자글로벌월지급식베어링BPCC일반사모자투자신탁(H)</t>
    <phoneticPr fontId="2" type="noConversion"/>
  </si>
  <si>
    <t>한국투자글로벌월지급식블랙록BDEBT일반사모자투자신탁(H)</t>
    <phoneticPr fontId="2" type="noConversion"/>
  </si>
  <si>
    <t>2025.03.19</t>
    <phoneticPr fontId="2" type="noConversion"/>
  </si>
  <si>
    <t>2025.03.11</t>
    <phoneticPr fontId="2" type="noConversion"/>
  </si>
  <si>
    <t>KRZ502620390</t>
    <phoneticPr fontId="2" type="noConversion"/>
  </si>
  <si>
    <t>청산펀드</t>
    <phoneticPr fontId="2" type="noConversion"/>
  </si>
  <si>
    <t>구분</t>
    <phoneticPr fontId="2" type="noConversion"/>
  </si>
  <si>
    <t>브이자산운용</t>
    <phoneticPr fontId="2" type="noConversion"/>
  </si>
  <si>
    <t>브이자산운용</t>
    <phoneticPr fontId="2" type="noConversion"/>
  </si>
  <si>
    <t>KRZ502098838</t>
  </si>
  <si>
    <t>KRZ502065541</t>
  </si>
  <si>
    <t>KRZ502394500</t>
  </si>
  <si>
    <t>KRZ502456910</t>
  </si>
  <si>
    <t>다올글로벌멀티에셋인컴EMP증권자투자신탁[혼합-재간접형] 종류A</t>
    <phoneticPr fontId="65" type="noConversion"/>
  </si>
  <si>
    <t>KRZ502371641</t>
  </si>
  <si>
    <t>KRZ502410680</t>
  </si>
  <si>
    <t>KRZ502079950</t>
  </si>
  <si>
    <t>KRZ502064390</t>
  </si>
  <si>
    <t>KRZ502520320</t>
  </si>
  <si>
    <t>현대인베스트 해밀턴레인 EO 일반 사모투자신탁22호</t>
    <phoneticPr fontId="2" type="noConversion"/>
  </si>
  <si>
    <t>1212.98</t>
  </si>
  <si>
    <t>현대인베스트먼트CLOCombo일반사모특별자산투자신탁1호(CLO)</t>
    <phoneticPr fontId="2" type="noConversion"/>
  </si>
  <si>
    <t>KRZ500555500</t>
    <phoneticPr fontId="2" type="noConversion"/>
  </si>
  <si>
    <t>KRZ500555521</t>
    <phoneticPr fontId="2" type="noConversion"/>
  </si>
  <si>
    <t>KRZ500559711</t>
  </si>
  <si>
    <t>KRZ501802840</t>
  </si>
  <si>
    <t>KRZ501806530</t>
  </si>
  <si>
    <t>KRZ501982690</t>
  </si>
  <si>
    <t>KRZ501988260</t>
  </si>
  <si>
    <t>KRZ502006730</t>
  </si>
  <si>
    <t>KRZ502017870</t>
  </si>
  <si>
    <t>KRZ502093640</t>
  </si>
  <si>
    <t>KRZ502126450</t>
  </si>
  <si>
    <t>KRZ502126460</t>
  </si>
  <si>
    <t>KRZ502132530</t>
  </si>
  <si>
    <t>KRZ502137930</t>
  </si>
  <si>
    <t>KRZ502190990</t>
  </si>
  <si>
    <t>KRZ502191000</t>
  </si>
  <si>
    <t>KRZ502191970</t>
  </si>
  <si>
    <t>KRZ502204150</t>
    <phoneticPr fontId="2" type="noConversion"/>
  </si>
  <si>
    <t>KRZ502219430</t>
    <phoneticPr fontId="2" type="noConversion"/>
  </si>
  <si>
    <t>KRZ502229420</t>
  </si>
  <si>
    <t>KRZ502242070</t>
  </si>
  <si>
    <t>KRZ502242080</t>
  </si>
  <si>
    <t>KRZ502274980</t>
  </si>
  <si>
    <t>KRZ502289000</t>
  </si>
  <si>
    <t>KRZ502342690</t>
  </si>
  <si>
    <t>KRZ502342700</t>
  </si>
  <si>
    <t>KRZ502364900</t>
  </si>
  <si>
    <t>KRZ502378790</t>
  </si>
  <si>
    <t>KRZ502415971</t>
  </si>
  <si>
    <t>KRZ502434760</t>
  </si>
  <si>
    <t>KRZ502457200</t>
  </si>
  <si>
    <t>KRZ502469380</t>
  </si>
  <si>
    <t>KRZ502477990</t>
  </si>
  <si>
    <t>KRZ502480720</t>
  </si>
  <si>
    <t>KRZ502499960</t>
    <phoneticPr fontId="2" type="noConversion"/>
  </si>
  <si>
    <t>KRZ502517510</t>
  </si>
  <si>
    <t>KRZ502522990</t>
  </si>
  <si>
    <t>KRZ502530080</t>
  </si>
  <si>
    <t>KRZ502532000</t>
  </si>
  <si>
    <t>KRZ502545480</t>
  </si>
  <si>
    <t>KRZ502548560</t>
  </si>
  <si>
    <t>KRZ502552750</t>
  </si>
  <si>
    <t>KRZ502558540</t>
  </si>
  <si>
    <t>KRZ502565030</t>
  </si>
  <si>
    <t>KRZ502569560</t>
  </si>
  <si>
    <t>KRZ502576450</t>
  </si>
  <si>
    <t>KRZ502131630</t>
  </si>
  <si>
    <t>KRZ502576630</t>
  </si>
  <si>
    <t>KRZ502406821</t>
  </si>
  <si>
    <t>08L74</t>
    <phoneticPr fontId="2" type="noConversion"/>
  </si>
  <si>
    <t>KRZ502621940</t>
    <phoneticPr fontId="2" type="noConversion"/>
  </si>
  <si>
    <t>한국투자LIT ARF 일반사모투자신탁2호(H)</t>
    <phoneticPr fontId="2" type="noConversion"/>
  </si>
  <si>
    <t>2025.03.20</t>
    <phoneticPr fontId="2" type="noConversion"/>
  </si>
  <si>
    <t>KRZ502046881</t>
  </si>
  <si>
    <t>한국투자퇴직연금베트남그로스40증권자투자신탁(채권혼합)(모) 종류 C</t>
    <phoneticPr fontId="2" type="noConversion"/>
  </si>
  <si>
    <t>KRZ502481200</t>
  </si>
  <si>
    <t>KRZ502057010</t>
  </si>
  <si>
    <t>한국투자금리연계일반사모증권투자신탁11호(채권-파생형)</t>
  </si>
  <si>
    <t>KRZ502080230</t>
  </si>
  <si>
    <t>한국투자 글로벌 CM VII 일반 사모 투자신탁(파생형)</t>
  </si>
  <si>
    <t>KRZ502305860</t>
  </si>
  <si>
    <t>한국투자글로벌KPIVEPVII일반사모투자신탁</t>
  </si>
  <si>
    <t>KRZ502356400</t>
  </si>
  <si>
    <t>한국투자글로벌KPIHIGV일반사모투자신탁</t>
  </si>
  <si>
    <t>KRZ502080370</t>
  </si>
  <si>
    <t>KRZ502135210</t>
  </si>
  <si>
    <t>KRZ502272050</t>
  </si>
  <si>
    <t>KRZ502482930</t>
  </si>
  <si>
    <t>KRZ501901990</t>
  </si>
  <si>
    <t>한국투자HLGLOBALPRIVATEASSET전문투자형사모자투자신탁(재간접형)(모)</t>
    <phoneticPr fontId="2" type="noConversion"/>
  </si>
  <si>
    <t>한국투자HLGLOBALPRIVATEASSET전문투자형사모자투자신탁UH(재간접형)</t>
    <phoneticPr fontId="2" type="noConversion"/>
  </si>
  <si>
    <t>사모</t>
    <phoneticPr fontId="2" type="noConversion"/>
  </si>
  <si>
    <t>NACF</t>
    <phoneticPr fontId="2" type="noConversion"/>
  </si>
  <si>
    <t>한화일반사모증권투자신탁134호(USD)(채권)</t>
    <phoneticPr fontId="2" type="noConversion"/>
  </si>
  <si>
    <t>2025.03.21</t>
    <phoneticPr fontId="2" type="noConversion"/>
  </si>
  <si>
    <t>이성주</t>
    <phoneticPr fontId="2" type="noConversion"/>
  </si>
  <si>
    <t>KRZ502622650</t>
    <phoneticPr fontId="2" type="noConversion"/>
  </si>
  <si>
    <t>iM에셋</t>
    <phoneticPr fontId="2" type="noConversion"/>
  </si>
  <si>
    <t>CITI</t>
    <phoneticPr fontId="2" type="noConversion"/>
  </si>
  <si>
    <t>Im에셋CU글로벌 일반사모증권투자신탁1호[H][채권-재간접형]</t>
    <phoneticPr fontId="2" type="noConversion"/>
  </si>
  <si>
    <t>KRZ502612550</t>
    <phoneticPr fontId="2" type="noConversion"/>
  </si>
  <si>
    <t>KRZ502619561</t>
  </si>
  <si>
    <t>KRZ500612350</t>
    <phoneticPr fontId="2" type="noConversion"/>
  </si>
  <si>
    <t>KRZ502131550</t>
  </si>
  <si>
    <t>KRZ502033100</t>
  </si>
  <si>
    <t>KRZ502363840</t>
  </si>
  <si>
    <t>KRZ501958390</t>
  </si>
  <si>
    <t>KRZ500608670</t>
  </si>
  <si>
    <t>KRZ502597950</t>
    <phoneticPr fontId="2" type="noConversion"/>
  </si>
  <si>
    <t>KRZ502071590</t>
    <phoneticPr fontId="2" type="noConversion"/>
  </si>
  <si>
    <t>KRZ502191160</t>
    <phoneticPr fontId="2" type="noConversion"/>
  </si>
  <si>
    <t>KRZ502183080</t>
    <phoneticPr fontId="2" type="noConversion"/>
  </si>
  <si>
    <t>KRZ502067230</t>
    <phoneticPr fontId="2" type="noConversion"/>
  </si>
  <si>
    <t>KRZ501757550</t>
  </si>
  <si>
    <t>KRZ501778350</t>
  </si>
  <si>
    <t>KRZ501830430</t>
  </si>
  <si>
    <t>KRZ502043060</t>
  </si>
  <si>
    <t>KRZ500321240</t>
  </si>
  <si>
    <t>KRZ500585870</t>
  </si>
  <si>
    <t>KRZ501889310</t>
  </si>
  <si>
    <t>KRZ501964300</t>
  </si>
  <si>
    <t>KRZ50239305F</t>
  </si>
  <si>
    <t>KRZ502007017</t>
  </si>
  <si>
    <t>KRZ502324382</t>
  </si>
  <si>
    <t>KRZ50255718A</t>
  </si>
  <si>
    <t>18Y6</t>
    <phoneticPr fontId="2" type="noConversion"/>
  </si>
  <si>
    <t>KRZ502621300</t>
    <phoneticPr fontId="2" type="noConversion"/>
  </si>
  <si>
    <t>KB골럽 PDF 일반사모투자신탁 제1-1호(재간접형(H)(적격)</t>
    <phoneticPr fontId="2" type="noConversion"/>
  </si>
  <si>
    <t>KRZ502622021</t>
    <phoneticPr fontId="2" type="noConversion"/>
  </si>
  <si>
    <t>KB 글로벌 에이리스 사모대출 일반 사모투자신탁 제2-1호(재간접형)(H)(적격)</t>
    <phoneticPr fontId="2" type="noConversion"/>
  </si>
  <si>
    <t>청산펀드</t>
    <phoneticPr fontId="2" type="noConversion"/>
  </si>
  <si>
    <t>KRZ501889386</t>
  </si>
  <si>
    <t>등록중</t>
    <phoneticPr fontId="2" type="noConversion"/>
  </si>
  <si>
    <t>08L77</t>
    <phoneticPr fontId="2" type="noConversion"/>
  </si>
  <si>
    <t>이해윤</t>
    <phoneticPr fontId="2" type="noConversion"/>
  </si>
  <si>
    <t>08L82</t>
    <phoneticPr fontId="2" type="noConversion"/>
  </si>
  <si>
    <t>한국투자글로벌콜러EQUITY일반사모자투자신탁(H)</t>
    <phoneticPr fontId="2" type="noConversion"/>
  </si>
  <si>
    <t>2010.2.05</t>
    <phoneticPr fontId="2" type="noConversion"/>
  </si>
  <si>
    <t>2016.02.17</t>
    <phoneticPr fontId="2" type="noConversion"/>
  </si>
  <si>
    <t>2010.03.04</t>
    <phoneticPr fontId="2" type="noConversion"/>
  </si>
  <si>
    <t>DIMCO</t>
    <phoneticPr fontId="2" type="noConversion"/>
  </si>
  <si>
    <t>CITI</t>
    <phoneticPr fontId="2" type="noConversion"/>
  </si>
  <si>
    <t>2P2051</t>
    <phoneticPr fontId="2" type="noConversion"/>
  </si>
  <si>
    <t>신한달러인컴일반사모증권투자신탁제9호(USD)[채권혼합]</t>
    <phoneticPr fontId="2" type="noConversion"/>
  </si>
  <si>
    <t>KRZ502622970</t>
    <phoneticPr fontId="2" type="noConversion"/>
  </si>
  <si>
    <t>09C54</t>
    <phoneticPr fontId="2" type="noConversion"/>
  </si>
  <si>
    <t>한국투자UBP캠벨스마트알파증권자투자신탁H(혼합-재간접형)</t>
    <phoneticPr fontId="2" type="noConversion"/>
  </si>
  <si>
    <t>KRZ502419751</t>
  </si>
  <si>
    <t>KRZ502419891</t>
  </si>
  <si>
    <t>KRZ502419954</t>
  </si>
  <si>
    <t>KRZ502504881</t>
  </si>
  <si>
    <t>KRZ502510201</t>
  </si>
  <si>
    <t>KR7444490007</t>
  </si>
  <si>
    <t>KRZ502537521</t>
  </si>
  <si>
    <t>KRZ502503450</t>
  </si>
  <si>
    <t>KRZ502542880</t>
  </si>
  <si>
    <t>KRZ502542870</t>
  </si>
  <si>
    <t>KRZ502351844</t>
  </si>
  <si>
    <t>KRZ502620901</t>
    <phoneticPr fontId="2" type="noConversion"/>
  </si>
  <si>
    <t>KRZ502504221</t>
  </si>
  <si>
    <t>FB28</t>
    <phoneticPr fontId="2" type="noConversion"/>
  </si>
  <si>
    <t>키움누버거버먼미국Small Cap증권자투자신탁(H)[주식-재간접형]</t>
    <phoneticPr fontId="2" type="noConversion"/>
  </si>
  <si>
    <t>KRZ502625470</t>
    <phoneticPr fontId="2" type="noConversion"/>
  </si>
  <si>
    <t>구다은</t>
    <phoneticPr fontId="2" type="noConversion"/>
  </si>
  <si>
    <t>한화글로벌일반사모증권투자신탁7호(주식-재간접형)</t>
    <phoneticPr fontId="2" type="noConversion"/>
  </si>
  <si>
    <t>2025.04.15</t>
    <phoneticPr fontId="2" type="noConversion"/>
  </si>
  <si>
    <t>WOORI</t>
    <phoneticPr fontId="2" type="noConversion"/>
  </si>
  <si>
    <t>1B35</t>
    <phoneticPr fontId="2" type="noConversion"/>
  </si>
  <si>
    <t>1B46</t>
    <phoneticPr fontId="2" type="noConversion"/>
  </si>
  <si>
    <t>KRZ502625731</t>
    <phoneticPr fontId="2" type="noConversion"/>
  </si>
  <si>
    <t>육성홍</t>
    <phoneticPr fontId="2" type="noConversion"/>
  </si>
  <si>
    <t>엄주원</t>
    <phoneticPr fontId="2" type="noConversion"/>
  </si>
  <si>
    <t>이동석</t>
    <phoneticPr fontId="2" type="noConversion"/>
  </si>
  <si>
    <t>강상석</t>
    <phoneticPr fontId="2" type="noConversion"/>
  </si>
  <si>
    <t>08M16</t>
    <phoneticPr fontId="2" type="noConversion"/>
  </si>
  <si>
    <t>김민희</t>
    <phoneticPr fontId="2" type="noConversion"/>
  </si>
  <si>
    <t>한국투자글로벌스텝스톤SCRED 일반사모 투자신탁</t>
    <phoneticPr fontId="2" type="noConversion"/>
  </si>
  <si>
    <t>한국투자글로벌 하버베스트 GPS 일반사모(H)</t>
    <phoneticPr fontId="2" type="noConversion"/>
  </si>
  <si>
    <t>08M12</t>
    <phoneticPr fontId="2" type="noConversion"/>
  </si>
  <si>
    <t>KRZ502625960</t>
    <phoneticPr fontId="2" type="noConversion"/>
  </si>
  <si>
    <t>한국투자글로벌GolubGCRED 일반사모투자신탁</t>
    <phoneticPr fontId="2" type="noConversion"/>
  </si>
  <si>
    <t>NHSEC</t>
    <phoneticPr fontId="2" type="noConversion"/>
  </si>
  <si>
    <t>CITI</t>
    <phoneticPr fontId="2" type="noConversion"/>
  </si>
  <si>
    <t>KRZ500354770</t>
    <phoneticPr fontId="2" type="noConversion"/>
  </si>
  <si>
    <t>KRZ500366710</t>
    <phoneticPr fontId="2" type="noConversion"/>
  </si>
  <si>
    <t>KRZ502393995</t>
    <phoneticPr fontId="2" type="noConversion"/>
  </si>
  <si>
    <t>KRZ50035665B</t>
    <phoneticPr fontId="2" type="noConversion"/>
  </si>
  <si>
    <t>KRZ502384080</t>
    <phoneticPr fontId="2" type="noConversion"/>
  </si>
  <si>
    <t>키움자산</t>
    <phoneticPr fontId="2" type="noConversion"/>
  </si>
  <si>
    <t>KRZ502500090</t>
    <phoneticPr fontId="2" type="noConversion"/>
  </si>
  <si>
    <t>KRZ502500118</t>
    <phoneticPr fontId="2" type="noConversion"/>
  </si>
  <si>
    <t>KRZ502383770</t>
  </si>
  <si>
    <t>KRZ502315860</t>
  </si>
  <si>
    <t>KRZ502464640</t>
    <phoneticPr fontId="2" type="noConversion"/>
  </si>
  <si>
    <t>KRZ502464620</t>
    <phoneticPr fontId="2" type="noConversion"/>
  </si>
  <si>
    <t>거래구분</t>
    <phoneticPr fontId="2" type="noConversion"/>
  </si>
  <si>
    <t>연번</t>
    <phoneticPr fontId="2" type="noConversion"/>
  </si>
  <si>
    <t>SPOT</t>
    <phoneticPr fontId="2" type="noConversion"/>
  </si>
  <si>
    <t>IBK자산운용</t>
    <phoneticPr fontId="2" type="noConversion"/>
  </si>
  <si>
    <t>해외투자팀</t>
    <phoneticPr fontId="2" type="noConversion"/>
  </si>
  <si>
    <t>김경준</t>
    <phoneticPr fontId="2" type="noConversion"/>
  </si>
  <si>
    <t>IBK 일반 사모증권투자신탁 2호[주식-재간접형]</t>
    <phoneticPr fontId="2" type="noConversion"/>
  </si>
  <si>
    <t>IBK_ASSET</t>
    <phoneticPr fontId="2" type="noConversion"/>
  </si>
  <si>
    <t>SHB</t>
    <phoneticPr fontId="2" type="noConversion"/>
  </si>
  <si>
    <t>008785</t>
    <phoneticPr fontId="2" type="noConversion"/>
  </si>
  <si>
    <t>002881</t>
    <phoneticPr fontId="2" type="noConversion"/>
  </si>
  <si>
    <t>001621</t>
    <phoneticPr fontId="2" type="noConversion"/>
  </si>
  <si>
    <t>001900</t>
    <phoneticPr fontId="2" type="noConversion"/>
  </si>
  <si>
    <t>008011</t>
    <phoneticPr fontId="2" type="noConversion"/>
  </si>
  <si>
    <t>008031</t>
    <phoneticPr fontId="2" type="noConversion"/>
  </si>
  <si>
    <t>008300</t>
    <phoneticPr fontId="2" type="noConversion"/>
  </si>
  <si>
    <t>008010</t>
    <phoneticPr fontId="2" type="noConversion"/>
  </si>
  <si>
    <t>002893</t>
    <phoneticPr fontId="2" type="noConversion"/>
  </si>
  <si>
    <t>002891</t>
    <phoneticPr fontId="2" type="noConversion"/>
  </si>
  <si>
    <t>002892</t>
    <phoneticPr fontId="2" type="noConversion"/>
  </si>
  <si>
    <t>002911</t>
    <phoneticPr fontId="2" type="noConversion"/>
  </si>
  <si>
    <t>008420</t>
    <phoneticPr fontId="2" type="noConversion"/>
  </si>
  <si>
    <t>005330</t>
    <phoneticPr fontId="2" type="noConversion"/>
  </si>
  <si>
    <t>002910</t>
    <phoneticPr fontId="2" type="noConversion"/>
  </si>
  <si>
    <t>002906</t>
    <phoneticPr fontId="2" type="noConversion"/>
  </si>
  <si>
    <t>002237</t>
    <phoneticPr fontId="2" type="noConversion"/>
  </si>
  <si>
    <t>002887</t>
    <phoneticPr fontId="2" type="noConversion"/>
  </si>
  <si>
    <t>`</t>
    <phoneticPr fontId="2" type="noConversion"/>
  </si>
  <si>
    <t>구분</t>
    <phoneticPr fontId="2" type="noConversion"/>
  </si>
  <si>
    <t>KRZ502022630</t>
  </si>
  <si>
    <t>KRZ501810870</t>
  </si>
  <si>
    <t>KRZ500422640</t>
  </si>
  <si>
    <t>KRZ502387330</t>
  </si>
  <si>
    <t>KRZ500409130</t>
  </si>
  <si>
    <t>KRZ501851730</t>
  </si>
  <si>
    <t>KRZ501851641</t>
  </si>
  <si>
    <t>KRZ501908361</t>
  </si>
  <si>
    <t>KRZ500151981</t>
  </si>
  <si>
    <t>KRZ501819270</t>
  </si>
  <si>
    <t>KRZ502434721</t>
  </si>
  <si>
    <t>KRZ502434731</t>
  </si>
  <si>
    <t>KRZ501924330</t>
  </si>
  <si>
    <t>KRZ502377140</t>
    <phoneticPr fontId="2" type="noConversion"/>
  </si>
  <si>
    <t>KRZ502384710</t>
    <phoneticPr fontId="2" type="noConversion"/>
  </si>
  <si>
    <t>KRZ502434710</t>
  </si>
  <si>
    <t>KRZ502457760</t>
  </si>
  <si>
    <t>KRZ502458840</t>
    <phoneticPr fontId="2" type="noConversion"/>
  </si>
  <si>
    <t>KRZ502458860</t>
    <phoneticPr fontId="2" type="noConversion"/>
  </si>
  <si>
    <t>KRZ502458850</t>
  </si>
  <si>
    <t>KRZ502473660</t>
  </si>
  <si>
    <t>KRZ502459380</t>
  </si>
  <si>
    <t>KRZ501772290</t>
  </si>
  <si>
    <t>KRZ500587991</t>
  </si>
  <si>
    <t>KRZ502496570</t>
  </si>
  <si>
    <t>KRZ502473650</t>
  </si>
  <si>
    <t>KRZ502459390</t>
  </si>
  <si>
    <t>KRZ502544240</t>
  </si>
  <si>
    <t>한화글로벌본드인컴증권 모투자신탁(채권 - 재간접형)</t>
    <phoneticPr fontId="2" type="noConversion"/>
  </si>
  <si>
    <t>한화글로벌인컴증권 자투자신탁UH(채권 - 재간접형)</t>
    <phoneticPr fontId="2" type="noConversion"/>
  </si>
  <si>
    <t>한화월지급글로벌본드인컴증권 자투자신탁H(채권 - 재간접형)</t>
    <phoneticPr fontId="2" type="noConversion"/>
  </si>
  <si>
    <t>한화글로벌매크로증권 모투자신탁(주식혼합-재간접형)</t>
    <phoneticPr fontId="2" type="noConversion"/>
  </si>
  <si>
    <t>한화아세안증권 모투자신탁 (주식-재간접형)</t>
    <phoneticPr fontId="2" type="noConversion"/>
  </si>
  <si>
    <t>한화 Japan REITs 부동산 투자신탁 1호 (리츠-재간접형)</t>
    <phoneticPr fontId="2" type="noConversion"/>
  </si>
  <si>
    <t>KRZ502384731</t>
  </si>
  <si>
    <t>KRZ502384811</t>
    <phoneticPr fontId="2" type="noConversion"/>
  </si>
  <si>
    <t>KRZ502384751</t>
    <phoneticPr fontId="2" type="noConversion"/>
  </si>
  <si>
    <t>KRZ502302660</t>
  </si>
  <si>
    <t>담당자</t>
    <phoneticPr fontId="2" type="noConversion"/>
  </si>
  <si>
    <t>설정일</t>
    <phoneticPr fontId="2" type="noConversion"/>
  </si>
  <si>
    <t>NAV</t>
    <phoneticPr fontId="2" type="noConversion"/>
  </si>
  <si>
    <t>CME8</t>
    <phoneticPr fontId="2" type="noConversion"/>
  </si>
  <si>
    <t>KRZ502627670</t>
    <phoneticPr fontId="2" type="noConversion"/>
  </si>
  <si>
    <t>KB 한국단기채 프리미엄 일반 사모 증권 투자신탁 제49호(USD)(채권)(전문)</t>
    <phoneticPr fontId="2" type="noConversion"/>
  </si>
  <si>
    <t>KRZ502325840</t>
    <phoneticPr fontId="2" type="noConversion"/>
  </si>
  <si>
    <t>KRZ502270590</t>
    <phoneticPr fontId="2" type="noConversion"/>
  </si>
  <si>
    <t>KRZ502325850</t>
    <phoneticPr fontId="2" type="noConversion"/>
  </si>
  <si>
    <t xml:space="preserve"> KRZ502416450</t>
    <phoneticPr fontId="2" type="noConversion"/>
  </si>
  <si>
    <t>KRZ502299890</t>
    <phoneticPr fontId="2" type="noConversion"/>
  </si>
  <si>
    <t>KRZ502606260</t>
    <phoneticPr fontId="2" type="noConversion"/>
  </si>
  <si>
    <t>KRZ502396640</t>
    <phoneticPr fontId="2" type="noConversion"/>
  </si>
  <si>
    <t>KRZ502418790</t>
    <phoneticPr fontId="2" type="noConversion"/>
  </si>
  <si>
    <t>KRZ502418820</t>
    <phoneticPr fontId="2" type="noConversion"/>
  </si>
  <si>
    <t>KRZ502437140</t>
    <phoneticPr fontId="2" type="noConversion"/>
  </si>
  <si>
    <t>KRZ502536970</t>
    <phoneticPr fontId="2" type="noConversion"/>
  </si>
  <si>
    <t>KRZ502575430</t>
    <phoneticPr fontId="2" type="noConversion"/>
  </si>
  <si>
    <t>09C67</t>
    <phoneticPr fontId="2" type="noConversion"/>
  </si>
  <si>
    <t>CITI</t>
    <phoneticPr fontId="2" type="noConversion"/>
  </si>
  <si>
    <t>08M19</t>
    <phoneticPr fontId="2" type="noConversion"/>
  </si>
  <si>
    <t>KRZ502627961</t>
    <phoneticPr fontId="2" type="noConversion"/>
  </si>
  <si>
    <t>KB 글로벌 EQT 넥서스 일반 사모투자신탁 제1-1호(재간접형)(H)(적격)</t>
    <phoneticPr fontId="2" type="noConversion"/>
  </si>
  <si>
    <t>KRZ502412180</t>
  </si>
  <si>
    <t>KRZ502458390</t>
  </si>
  <si>
    <t>KRZ502555680</t>
  </si>
  <si>
    <t>KRZ502555700</t>
  </si>
  <si>
    <t>KRZ502600150</t>
  </si>
  <si>
    <t>KRZ502575520</t>
  </si>
  <si>
    <t>KRZ502576720</t>
  </si>
  <si>
    <t>KRZ502576761</t>
  </si>
  <si>
    <t>KRZ502615690</t>
  </si>
  <si>
    <t>KRZ502617461</t>
  </si>
  <si>
    <t>KRZ502507110</t>
    <phoneticPr fontId="2" type="noConversion"/>
  </si>
  <si>
    <t>KRZ502531170</t>
    <phoneticPr fontId="2" type="noConversion"/>
  </si>
  <si>
    <t>KRZ502559170</t>
    <phoneticPr fontId="2" type="noConversion"/>
  </si>
  <si>
    <t>KRZ502551440</t>
    <phoneticPr fontId="2" type="noConversion"/>
  </si>
  <si>
    <t>KRZ502560590</t>
    <phoneticPr fontId="2" type="noConversion"/>
  </si>
  <si>
    <t>KRZ502502310</t>
    <phoneticPr fontId="2" type="noConversion"/>
  </si>
  <si>
    <t>KRZ502491460</t>
    <phoneticPr fontId="2" type="noConversion"/>
  </si>
  <si>
    <t>KRZ502098920</t>
    <phoneticPr fontId="2" type="noConversion"/>
  </si>
  <si>
    <t>KRZ502065910</t>
    <phoneticPr fontId="2" type="noConversion"/>
  </si>
  <si>
    <t>KRZ501806530</t>
    <phoneticPr fontId="2" type="noConversion"/>
  </si>
  <si>
    <t>KRZ502448520</t>
    <phoneticPr fontId="2" type="noConversion"/>
  </si>
  <si>
    <t>KRZ502027820</t>
    <phoneticPr fontId="2" type="noConversion"/>
  </si>
  <si>
    <t>GIS1팀(김민희)</t>
    <phoneticPr fontId="2" type="noConversion"/>
  </si>
  <si>
    <t>GIS1팀(주승현)</t>
    <phoneticPr fontId="2" type="noConversion"/>
  </si>
  <si>
    <t>KRZ502605460</t>
    <phoneticPr fontId="2" type="noConversion"/>
  </si>
  <si>
    <t>흥국 글로벌인컴 증권모투자신탁[채권혼합-재간접]</t>
    <phoneticPr fontId="2" type="noConversion"/>
  </si>
  <si>
    <t>펀드삭제</t>
    <phoneticPr fontId="2" type="noConversion"/>
  </si>
  <si>
    <t>PR04</t>
    <phoneticPr fontId="2" type="noConversion"/>
  </si>
  <si>
    <t>06Z66</t>
    <phoneticPr fontId="2" type="noConversion"/>
  </si>
  <si>
    <t>KRZ502581620</t>
    <phoneticPr fontId="2" type="noConversion"/>
  </si>
  <si>
    <t>선제우</t>
    <phoneticPr fontId="2" type="noConversion"/>
  </si>
  <si>
    <t>한국투자옐로우엄브렐러이머징절대수익형일반사모투자신탁Redwheel KZ(G) 2025-2호</t>
    <phoneticPr fontId="2" type="noConversion"/>
  </si>
  <si>
    <t>한국투신</t>
    <phoneticPr fontId="2" type="noConversion"/>
  </si>
  <si>
    <t>06X23</t>
    <phoneticPr fontId="2" type="noConversion"/>
  </si>
  <si>
    <t>사모</t>
    <phoneticPr fontId="2" type="noConversion"/>
  </si>
  <si>
    <t>KRZ502502880</t>
    <phoneticPr fontId="2" type="noConversion"/>
  </si>
  <si>
    <t>선제우</t>
    <phoneticPr fontId="2" type="noConversion"/>
  </si>
  <si>
    <t>CITI</t>
    <phoneticPr fontId="2" type="noConversion"/>
  </si>
  <si>
    <t>한국투자옐로우엄브렐러글로벌절대수익형일반사모투자신탁KZ2022-1호</t>
    <phoneticPr fontId="2" type="noConversion"/>
  </si>
  <si>
    <t>25.6.10기준 기준가 400으로 만기까지 추가취급금지</t>
    <phoneticPr fontId="2" type="noConversion"/>
  </si>
  <si>
    <t>글로벌버크셔XI 일반사모투자신탁</t>
    <phoneticPr fontId="2" type="noConversion"/>
  </si>
  <si>
    <t>KRZ502609290</t>
    <phoneticPr fontId="2" type="noConversion"/>
  </si>
  <si>
    <t>08K93</t>
    <phoneticPr fontId="2" type="noConversion"/>
  </si>
  <si>
    <t>NHSEC</t>
    <phoneticPr fontId="2" type="noConversion"/>
  </si>
  <si>
    <t>Q337</t>
    <phoneticPr fontId="2" type="noConversion"/>
  </si>
  <si>
    <t>KRZ502461390</t>
    <phoneticPr fontId="2" type="noConversion"/>
  </si>
  <si>
    <t>옐로우엄브렐러 글로벌 일반사모투자신탁 KZ-41호</t>
    <phoneticPr fontId="2" type="noConversion"/>
  </si>
  <si>
    <t>08M44</t>
    <phoneticPr fontId="2" type="noConversion"/>
  </si>
  <si>
    <t>KRZ502630661</t>
    <phoneticPr fontId="2" type="noConversion"/>
  </si>
  <si>
    <t>박준열</t>
    <phoneticPr fontId="2" type="noConversion"/>
  </si>
  <si>
    <t>한국투자글로벌칼라일MonedaCLO일반사모자투자신탁(H)</t>
    <phoneticPr fontId="2" type="noConversion"/>
  </si>
  <si>
    <t>2025.06.12</t>
    <phoneticPr fontId="2" type="noConversion"/>
  </si>
  <si>
    <t>KRZ502628001</t>
    <phoneticPr fontId="2" type="noConversion"/>
  </si>
  <si>
    <t>한국투자글로벌월지급식뮤지니치일반사모투자신탁</t>
    <phoneticPr fontId="2" type="noConversion"/>
  </si>
  <si>
    <t>2025.05.22</t>
    <phoneticPr fontId="2" type="noConversion"/>
  </si>
  <si>
    <t>08M26</t>
    <phoneticPr fontId="2" type="noConversion"/>
  </si>
  <si>
    <t>1C761</t>
    <phoneticPr fontId="2" type="noConversion"/>
  </si>
  <si>
    <t>1C677</t>
    <phoneticPr fontId="2" type="noConversion"/>
  </si>
  <si>
    <t>009500</t>
    <phoneticPr fontId="2" type="noConversion"/>
  </si>
  <si>
    <t>KRZ502630461</t>
    <phoneticPr fontId="2" type="noConversion"/>
  </si>
  <si>
    <t>한화 오크트리 크레딧 일반사모투자신탁 1호</t>
    <phoneticPr fontId="2" type="noConversion"/>
  </si>
  <si>
    <t>1B55</t>
    <phoneticPr fontId="2" type="noConversion"/>
  </si>
  <si>
    <t>SAMSUNG_SEC</t>
    <phoneticPr fontId="2" type="noConversion"/>
  </si>
  <si>
    <t>1B53</t>
    <phoneticPr fontId="2" type="noConversion"/>
  </si>
  <si>
    <t>KRZ502630120</t>
    <phoneticPr fontId="2" type="noConversion"/>
  </si>
  <si>
    <t>KRZ502630990</t>
    <phoneticPr fontId="2" type="noConversion"/>
  </si>
  <si>
    <t>KB 오크트리 사모대출 일반 사모 투자신탁 제1호(재간접형)(H)(적격)</t>
    <phoneticPr fontId="2" type="noConversion"/>
  </si>
  <si>
    <t>2025.06.17</t>
    <phoneticPr fontId="2" type="noConversion"/>
  </si>
  <si>
    <t>KB 글로벌 누버거버먼 PEF 일반 사모 투자신탁 제2-1호(재간접형)(H)(적격)</t>
    <phoneticPr fontId="2" type="noConversion"/>
  </si>
  <si>
    <t>2025.06.16</t>
    <phoneticPr fontId="2" type="noConversion"/>
  </si>
  <si>
    <t>KRZ502628220</t>
    <phoneticPr fontId="2" type="noConversion"/>
  </si>
  <si>
    <t>키움키워드림TDF2065증권자투자신탁제1호(H)[혼합-재간접형]</t>
    <phoneticPr fontId="2" type="noConversion"/>
  </si>
  <si>
    <t>KRZ502631041</t>
    <phoneticPr fontId="2" type="noConversion"/>
  </si>
  <si>
    <t>연번</t>
    <phoneticPr fontId="2" type="noConversion"/>
  </si>
  <si>
    <t>KRZ502629150</t>
    <phoneticPr fontId="2" type="noConversion"/>
  </si>
  <si>
    <t>DB Ardian 일반사모투자신탁 제 1호</t>
    <phoneticPr fontId="2" type="noConversion"/>
  </si>
  <si>
    <t>DB AdamsStreet 일반사모투자신탁 제1호</t>
    <phoneticPr fontId="2" type="noConversion"/>
  </si>
  <si>
    <t>폐쇄</t>
    <phoneticPr fontId="2" type="noConversion"/>
  </si>
  <si>
    <t>KRZ500674101</t>
  </si>
  <si>
    <t>KRZ502091021</t>
    <phoneticPr fontId="2" type="noConversion"/>
  </si>
  <si>
    <t>KRZ501972750</t>
    <phoneticPr fontId="2" type="noConversion"/>
  </si>
  <si>
    <t>KRZ501972771</t>
  </si>
  <si>
    <t>흥국글로벌AI이코노미증권모투자신탁[주식]</t>
    <phoneticPr fontId="2" type="noConversion"/>
  </si>
  <si>
    <t>흥국글로벌AI이코노미증권자투자신탁1호(H)[주식]</t>
    <phoneticPr fontId="2" type="noConversion"/>
  </si>
  <si>
    <t>KRZ501985841</t>
  </si>
  <si>
    <t>KRZ502405330</t>
  </si>
  <si>
    <t>KRZ502429230</t>
  </si>
  <si>
    <t>KRZ502445621</t>
  </si>
  <si>
    <t>KRZ502481141</t>
  </si>
  <si>
    <t>M191</t>
    <phoneticPr fontId="2" type="noConversion"/>
  </si>
  <si>
    <t>KRZ502605501</t>
    <phoneticPr fontId="2" type="noConversion"/>
  </si>
  <si>
    <t>흥국디딤연금플러스증권자투자신탁[혼합-재간접형]</t>
    <phoneticPr fontId="2" type="noConversion"/>
  </si>
  <si>
    <t>청산 펀드</t>
    <phoneticPr fontId="2" type="noConversion"/>
  </si>
  <si>
    <t>KRZ501850320</t>
    <phoneticPr fontId="2" type="noConversion"/>
  </si>
  <si>
    <t>KRZ502201200</t>
    <phoneticPr fontId="2" type="noConversion"/>
  </si>
  <si>
    <t>KRZ502520600</t>
    <phoneticPr fontId="2" type="noConversion"/>
  </si>
  <si>
    <t>KRZ502545730</t>
    <phoneticPr fontId="2" type="noConversion"/>
  </si>
  <si>
    <t>연번</t>
    <phoneticPr fontId="2" type="noConversion"/>
  </si>
  <si>
    <t>하나 더 넥스트 TDF 2030 증권투자신탁[혼합-재간접형]</t>
    <phoneticPr fontId="2" type="noConversion"/>
  </si>
  <si>
    <t>하나 더 넥스트 TDF 2035 증권투자신탁[혼합-재간접형]</t>
    <phoneticPr fontId="2" type="noConversion"/>
  </si>
  <si>
    <t>하나 더 넥스트 TDF 2040 증권투자신탁[혼합-재간접형]</t>
    <phoneticPr fontId="2" type="noConversion"/>
  </si>
  <si>
    <t>하나 더 넥스트 TDF 2045 증권투자신탁[혼합-재간접형]</t>
    <phoneticPr fontId="2" type="noConversion"/>
  </si>
  <si>
    <t>하나 더 넥스트 TDF 2050 증권투자신탁[혼합-재간접형]</t>
    <phoneticPr fontId="2" type="noConversion"/>
  </si>
  <si>
    <t>하나 더 넥스트 TDF 2055 증권투자신탁[혼합-재간접형]</t>
    <phoneticPr fontId="2" type="noConversion"/>
  </si>
  <si>
    <t>1B54</t>
    <phoneticPr fontId="2" type="noConversion"/>
  </si>
  <si>
    <t>9P1019</t>
    <phoneticPr fontId="2" type="noConversion"/>
  </si>
  <si>
    <t>신한아폴로크레딧일반사모투자신탁제1-A호(H)</t>
    <phoneticPr fontId="2" type="noConversion"/>
  </si>
  <si>
    <t>2025-07</t>
    <phoneticPr fontId="2" type="noConversion"/>
  </si>
  <si>
    <t>우리프랭클린미국하이일드증권모투자신탁(채권-재간접형)</t>
  </si>
  <si>
    <t>우리프랭클린미국하이일드증권자투자신탁(채권-재간접형)</t>
  </si>
  <si>
    <t>우리프랭클린내츄럴리소스증권자투자신탁(주식-재간접형)</t>
  </si>
  <si>
    <t>우리템플턴글로벌증권자투자신탁(E)(주식)</t>
  </si>
  <si>
    <t>1B61</t>
    <phoneticPr fontId="2" type="noConversion"/>
  </si>
  <si>
    <t>KRZ502632251</t>
    <phoneticPr fontId="2" type="noConversion"/>
  </si>
  <si>
    <t>KB 글로벌 GOLUB 사모대출 일반 사모 투자신탁 제1-1호(재간접형)(H)(적격)</t>
    <phoneticPr fontId="2" type="noConversion"/>
  </si>
  <si>
    <t>2025.06.26</t>
    <phoneticPr fontId="2" type="noConversion"/>
  </si>
  <si>
    <t>KRZ500282280</t>
  </si>
  <si>
    <t>KRZ500282090</t>
  </si>
  <si>
    <t>KRZ501282081</t>
    <phoneticPr fontId="2" type="noConversion"/>
  </si>
  <si>
    <t>KRZ501731690</t>
    <phoneticPr fontId="2" type="noConversion"/>
  </si>
  <si>
    <t>KRZ501698790</t>
    <phoneticPr fontId="2" type="noConversion"/>
  </si>
  <si>
    <t>KRZ500571592</t>
    <phoneticPr fontId="2" type="noConversion"/>
  </si>
  <si>
    <t>KRZ501701731</t>
    <phoneticPr fontId="2" type="noConversion"/>
  </si>
  <si>
    <t>KRZ501791390</t>
    <phoneticPr fontId="2" type="noConversion"/>
  </si>
  <si>
    <t>KRZ501791402</t>
    <phoneticPr fontId="2" type="noConversion"/>
  </si>
  <si>
    <t>KRZ501791412</t>
    <phoneticPr fontId="2" type="noConversion"/>
  </si>
  <si>
    <t>KRZ501804840</t>
    <phoneticPr fontId="2" type="noConversion"/>
  </si>
  <si>
    <t>KRZ501824241</t>
    <phoneticPr fontId="2" type="noConversion"/>
  </si>
  <si>
    <t>KRZ50182424A</t>
    <phoneticPr fontId="2" type="noConversion"/>
  </si>
  <si>
    <t>KRZ500368290</t>
    <phoneticPr fontId="2" type="noConversion"/>
  </si>
  <si>
    <t>KRZ500367641</t>
    <phoneticPr fontId="2" type="noConversion"/>
  </si>
  <si>
    <t>KRZ500367010</t>
    <phoneticPr fontId="2" type="noConversion"/>
  </si>
  <si>
    <t>KRZ50136641J</t>
    <phoneticPr fontId="2" type="noConversion"/>
  </si>
  <si>
    <t>KRZ500367020</t>
    <phoneticPr fontId="2" type="noConversion"/>
  </si>
  <si>
    <t>KRZ500413830</t>
    <phoneticPr fontId="2" type="noConversion"/>
  </si>
  <si>
    <t>KRZ500413131</t>
    <phoneticPr fontId="2" type="noConversion"/>
  </si>
  <si>
    <t>KRZ501957080</t>
    <phoneticPr fontId="2" type="noConversion"/>
  </si>
  <si>
    <t>KRZ501957093</t>
    <phoneticPr fontId="2" type="noConversion"/>
  </si>
  <si>
    <t>KRZ500237470</t>
    <phoneticPr fontId="2" type="noConversion"/>
  </si>
  <si>
    <t>KRZ501316105</t>
    <phoneticPr fontId="2" type="noConversion"/>
  </si>
  <si>
    <t>KRZ500251970</t>
    <phoneticPr fontId="2" type="noConversion"/>
  </si>
  <si>
    <t>KRZ501252111</t>
    <phoneticPr fontId="2" type="noConversion"/>
  </si>
  <si>
    <t>KRZ500305420</t>
    <phoneticPr fontId="2" type="noConversion"/>
  </si>
  <si>
    <t>우리템플턴퇴직연금글로벌40증권자투자신탁(채권혼합)</t>
    <phoneticPr fontId="2" type="noConversion"/>
  </si>
  <si>
    <t>우리템플턴유로피언증권모투자신탁(주식)</t>
    <phoneticPr fontId="2" type="noConversion"/>
  </si>
  <si>
    <t>우리프랭클린미국금리연동특별자산모투자신탁(대출채권)</t>
    <phoneticPr fontId="2" type="noConversion"/>
  </si>
  <si>
    <t>우리프랭클린미국금리연동특별자산자투자신탁(대출채권)</t>
    <phoneticPr fontId="2" type="noConversion"/>
  </si>
  <si>
    <t>우리프랭클린NextStep밸런스드그로스증권투자신탁(주식혼합-재간접형)</t>
    <phoneticPr fontId="2" type="noConversion"/>
  </si>
  <si>
    <t>우리프랭클린NextStep다이나믹그로스증권투자신탁(주식혼합-재간접형)</t>
    <phoneticPr fontId="2" type="noConversion"/>
  </si>
  <si>
    <t>KRZ501764931</t>
    <phoneticPr fontId="2" type="noConversion"/>
  </si>
  <si>
    <t>KRZ500366090</t>
    <phoneticPr fontId="2" type="noConversion"/>
  </si>
  <si>
    <t>KRZ500363650</t>
    <phoneticPr fontId="2" type="noConversion"/>
  </si>
  <si>
    <t>연번</t>
    <phoneticPr fontId="2" type="noConversion"/>
  </si>
  <si>
    <t>공모</t>
    <phoneticPr fontId="2" type="noConversion"/>
  </si>
  <si>
    <t>성준오</t>
    <phoneticPr fontId="2" type="noConversion"/>
  </si>
  <si>
    <t>기준가 400미만 취급불가</t>
    <phoneticPr fontId="2" type="noConversion"/>
  </si>
  <si>
    <t>08M51</t>
    <phoneticPr fontId="2" type="noConversion"/>
  </si>
  <si>
    <t>KRZ502631281</t>
    <phoneticPr fontId="2" type="noConversion"/>
  </si>
  <si>
    <t>한국투자글로벌월지급식골드만삭스BDC일반사모자투자신탁2호(H)</t>
    <phoneticPr fontId="2" type="noConversion"/>
  </si>
  <si>
    <t>투자풀 글로벌 ETF 일반 사모증권투자신탁 제22-13호[주식-재간접형]</t>
    <phoneticPr fontId="2" type="noConversion"/>
  </si>
  <si>
    <t>Q072</t>
    <phoneticPr fontId="2" type="noConversion"/>
  </si>
  <si>
    <t>HSBC</t>
    <phoneticPr fontId="2" type="noConversion"/>
  </si>
  <si>
    <t>KB</t>
    <phoneticPr fontId="2" type="noConversion"/>
  </si>
  <si>
    <t>CITI</t>
    <phoneticPr fontId="2" type="noConversion"/>
  </si>
  <si>
    <t>키움 인도 제조업 증권자투자신탁(H)[주식]</t>
    <phoneticPr fontId="2" type="noConversion"/>
  </si>
  <si>
    <t>IBK 금리연계 전문투자형 사모 증권투자신탁 제32호[채권]</t>
    <phoneticPr fontId="2" type="noConversion"/>
  </si>
  <si>
    <t>IBK 금리연계 전문투자형 사모 증권투자신탁 제31호[채권]</t>
    <phoneticPr fontId="2" type="noConversion"/>
  </si>
  <si>
    <t>KB</t>
    <phoneticPr fontId="2" type="noConversion"/>
  </si>
  <si>
    <t>KRZ502460600</t>
    <phoneticPr fontId="2" type="noConversion"/>
  </si>
  <si>
    <t>KRZ502460620</t>
    <phoneticPr fontId="2" type="noConversion"/>
  </si>
  <si>
    <t>06w85</t>
    <phoneticPr fontId="2" type="noConversion"/>
  </si>
  <si>
    <t>06w86</t>
    <phoneticPr fontId="2" type="noConversion"/>
  </si>
  <si>
    <t>HANA</t>
    <phoneticPr fontId="2" type="noConversion"/>
  </si>
  <si>
    <t>KRZ502613831</t>
    <phoneticPr fontId="2" type="noConversion"/>
  </si>
  <si>
    <t>08M79</t>
    <phoneticPr fontId="2" type="noConversion"/>
  </si>
  <si>
    <t>KRZ502639210</t>
    <phoneticPr fontId="2" type="noConversion"/>
  </si>
  <si>
    <t>한국투자블랙록CLO Equity 일반사모 투자신탁</t>
    <phoneticPr fontId="2" type="noConversion"/>
  </si>
  <si>
    <t>08M76</t>
    <phoneticPr fontId="2" type="noConversion"/>
  </si>
  <si>
    <t>KRZ502637520</t>
    <phoneticPr fontId="2" type="noConversion"/>
  </si>
  <si>
    <t>한국투자 Multi-selection 일반사모투자신탁 3호</t>
    <phoneticPr fontId="2" type="noConversion"/>
  </si>
  <si>
    <t>KB</t>
    <phoneticPr fontId="2" type="noConversion"/>
  </si>
  <si>
    <t>키움 키워드림다이나믹 TDF 2040 증권자투자신탁제1호(H)[혼합-재간접형]</t>
    <phoneticPr fontId="2" type="noConversion"/>
  </si>
  <si>
    <t>키움 키워드림다이나믹 TDF 2050 증권자투자신탁제1호(H)[혼합-재간접형]</t>
    <phoneticPr fontId="2" type="noConversion"/>
  </si>
  <si>
    <t>키움 키워드림다이나믹 TDF 2060 증권자투자신탁제1호(H)[혼합-재간접형]</t>
    <phoneticPr fontId="2" type="noConversion"/>
  </si>
  <si>
    <t>카디안 미국 하이일드 증권자투자신탁(H)[채권-재간접형]</t>
  </si>
  <si>
    <t>카디안 월지급 미국 하이일드 증권자투자신탁(H)[채권-재간접형]</t>
  </si>
  <si>
    <t>카디안 미국 투자적격 회사채 증권자투자신탁 제2호(H)[채권-재간접형]</t>
  </si>
  <si>
    <t>카디안 미국 투자적격 회사채 증권자투자신탁(H)[채권-재간접형]</t>
  </si>
  <si>
    <t>카디안 월지급 미국 투자적격 회사채 증권자투자신탁(H)[채권-재간접형]</t>
  </si>
  <si>
    <t>카디안 퇴직연금 글로벌 리더스 40 증권자투자신탁[채권혼합]</t>
  </si>
  <si>
    <t>카디안 차이나 드래곤 A Share 40 증권자투자신탁(H)[채권혼합]</t>
  </si>
  <si>
    <t>카디안 아시아 퍼시픽 고배당 증권자투자신탁(H)[주식-재간접형]</t>
  </si>
  <si>
    <t>카디안 월지급 아시아 퍼시픽 고배당 증권자투자신탁(H)[주식-재간접형]</t>
  </si>
  <si>
    <t>카디안 아시아 로우볼 증권자투자신탁(H)[주식-재간접형]</t>
  </si>
  <si>
    <t>카디안 글로벌 이머징 증권자투자신탁 제1호[주식-재간접형]</t>
  </si>
  <si>
    <t>카디안 글로벌 이머징 증권자투자신탁 제2호[주식-재간접형]</t>
  </si>
  <si>
    <t>카디안 글로벌 이머징 증권자투자신탁 제3호[주식-재간접형]</t>
  </si>
  <si>
    <t>카디안 유러피언 리더스 증권자투자신탁[주식-재간접형]</t>
  </si>
  <si>
    <t>카디안 차이나 드래곤 A Share 증권자투자신탁(H)[주식]</t>
  </si>
  <si>
    <t>카디안차이나리더스증권자투자신탁(H)[주식-재간접형]</t>
  </si>
  <si>
    <t>카디안 유러피언 리더스 20 증권자투자신탁(H)[채권혼합]</t>
  </si>
  <si>
    <t>카디안 유러피언 리더스 40 증권자투자신탁(H)[채권혼합]</t>
  </si>
  <si>
    <t>카디안 미국 하이일드 증권모투자신탁[채권-재간접형]</t>
  </si>
  <si>
    <t>카디안 미국 투자적격 회사채 증권모투자신탁(미달러)[채권-재간접형]</t>
  </si>
  <si>
    <t>카디안 K단기채 알파 증권투자신탁[채권혼합]</t>
  </si>
  <si>
    <t>카디안 아시아 퍼시픽 고배당 증권모투자신탁[주식-재간접형]</t>
  </si>
  <si>
    <t>카디안 글로벌 이머징 증권모투자신탁(미달러)[주식-재간접형]</t>
  </si>
  <si>
    <t>카디안 글로벌 리더스 증권자투자신탁[주식]</t>
  </si>
  <si>
    <t>카디안 유러피언 리더스 증권모투자신탁[주식-재간접형]</t>
  </si>
  <si>
    <t>카디안 차이나 드래곤 A Share 증권모투자신탁(미달러)[주식]</t>
  </si>
  <si>
    <t>카디안 미국 뱅크론 특별자산모투자신탁(미달러)[대출채권-재간접형]</t>
  </si>
  <si>
    <t>카디안 미국 뱅크론 특별자산자투자신탁(H)[대출채권-재간접형]</t>
  </si>
  <si>
    <t>카디안 미국 뱅크론 특별자산자투자신탁(UH)[대출채권-재간접형]</t>
  </si>
  <si>
    <t>카디안 다이나믹 재팬 증권모투자신탁[주식-재간접형]</t>
  </si>
  <si>
    <t>카디안 다이나믹 재팬 증권자투자신탁(H)[주식-재간접형]</t>
  </si>
  <si>
    <t>카디안 글로벌온콜로지증권자투자신탁(H)[주식-재간접형]</t>
  </si>
  <si>
    <t>카디안 글로벌온콜로지증권자투자신탁(UH)[주식-재간접형]</t>
  </si>
  <si>
    <t>카디안 코리아 차이나 지수연계 증권투자신탁 제1호[주식혼합-파생형]</t>
  </si>
  <si>
    <t>카디안 유럽 뱅크론 전문투자형 사모 특별자산투자신탁(H)[대출채권-재간접형]</t>
  </si>
  <si>
    <t>카디안 차이나 증권자투자신탁(H)[주식]</t>
  </si>
  <si>
    <t>카디안 차이나 증권모투자신탁[주식]</t>
  </si>
  <si>
    <t>카디안 친디아 증권자투자신탁[주식]</t>
  </si>
  <si>
    <t>카디안 글로벌 스마트 베타 EMP 증권자투자신탁(H)[주식-재간접형]</t>
  </si>
  <si>
    <t>카디안 변액보험 코리아 원자재 지수연계 증권투자신탁 제2호[주식혼합-파생형]</t>
  </si>
  <si>
    <t xml:space="preserve">키움 글로벌 구독경제 증권자투자신탁(H/UH) (주식) </t>
    <phoneticPr fontId="2" type="noConversion"/>
  </si>
  <si>
    <t>KRZ502097530</t>
  </si>
  <si>
    <t>KRZ502457541</t>
    <phoneticPr fontId="2" type="noConversion"/>
  </si>
  <si>
    <t>KRZ502577400</t>
    <phoneticPr fontId="2" type="noConversion"/>
  </si>
  <si>
    <t>KRZ502601152</t>
  </si>
  <si>
    <t>KRZ502404561</t>
    <phoneticPr fontId="2" type="noConversion"/>
  </si>
  <si>
    <t>KRZ502611185</t>
  </si>
  <si>
    <t>KRZ502611205</t>
  </si>
  <si>
    <t>KRZ502201211</t>
  </si>
  <si>
    <t>KRZ502600795</t>
  </si>
  <si>
    <t>KRZ502600805</t>
  </si>
  <si>
    <t>KRZ502600785</t>
  </si>
  <si>
    <t>KRZ502600725</t>
  </si>
  <si>
    <t>KRZ502627281</t>
  </si>
  <si>
    <t>3G461</t>
    <phoneticPr fontId="2" type="noConversion"/>
  </si>
  <si>
    <t>하나 월지급식 글로벌 인프라 증권 자투자신탁[주식]</t>
    <phoneticPr fontId="2" type="noConversion"/>
  </si>
  <si>
    <t>2025.01.12</t>
    <phoneticPr fontId="2" type="noConversion"/>
  </si>
  <si>
    <t>KRZ501949251</t>
    <phoneticPr fontId="2" type="noConversion"/>
  </si>
  <si>
    <t>IBK 글로벌 채권 증권투자신탁[채권-재간접형]</t>
    <phoneticPr fontId="2" type="noConversion"/>
  </si>
  <si>
    <t>CITI</t>
    <phoneticPr fontId="2" type="noConversion"/>
  </si>
  <si>
    <t>TU01</t>
    <phoneticPr fontId="2" type="noConversion"/>
  </si>
  <si>
    <t>08N12</t>
    <phoneticPr fontId="2" type="noConversion"/>
  </si>
  <si>
    <t>KRZ502642631</t>
    <phoneticPr fontId="2" type="noConversion"/>
  </si>
  <si>
    <t>한국투자 Franklin Lexington 세컨더리 일반사모자투자신탁(H)(A)</t>
    <phoneticPr fontId="2" type="noConversion"/>
  </si>
  <si>
    <t>08N13</t>
    <phoneticPr fontId="2" type="noConversion"/>
  </si>
  <si>
    <t>KRZ502642632</t>
    <phoneticPr fontId="2" type="noConversion"/>
  </si>
  <si>
    <t>한국투자 Franklin Lexington 세컨더리 일반사모자투자신탁(H)(A1)</t>
    <phoneticPr fontId="2" type="noConversion"/>
  </si>
  <si>
    <t>08M66</t>
    <phoneticPr fontId="2" type="noConversion"/>
  </si>
  <si>
    <t>08M72</t>
    <phoneticPr fontId="2" type="noConversion"/>
  </si>
  <si>
    <t>한국투자 Multi-selection 일반사모투자신탁 3호(H)</t>
    <phoneticPr fontId="2" type="noConversion"/>
  </si>
  <si>
    <t>KRZ502635160</t>
    <phoneticPr fontId="2" type="noConversion"/>
  </si>
  <si>
    <t>KRZ502635431</t>
    <phoneticPr fontId="2" type="noConversion"/>
  </si>
  <si>
    <t>한국투자 글로벌 칼라일 CAPM 일반사모 자투자신탁(H)</t>
  </si>
  <si>
    <t>08M82</t>
    <phoneticPr fontId="2" type="noConversion"/>
  </si>
  <si>
    <t>08M83</t>
    <phoneticPr fontId="2" type="noConversion"/>
  </si>
  <si>
    <t>1C301</t>
    <phoneticPr fontId="2" type="noConversion"/>
  </si>
  <si>
    <t>1B71</t>
    <phoneticPr fontId="2" type="noConversion"/>
  </si>
  <si>
    <t>KB 글로벌 NB 사모주식 일반 사모 투자신탁 제1-1호</t>
    <phoneticPr fontId="2" type="noConversion"/>
  </si>
  <si>
    <t>KRZ502641151</t>
    <phoneticPr fontId="2" type="noConversion"/>
  </si>
  <si>
    <t>2025.09.24</t>
    <phoneticPr fontId="2" type="noConversion"/>
  </si>
  <si>
    <t>KRZ502643690</t>
    <phoneticPr fontId="2" type="noConversion"/>
  </si>
  <si>
    <t>KRZ501863660</t>
    <phoneticPr fontId="2" type="noConversion"/>
  </si>
  <si>
    <t>08N22</t>
    <phoneticPr fontId="2" type="noConversion"/>
  </si>
  <si>
    <t>08N18</t>
    <phoneticPr fontId="2" type="noConversion"/>
  </si>
  <si>
    <t>KRZ502643031</t>
    <phoneticPr fontId="2" type="noConversion"/>
  </si>
  <si>
    <t xml:space="preserve">한국투자글로벌월지급식블랙록BDEBT일반사모자투자신탁2호(H)모 </t>
    <phoneticPr fontId="2" type="noConversion"/>
  </si>
  <si>
    <t>KRZ502297892</t>
    <phoneticPr fontId="2" type="noConversion"/>
  </si>
  <si>
    <t xml:space="preserve">IBK플레인바닐라EMP증권투자신탁[혼합-재간접형] </t>
    <phoneticPr fontId="2" type="noConversion"/>
  </si>
  <si>
    <t>08N36</t>
    <phoneticPr fontId="2" type="noConversion"/>
  </si>
  <si>
    <t>KRZ502646430</t>
    <phoneticPr fontId="2" type="noConversion"/>
  </si>
  <si>
    <t>2025.10월</t>
    <phoneticPr fontId="2" type="noConversion"/>
  </si>
  <si>
    <t>연기금HLSCOPE일반사모투자신탁1호</t>
    <phoneticPr fontId="2" type="noConversion"/>
  </si>
  <si>
    <t>카디안</t>
    <phoneticPr fontId="2" type="noConversion"/>
  </si>
  <si>
    <t>KRZ502432940</t>
    <phoneticPr fontId="2" type="noConversion"/>
  </si>
  <si>
    <t>카디안 차이나리더스 증권모투자신탁(미달러)[주식-재간접형]</t>
    <phoneticPr fontId="2" type="noConversion"/>
  </si>
  <si>
    <t>카디안 차이나리더스 증권자투자신탁(UH)[주식-재간접형]</t>
    <phoneticPr fontId="2" type="noConversion"/>
  </si>
  <si>
    <t>KB</t>
    <phoneticPr fontId="2" type="noConversion"/>
  </si>
  <si>
    <t>KRZ500628461</t>
    <phoneticPr fontId="2" type="noConversion"/>
  </si>
  <si>
    <t>HL05</t>
    <phoneticPr fontId="2" type="noConversion"/>
  </si>
  <si>
    <t>1C807</t>
    <phoneticPr fontId="2" type="noConversion"/>
  </si>
  <si>
    <t>KRZ502648610</t>
    <phoneticPr fontId="2" type="noConversion"/>
  </si>
  <si>
    <t>다올 미국 채권 일반사모증권투자신탁 CW-1호[채권-재간접형]</t>
    <phoneticPr fontId="2" type="noConversion"/>
  </si>
  <si>
    <t>KRZ502649180</t>
    <phoneticPr fontId="2" type="noConversion"/>
  </si>
  <si>
    <t>KRZ502649190</t>
    <phoneticPr fontId="2" type="noConversion"/>
  </si>
  <si>
    <t>다올CU글로벌STARS일반사모투자신탁1호</t>
    <phoneticPr fontId="2" type="noConversion"/>
  </si>
  <si>
    <t>다올CU글로벌EMP일반사모증권투자신탁1호[주식-재간접형]</t>
    <phoneticPr fontId="2" type="noConversion"/>
  </si>
  <si>
    <t>009560</t>
    <phoneticPr fontId="2" type="noConversion"/>
  </si>
  <si>
    <t>009561</t>
    <phoneticPr fontId="2" type="noConversion"/>
  </si>
  <si>
    <t>한화 주피터글로벌에쿼티롱숏일반사모증권 모투자신탁(주식-재간접형)</t>
  </si>
  <si>
    <t>KRZ502648080</t>
    <phoneticPr fontId="2" type="noConversion"/>
  </si>
  <si>
    <t>KRZ502648060</t>
    <phoneticPr fontId="2" type="noConversion"/>
  </si>
  <si>
    <t>KRZ502644240</t>
    <phoneticPr fontId="2" type="noConversion"/>
  </si>
  <si>
    <t>KRZ502644310</t>
    <phoneticPr fontId="2" type="noConversion"/>
  </si>
  <si>
    <t>KRZ502645400</t>
    <phoneticPr fontId="2" type="noConversion"/>
  </si>
  <si>
    <t>KRZ502649770</t>
    <phoneticPr fontId="2" type="noConversion"/>
  </si>
  <si>
    <t>DB Adams Street 일반사모투자신탁 제2호</t>
    <phoneticPr fontId="2" type="noConversion"/>
  </si>
  <si>
    <t>다올 미국 STARS 일반사모투자신탁 제1호</t>
    <phoneticPr fontId="2" type="noConversion"/>
  </si>
  <si>
    <t>KRZ502650580</t>
    <phoneticPr fontId="2" type="noConversion"/>
  </si>
  <si>
    <t>M330</t>
    <phoneticPr fontId="2" type="noConversion"/>
  </si>
  <si>
    <t>유진글로벌AI플러스증권자투자신탁(H)(주식) Class A</t>
  </si>
  <si>
    <t>KRZ502246741</t>
  </si>
  <si>
    <t>김유리</t>
    <phoneticPr fontId="2" type="noConversion"/>
  </si>
  <si>
    <t>M340</t>
    <phoneticPr fontId="2" type="noConversion"/>
  </si>
  <si>
    <t>M360</t>
    <phoneticPr fontId="2" type="noConversion"/>
  </si>
  <si>
    <t>M380</t>
    <phoneticPr fontId="2" type="noConversion"/>
  </si>
  <si>
    <t>CITI</t>
    <phoneticPr fontId="2" type="noConversion"/>
  </si>
  <si>
    <t>흥국TDF2040증권자투자신탁1호(H)[혼합-재간접형]</t>
    <phoneticPr fontId="2" type="noConversion"/>
  </si>
  <si>
    <t>흥국TDF2050증권자투자신탁1호(H)[혼합-재간접형]</t>
    <phoneticPr fontId="2" type="noConversion"/>
  </si>
  <si>
    <t>흥국TDF2060증권자투자신탁1호(H)[혼합-재간접형]</t>
    <phoneticPr fontId="2" type="noConversion"/>
  </si>
  <si>
    <t>2025.12.15</t>
    <phoneticPr fontId="2" type="noConversion"/>
  </si>
  <si>
    <t>KRZ502639051</t>
    <phoneticPr fontId="2" type="noConversion"/>
  </si>
  <si>
    <t>다올 글로벌 트렌드 포커스 전환형 증권투자신탁 1호[채권혼합-재간접형]</t>
    <phoneticPr fontId="2" type="noConversion"/>
  </si>
  <si>
    <t>하나 더넥스트 TDF2060 증권투자신탁[혼합-재간접형]</t>
    <phoneticPr fontId="2" type="noConversion"/>
  </si>
  <si>
    <t>2025.12.31</t>
    <phoneticPr fontId="2" type="noConversion"/>
  </si>
  <si>
    <t>KRZ502590351</t>
    <phoneticPr fontId="2" type="noConversion"/>
  </si>
  <si>
    <t>Q300</t>
    <phoneticPr fontId="2" type="noConversion"/>
  </si>
  <si>
    <t>UI01</t>
    <phoneticPr fontId="2" type="noConversion"/>
  </si>
  <si>
    <t>라인개설 미비</t>
    <phoneticPr fontId="2" type="noConversion"/>
  </si>
  <si>
    <t>1MI600</t>
    <phoneticPr fontId="2" type="noConversion"/>
  </si>
  <si>
    <t>삼성블랙스톤BCRED-O일반사모투자신탁제1-1호(H)</t>
    <phoneticPr fontId="2" type="noConversion"/>
  </si>
  <si>
    <t>KRZ502654000</t>
    <phoneticPr fontId="2" type="noConversion"/>
  </si>
  <si>
    <t>SHB</t>
    <phoneticPr fontId="2" type="noConversion"/>
  </si>
  <si>
    <t>Q058</t>
    <phoneticPr fontId="2" type="noConversion"/>
  </si>
  <si>
    <t>UI32</t>
    <phoneticPr fontId="2" type="noConversion"/>
  </si>
  <si>
    <t>1B38</t>
    <phoneticPr fontId="2" type="noConversion"/>
  </si>
  <si>
    <t>1B74</t>
    <phoneticPr fontId="2" type="noConversion"/>
  </si>
  <si>
    <t>1B49</t>
    <phoneticPr fontId="2" type="noConversion"/>
  </si>
  <si>
    <t>1B64</t>
    <phoneticPr fontId="2" type="noConversion"/>
  </si>
  <si>
    <t>KRZ502653791</t>
    <phoneticPr fontId="2" type="noConversion"/>
  </si>
  <si>
    <t>5S39</t>
    <phoneticPr fontId="2" type="noConversion"/>
  </si>
  <si>
    <t>Q600</t>
    <phoneticPr fontId="2" type="noConversion"/>
  </si>
  <si>
    <t>삼성블랙스톤BCRED-O일반사모투자신탁제2호</t>
    <phoneticPr fontId="2" type="noConversion"/>
  </si>
  <si>
    <t>200억</t>
    <phoneticPr fontId="2" type="noConversion"/>
  </si>
  <si>
    <t>Q085</t>
    <phoneticPr fontId="2" type="noConversion"/>
  </si>
  <si>
    <t>KRZ502651525</t>
    <phoneticPr fontId="2" type="noConversion"/>
  </si>
  <si>
    <t>KRZ502651565</t>
    <phoneticPr fontId="2" type="noConversion"/>
  </si>
  <si>
    <t>KRZ502651595</t>
    <phoneticPr fontId="2" type="noConversion"/>
  </si>
  <si>
    <t>흥국옐로우엄브렐라글로벌채권일반사모증권투자신탁1호[재간접파생형]</t>
    <phoneticPr fontId="2" type="noConversion"/>
  </si>
  <si>
    <t>08P16</t>
    <phoneticPr fontId="2" type="noConversion"/>
  </si>
  <si>
    <t>한국투자글로벌콜러EQUITY일반사모자투자신탁2호(H)</t>
    <phoneticPr fontId="2" type="noConversion"/>
  </si>
  <si>
    <t>NHSEC</t>
    <phoneticPr fontId="2" type="noConversion"/>
  </si>
  <si>
    <t>08M77</t>
    <phoneticPr fontId="2" type="noConversion"/>
  </si>
  <si>
    <t>사모</t>
    <phoneticPr fontId="2" type="noConversion"/>
  </si>
  <si>
    <t>NH SEC</t>
    <phoneticPr fontId="2" type="noConversion"/>
  </si>
  <si>
    <t>한국투자 유러피언 크레딧 일반사모투자신탁</t>
    <phoneticPr fontId="2" type="noConversion"/>
  </si>
  <si>
    <t>KRZ502637670</t>
  </si>
  <si>
    <t>1C702</t>
    <phoneticPr fontId="2" type="noConversion"/>
  </si>
  <si>
    <t>1C800</t>
    <phoneticPr fontId="2" type="noConversion"/>
  </si>
  <si>
    <t>다올 JP모건글로벌투자적격등급회사채증권자투자신탁(H)[채권-재간접형]</t>
    <phoneticPr fontId="2" type="noConversion"/>
  </si>
  <si>
    <t>다올 옐로우엄브렐라글로벌채권일반사모투자신탁 1호</t>
    <phoneticPr fontId="2" type="noConversion"/>
  </si>
  <si>
    <t>KRZ502527101</t>
    <phoneticPr fontId="2" type="noConversion"/>
  </si>
  <si>
    <t>KRZ502617310</t>
    <phoneticPr fontId="2" type="noConversion"/>
  </si>
  <si>
    <t>KRZ502336840</t>
    <phoneticPr fontId="2" type="noConversion"/>
  </si>
  <si>
    <t>KRZ502315840</t>
    <phoneticPr fontId="2" type="noConversion"/>
  </si>
  <si>
    <t>키움아르테미스전문투자형사모증권투자신탁1-P[재간접형]</t>
    <phoneticPr fontId="2" type="noConversion"/>
  </si>
  <si>
    <t>키움키워드림TDF2025증권투자신탁제1호[혼합-재간접형]</t>
    <phoneticPr fontId="2" type="noConversion"/>
  </si>
  <si>
    <t>KRZ502243122</t>
    <phoneticPr fontId="2" type="noConversion"/>
  </si>
  <si>
    <t>KRZ502587141</t>
    <phoneticPr fontId="2" type="noConversion"/>
  </si>
  <si>
    <t>키움키워드림TDF2060증권자투자신탁제1호(H)[혼합-재간접형]</t>
    <phoneticPr fontId="2" type="noConversion"/>
  </si>
  <si>
    <t>PS05</t>
    <phoneticPr fontId="2" type="noConversion"/>
  </si>
  <si>
    <t>WE01</t>
    <phoneticPr fontId="2" type="noConversion"/>
  </si>
  <si>
    <t>CITI</t>
    <phoneticPr fontId="2" type="noConversion"/>
  </si>
  <si>
    <t>KRZ502067020</t>
    <phoneticPr fontId="2" type="noConversion"/>
  </si>
  <si>
    <t>ETF4</t>
    <phoneticPr fontId="2" type="noConversion"/>
  </si>
  <si>
    <t>ETFC</t>
    <phoneticPr fontId="2" type="noConversion"/>
  </si>
  <si>
    <t>KRZ502658630</t>
    <phoneticPr fontId="2" type="noConversion"/>
  </si>
  <si>
    <t>강은혜</t>
    <phoneticPr fontId="2" type="noConversion"/>
  </si>
  <si>
    <t>한화일반사모증권투자신탁137호(USD)(채권)</t>
    <phoneticPr fontId="2" type="noConversion"/>
  </si>
  <si>
    <t>TF80</t>
    <phoneticPr fontId="2" type="noConversion"/>
  </si>
  <si>
    <t>SHB</t>
    <phoneticPr fontId="2" type="noConversion"/>
  </si>
  <si>
    <t>한화 주피터글로벌에쿼티롱숏일반사모증권 자투자신탁(H)(주식-재간접형)</t>
    <phoneticPr fontId="2" type="noConversion"/>
  </si>
  <si>
    <t>KB 글로벌 렉싱턴 세컨더리 일반 사모 투자신탁 제1-2호(USD)(재간접형)</t>
    <phoneticPr fontId="2" type="noConversion"/>
  </si>
  <si>
    <t>KRZ502657101</t>
    <phoneticPr fontId="2" type="noConversion"/>
  </si>
  <si>
    <t>18BT</t>
    <phoneticPr fontId="2" type="noConversion"/>
  </si>
  <si>
    <t>18BQ</t>
    <phoneticPr fontId="2" type="noConversion"/>
  </si>
  <si>
    <t>KRZ502657091</t>
    <phoneticPr fontId="2" type="noConversion"/>
  </si>
  <si>
    <t>KB 글로벌 렉싱턴 세컨더리 일반 사모 투자신탁 제1-1호(USD)(재간접형)</t>
    <phoneticPr fontId="2" type="noConversion"/>
  </si>
  <si>
    <t>우리다같이TDF2060증권투자신탁(혼합-재간접형)</t>
    <phoneticPr fontId="2" type="noConversion"/>
  </si>
  <si>
    <t>002236</t>
    <phoneticPr fontId="2" type="noConversion"/>
  </si>
  <si>
    <t>5S46</t>
    <phoneticPr fontId="2" type="noConversion"/>
  </si>
  <si>
    <t>한국투자글로벌칼라일CAPM일반사모자투자신탁2호(H)</t>
    <phoneticPr fontId="2" type="noConversion"/>
  </si>
  <si>
    <t>김민희</t>
    <phoneticPr fontId="2" type="noConversion"/>
  </si>
  <si>
    <t>사모</t>
    <phoneticPr fontId="2" type="noConversion"/>
  </si>
  <si>
    <t>문정현</t>
    <phoneticPr fontId="2" type="noConversion"/>
  </si>
  <si>
    <t>연기금일반사모증권투자신탁제2-S17호[주식-재간접형]</t>
    <phoneticPr fontId="2" type="noConversion"/>
  </si>
  <si>
    <t>08P30</t>
    <phoneticPr fontId="2" type="noConversion"/>
  </si>
  <si>
    <t>08P29</t>
    <phoneticPr fontId="2" type="noConversion"/>
  </si>
  <si>
    <t>08P33</t>
    <phoneticPr fontId="2" type="noConversion"/>
  </si>
  <si>
    <t>KB</t>
    <phoneticPr fontId="2" type="noConversion"/>
  </si>
  <si>
    <t>EUGENE_ASSET</t>
    <phoneticPr fontId="2" type="noConversion"/>
  </si>
  <si>
    <t>DP01</t>
    <phoneticPr fontId="2" type="noConversion"/>
  </si>
  <si>
    <t>KZ26</t>
    <phoneticPr fontId="2" type="noConversion"/>
  </si>
  <si>
    <t>Q001</t>
    <phoneticPr fontId="2" type="noConversion"/>
  </si>
  <si>
    <t xml:space="preserve">키움 SEMA 글로벌 EMP 일반사모투자신탁1호[주식-재간접형] </t>
  </si>
  <si>
    <t>SAM_SEC</t>
    <phoneticPr fontId="2" type="noConversion"/>
  </si>
  <si>
    <t>KRZ502662760</t>
    <phoneticPr fontId="2" type="noConversion"/>
  </si>
  <si>
    <t>SHB -&gt; HANA (3/16)</t>
    <phoneticPr fontId="2" type="noConversion"/>
  </si>
  <si>
    <t>Q610</t>
    <phoneticPr fontId="2" type="noConversion"/>
  </si>
  <si>
    <t>08N11</t>
    <phoneticPr fontId="2" type="noConversion"/>
  </si>
  <si>
    <t>한국투자 Franklin Lexington 세컨더리 일반사모자투자신탁(H)(A)</t>
  </si>
  <si>
    <t>18AH</t>
    <phoneticPr fontId="2" type="noConversion"/>
  </si>
  <si>
    <t>KRZ502632880</t>
    <phoneticPr fontId="2" type="noConversion"/>
  </si>
  <si>
    <t>한화 글로벌 채권ETF 일반사모증권투자신탁 12호(채권-재간접형)</t>
    <phoneticPr fontId="2" type="noConversion"/>
  </si>
  <si>
    <t xml:space="preserve">KRZ502651790 </t>
  </si>
  <si>
    <t>003130</t>
    <phoneticPr fontId="2" type="noConversion"/>
  </si>
  <si>
    <t>염다혜</t>
    <phoneticPr fontId="2" type="noConversion"/>
  </si>
  <si>
    <t>한화 해외주식글로벌일반사모증권투자신탁CW-1호(주식-재간접형)</t>
    <phoneticPr fontId="2" type="noConversion"/>
  </si>
  <si>
    <t>박서영</t>
    <phoneticPr fontId="2" type="noConversion"/>
  </si>
  <si>
    <t>한화일반사모증권투자신탁141호(USD)(채권)</t>
    <phoneticPr fontId="2" type="noConversion"/>
  </si>
  <si>
    <t>002444</t>
    <phoneticPr fontId="2" type="noConversion"/>
  </si>
  <si>
    <t>하나해외주식글로벌일반사모증권투자신탁CW-1호[주식-재간접형]</t>
    <phoneticPr fontId="2" type="noConversion"/>
  </si>
  <si>
    <t>2026.03.31</t>
    <phoneticPr fontId="2" type="noConversion"/>
  </si>
  <si>
    <t>CB01</t>
    <phoneticPr fontId="2" type="noConversion"/>
  </si>
  <si>
    <t>1MO900</t>
    <phoneticPr fontId="2" type="noConversion"/>
  </si>
  <si>
    <t>KRZ502628511</t>
    <phoneticPr fontId="2" type="noConversion"/>
  </si>
  <si>
    <t xml:space="preserve">KB BMO 선순위 일반 사모 특별자산 제7호(대출채권-재간접형) </t>
    <phoneticPr fontId="2" type="noConversion"/>
  </si>
  <si>
    <t>CMF1</t>
    <phoneticPr fontId="2" type="noConversion"/>
  </si>
  <si>
    <t>KB 한국 단기채 프리미엄 일반 사모증권 투자신탁 제52호(USD)(채권)</t>
    <phoneticPr fontId="2" type="noConversion"/>
  </si>
  <si>
    <t>KRZ502657680</t>
    <phoneticPr fontId="2" type="noConversion"/>
  </si>
  <si>
    <t>KRZ502623941</t>
  </si>
  <si>
    <t>DB Blackstone 일반사모투자신탁 제1호</t>
    <phoneticPr fontId="2" type="noConversion"/>
  </si>
  <si>
    <t xml:space="preserve">KRZ502654490 </t>
  </si>
  <si>
    <t xml:space="preserve">DB SoundPoint 일반사모투자신탁 제2호 </t>
    <phoneticPr fontId="2" type="noConversion"/>
  </si>
  <si>
    <t>KRZ502662740</t>
    <phoneticPr fontId="2" type="noConversion"/>
  </si>
  <si>
    <t>06Z11</t>
    <phoneticPr fontId="2" type="noConversion"/>
  </si>
  <si>
    <t>Q163</t>
    <phoneticPr fontId="2" type="noConversion"/>
  </si>
  <si>
    <t>Q144</t>
    <phoneticPr fontId="2" type="noConversion"/>
  </si>
  <si>
    <t>IBK 선진국 주식ETF일반사모증권투자신탁1호[주식-재간접형]</t>
    <phoneticPr fontId="2" type="noConversion"/>
  </si>
  <si>
    <t>KRZ502655768</t>
  </si>
  <si>
    <t>KRZ502624343</t>
  </si>
  <si>
    <t>KRZ502243132</t>
  </si>
  <si>
    <t>KRZ502243172</t>
    <phoneticPr fontId="65" type="noConversion"/>
  </si>
  <si>
    <t>KRZ502243102</t>
    <phoneticPr fontId="2" type="noConversion"/>
  </si>
  <si>
    <t>KRZ502660111</t>
  </si>
  <si>
    <t>KRZ502656801</t>
    <phoneticPr fontId="2" type="noConversion"/>
  </si>
  <si>
    <t>KRZ502477081</t>
  </si>
  <si>
    <t>KRZ502568452</t>
  </si>
  <si>
    <t>KRZ502644253</t>
  </si>
  <si>
    <t>KRZ502644323</t>
  </si>
  <si>
    <t>KRZ502559812</t>
  </si>
  <si>
    <t>KRZ502420591</t>
  </si>
  <si>
    <t>KRZ502419921</t>
  </si>
  <si>
    <t>KRZ502419662</t>
  </si>
  <si>
    <t>KRZ500163641</t>
  </si>
  <si>
    <t>KRZ502461325</t>
  </si>
  <si>
    <t>다올라자드디지털헬스1등주증권투자신탁주식</t>
    <phoneticPr fontId="2" type="noConversion"/>
  </si>
  <si>
    <t>박나연</t>
    <phoneticPr fontId="2" type="noConversion"/>
  </si>
  <si>
    <t>흥국글로벌채권EMP증권투자신탁(H)[채권-재간접형]</t>
    <phoneticPr fontId="2" type="noConversion"/>
  </si>
  <si>
    <t>카디안 글로벌디지털자산밸류체인증권모투자신탁[주식]</t>
    <phoneticPr fontId="2" type="noConversion"/>
  </si>
  <si>
    <t>카디안 글로벌디지털자산밸류체인증권자투자신탁(H)[주식]</t>
    <phoneticPr fontId="2" type="noConversion"/>
  </si>
  <si>
    <t>BI01</t>
    <phoneticPr fontId="2" type="noConversion"/>
  </si>
  <si>
    <t>WOORI_CSAM</t>
  </si>
  <si>
    <t>HSBC??하나자산아님</t>
    <phoneticPr fontId="2" type="noConversion"/>
  </si>
  <si>
    <t>KRZ502669691</t>
    <phoneticPr fontId="2" type="noConversion"/>
  </si>
  <si>
    <t>1C830</t>
    <phoneticPr fontId="2" type="noConversion"/>
  </si>
  <si>
    <t>06K52</t>
    <phoneticPr fontId="2" type="noConversion"/>
  </si>
  <si>
    <t>KRZ502665560</t>
    <phoneticPr fontId="2" type="noConversion"/>
  </si>
  <si>
    <t>KRZ502664520</t>
    <phoneticPr fontId="2" type="noConversion"/>
  </si>
  <si>
    <t>CMF3</t>
    <phoneticPr fontId="2" type="noConversion"/>
  </si>
  <si>
    <t>KB 한국 단기채 프리미엄 일반 사모증권 투자신탁 제54호(USD)(채권)</t>
    <phoneticPr fontId="2" type="noConversion"/>
  </si>
  <si>
    <t>KRZ502669160</t>
    <phoneticPr fontId="2" type="noConversion"/>
  </si>
  <si>
    <t>KRZ502669057</t>
    <phoneticPr fontId="2" type="noConversion"/>
  </si>
  <si>
    <t>KOR_INVESTMA</t>
  </si>
  <si>
    <t>한국투자금리연계일반사모증권투자신탁15호(채권-파생형)</t>
    <phoneticPr fontId="2" type="noConversion"/>
  </si>
  <si>
    <t>18CV</t>
    <phoneticPr fontId="2" type="noConversion"/>
  </si>
  <si>
    <t>18DA</t>
    <phoneticPr fontId="2" type="noConversion"/>
  </si>
  <si>
    <t>KRZ502033111</t>
    <phoneticPr fontId="2" type="noConversion"/>
  </si>
  <si>
    <t>KRZ502359100</t>
    <phoneticPr fontId="2" type="noConversion"/>
  </si>
  <si>
    <t>KB_SEC</t>
    <phoneticPr fontId="2" type="noConversion"/>
  </si>
  <si>
    <t>KRZ502669560</t>
    <phoneticPr fontId="2" type="noConversion"/>
  </si>
  <si>
    <t>18AI</t>
    <phoneticPr fontId="2" type="noConversion"/>
  </si>
  <si>
    <t>KB BMO 선순위 일반 사모 특별자산 투자신탁 제9호</t>
    <phoneticPr fontId="2" type="noConversion"/>
  </si>
  <si>
    <t>KRZ502678320</t>
    <phoneticPr fontId="2" type="noConversion"/>
  </si>
  <si>
    <t>2026.06.26</t>
    <phoneticPr fontId="2" type="noConversion"/>
  </si>
  <si>
    <t>키움 해외주식글로벌일반사모증권투자신탁CW-1호</t>
    <phoneticPr fontId="2" type="noConversion"/>
  </si>
  <si>
    <t>다올 해외주식글로벌일반사모증권CW-1호[주식-재간접형]</t>
    <phoneticPr fontId="2" type="noConversion"/>
  </si>
  <si>
    <t>하나원큐성장형OCIO증권투자신탁[혼합-재간접형]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</si>
</sst>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* #,##0.00_-;\-* #,##0.00_-;_-* &quot;-&quot;_-;_-@_-"/>
    <numFmt numFmtId="177" formatCode="#,##0.00000"/>
    <numFmt numFmtId="178" formatCode="_(* #,##0_);_(* \(#,##0\);_(* &quot;-&quot;_);_(@_)"/>
    <numFmt numFmtId="179" formatCode="yyyy\.mm"/>
    <numFmt numFmtId="180" formatCode="#,##0_ "/>
    <numFmt numFmtId="181" formatCode="#,##0.######"/>
    <numFmt numFmtId="182" formatCode="0_);[Red]\(0\)"/>
  </numFmts>
  <fonts count="8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굴림체"/>
      <family val="3"/>
      <charset val="129"/>
    </font>
    <font>
      <b/>
      <sz val="12"/>
      <color theme="1"/>
      <name val="굴림체"/>
      <family val="3"/>
      <charset val="129"/>
    </font>
    <font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굴림체"/>
      <family val="3"/>
      <charset val="129"/>
    </font>
    <font>
      <sz val="11"/>
      <name val="굴림체"/>
      <family val="3"/>
      <charset val="129"/>
    </font>
    <font>
      <sz val="11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9"/>
      <color indexed="81"/>
      <name val="맑은 고딕"/>
      <family val="2"/>
      <charset val="129"/>
    </font>
    <font>
      <i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color rgb="FF11111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9"/>
      <color indexed="81"/>
      <name val="맑은 고딕"/>
      <family val="2"/>
      <charset val="129"/>
    </font>
    <font>
      <strike/>
      <sz val="11"/>
      <name val="맑은 고딕"/>
      <family val="3"/>
      <charset val="129"/>
      <scheme val="major"/>
    </font>
    <font>
      <strike/>
      <sz val="11"/>
      <color theme="1"/>
      <name val="맑은 고딕"/>
      <family val="2"/>
      <charset val="129"/>
      <scheme val="minor"/>
    </font>
    <font>
      <strike/>
      <sz val="10"/>
      <name val="굴림체"/>
      <family val="3"/>
      <charset val="129"/>
    </font>
    <font>
      <sz val="11"/>
      <color rgb="FF006100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color rgb="FF111111"/>
      <name val="맑은 고딕"/>
      <family val="3"/>
      <charset val="129"/>
      <scheme val="major"/>
    </font>
    <font>
      <strike/>
      <sz val="11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trike/>
      <sz val="11"/>
      <name val="맑은 고딕"/>
      <family val="3"/>
      <charset val="129"/>
      <scheme val="minor"/>
    </font>
    <font>
      <b/>
      <strike/>
      <sz val="1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trike/>
      <sz val="9"/>
      <color theme="1"/>
      <name val="맑은 고딕"/>
      <family val="3"/>
      <charset val="129"/>
      <scheme val="major"/>
    </font>
    <font>
      <strike/>
      <sz val="9"/>
      <color rgb="FF111111"/>
      <name val="맑은 고딕"/>
      <family val="3"/>
      <charset val="129"/>
      <scheme val="major"/>
    </font>
    <font>
      <strike/>
      <sz val="10"/>
      <color theme="1"/>
      <name val="맑은 고딕"/>
      <family val="3"/>
      <charset val="129"/>
      <scheme val="major"/>
    </font>
    <font>
      <b/>
      <strike/>
      <sz val="9"/>
      <color theme="1"/>
      <name val="맑은 고딕"/>
      <family val="3"/>
      <charset val="129"/>
      <scheme val="major"/>
    </font>
    <font>
      <strike/>
      <sz val="9"/>
      <color rgb="FFFF0000"/>
      <name val="맑은 고딕"/>
      <family val="3"/>
      <charset val="129"/>
      <scheme val="major"/>
    </font>
    <font>
      <strike/>
      <sz val="11"/>
      <color theme="1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ajor"/>
    </font>
    <font>
      <strike/>
      <sz val="11"/>
      <color theme="1"/>
      <name val="맑은 고딕"/>
      <family val="3"/>
      <charset val="129"/>
      <scheme val="major"/>
    </font>
    <font>
      <sz val="10"/>
      <color theme="1"/>
      <name val="굴림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inor"/>
    </font>
    <font>
      <sz val="12"/>
      <color rgb="FF006100"/>
      <name val="맑은 고딕"/>
      <family val="3"/>
      <charset val="129"/>
      <scheme val="minor"/>
    </font>
    <font>
      <strike/>
      <sz val="12"/>
      <name val="맑은 고딕"/>
      <family val="3"/>
      <charset val="129"/>
      <scheme val="minor"/>
    </font>
    <font>
      <strike/>
      <sz val="12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14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Gulim"/>
      <family val="3"/>
      <charset val="129"/>
    </font>
    <font>
      <b/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b/>
      <sz val="9"/>
      <color rgb="FFFF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</font>
    <font>
      <strike/>
      <sz val="11"/>
      <color rgb="FFFF0000"/>
      <name val="맑은 고딕"/>
      <family val="3"/>
      <charset val="129"/>
      <scheme val="minor"/>
    </font>
    <font>
      <strike/>
      <sz val="10"/>
      <color rgb="FFFF000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trike/>
      <sz val="9"/>
      <color rgb="FFFF0000"/>
      <name val="맑은 고딕"/>
      <family val="3"/>
      <charset val="129"/>
      <scheme val="minor"/>
    </font>
    <font>
      <sz val="10"/>
      <color rgb="FF000000"/>
      <name val="Gulim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</patternFill>
    </fill>
  </fills>
  <borders count="5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double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</cellStyleXfs>
  <cellXfs count="1140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0" applyFont="1">
      <alignment vertical="center"/>
    </xf>
    <xf numFmtId="41" fontId="3" fillId="3" borderId="12" xfId="1" applyFont="1" applyFill="1" applyBorder="1" applyAlignment="1">
      <alignment horizontal="center" vertical="center"/>
    </xf>
    <xf numFmtId="0" fontId="5" fillId="0" borderId="12" xfId="2" applyFont="1" applyFill="1" applyBorder="1" applyAlignment="1">
      <alignment horizontal="center" vertical="center"/>
    </xf>
    <xf numFmtId="0" fontId="5" fillId="0" borderId="12" xfId="2" applyFont="1" applyFill="1" applyBorder="1" applyAlignment="1">
      <alignment horizontal="center"/>
    </xf>
    <xf numFmtId="0" fontId="14" fillId="0" borderId="12" xfId="0" applyNumberFormat="1" applyFont="1" applyFill="1" applyBorder="1" applyAlignment="1">
      <alignment horizontal="center" vertical="center"/>
    </xf>
    <xf numFmtId="14" fontId="5" fillId="0" borderId="12" xfId="2" applyNumberFormat="1" applyFont="1" applyFill="1" applyBorder="1" applyAlignment="1">
      <alignment horizontal="center" vertical="center"/>
    </xf>
    <xf numFmtId="0" fontId="5" fillId="0" borderId="11" xfId="2" applyFont="1" applyFill="1" applyBorder="1" applyAlignment="1">
      <alignment horizontal="center"/>
    </xf>
    <xf numFmtId="176" fontId="14" fillId="0" borderId="12" xfId="1" applyNumberFormat="1" applyFont="1" applyFill="1" applyBorder="1" applyAlignment="1">
      <alignment horizontal="center" vertical="center"/>
    </xf>
    <xf numFmtId="41" fontId="14" fillId="0" borderId="12" xfId="1" applyFont="1" applyFill="1" applyBorder="1" applyAlignment="1">
      <alignment horizontal="center" vertical="center"/>
    </xf>
    <xf numFmtId="41" fontId="14" fillId="0" borderId="13" xfId="1" applyFont="1" applyFill="1" applyBorder="1" applyAlignment="1">
      <alignment horizontal="center" vertical="center"/>
    </xf>
    <xf numFmtId="0" fontId="5" fillId="3" borderId="12" xfId="2" applyFont="1" applyFill="1" applyBorder="1" applyAlignment="1">
      <alignment horizontal="center"/>
    </xf>
    <xf numFmtId="176" fontId="14" fillId="3" borderId="12" xfId="1" applyNumberFormat="1" applyFont="1" applyFill="1" applyBorder="1" applyAlignment="1">
      <alignment horizontal="center" vertical="center"/>
    </xf>
    <xf numFmtId="41" fontId="14" fillId="3" borderId="12" xfId="1" applyFont="1" applyFill="1" applyBorder="1" applyAlignment="1">
      <alignment horizontal="center" vertical="center"/>
    </xf>
    <xf numFmtId="2" fontId="14" fillId="0" borderId="12" xfId="0" applyNumberFormat="1" applyFont="1" applyFill="1" applyBorder="1" applyAlignment="1">
      <alignment horizontal="center" vertical="center"/>
    </xf>
    <xf numFmtId="0" fontId="5" fillId="3" borderId="12" xfId="2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8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center" vertical="center"/>
    </xf>
    <xf numFmtId="0" fontId="14" fillId="0" borderId="12" xfId="0" applyFont="1" applyFill="1" applyBorder="1" applyAlignment="1">
      <alignment horizontal="left" vertical="center"/>
    </xf>
    <xf numFmtId="0" fontId="14" fillId="0" borderId="12" xfId="0" applyFont="1" applyFill="1" applyBorder="1">
      <alignment vertical="center"/>
    </xf>
    <xf numFmtId="0" fontId="14" fillId="0" borderId="12" xfId="0" applyFont="1" applyFill="1" applyBorder="1" applyAlignment="1">
      <alignment vertical="center"/>
    </xf>
    <xf numFmtId="176" fontId="14" fillId="0" borderId="12" xfId="1" applyNumberFormat="1" applyFont="1" applyFill="1" applyBorder="1">
      <alignment vertical="center"/>
    </xf>
    <xf numFmtId="0" fontId="14" fillId="3" borderId="12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76" fontId="18" fillId="2" borderId="10" xfId="1" applyNumberFormat="1" applyFont="1" applyFill="1" applyBorder="1" applyAlignment="1">
      <alignment horizontal="center" vertical="center"/>
    </xf>
    <xf numFmtId="41" fontId="18" fillId="2" borderId="10" xfId="1" applyFont="1" applyFill="1" applyBorder="1" applyAlignment="1">
      <alignment horizontal="center" vertical="center"/>
    </xf>
    <xf numFmtId="41" fontId="18" fillId="2" borderId="22" xfId="1" applyFont="1" applyFill="1" applyBorder="1" applyAlignment="1">
      <alignment horizontal="center" vertical="center"/>
    </xf>
    <xf numFmtId="176" fontId="3" fillId="3" borderId="12" xfId="1" applyNumberFormat="1" applyFont="1" applyFill="1" applyBorder="1" applyAlignment="1">
      <alignment horizontal="center" vertical="center"/>
    </xf>
    <xf numFmtId="41" fontId="3" fillId="3" borderId="14" xfId="1" applyFont="1" applyFill="1" applyBorder="1" applyAlignment="1">
      <alignment horizontal="center" vertical="center"/>
    </xf>
    <xf numFmtId="41" fontId="3" fillId="3" borderId="13" xfId="1" applyFont="1" applyFill="1" applyBorder="1" applyAlignment="1">
      <alignment horizontal="center" vertical="center"/>
    </xf>
    <xf numFmtId="14" fontId="3" fillId="0" borderId="0" xfId="0" applyNumberFormat="1" applyFont="1">
      <alignment vertical="center"/>
    </xf>
    <xf numFmtId="0" fontId="3" fillId="0" borderId="12" xfId="0" applyFont="1" applyFill="1" applyBorder="1" applyAlignment="1">
      <alignment horizontal="center" vertical="center"/>
    </xf>
    <xf numFmtId="0" fontId="10" fillId="0" borderId="12" xfId="2" applyFont="1" applyFill="1" applyBorder="1" applyAlignment="1">
      <alignment horizontal="center"/>
    </xf>
    <xf numFmtId="0" fontId="10" fillId="0" borderId="12" xfId="2" applyFont="1" applyFill="1" applyBorder="1" applyAlignment="1">
      <alignment horizontal="left" vertical="center"/>
    </xf>
    <xf numFmtId="0" fontId="3" fillId="3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5" fillId="3" borderId="12" xfId="2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0" xfId="0" applyFill="1">
      <alignment vertical="center"/>
    </xf>
    <xf numFmtId="2" fontId="20" fillId="0" borderId="12" xfId="0" applyNumberFormat="1" applyFont="1" applyFill="1" applyBorder="1" applyAlignment="1">
      <alignment horizontal="center" vertical="center"/>
    </xf>
    <xf numFmtId="0" fontId="16" fillId="0" borderId="12" xfId="2" applyFont="1" applyFill="1" applyBorder="1" applyAlignment="1">
      <alignment horizontal="center"/>
    </xf>
    <xf numFmtId="41" fontId="21" fillId="0" borderId="12" xfId="1" applyFont="1" applyFill="1" applyBorder="1" applyAlignment="1">
      <alignment horizontal="center" vertical="center"/>
    </xf>
    <xf numFmtId="176" fontId="21" fillId="0" borderId="12" xfId="1" applyNumberFormat="1" applyFont="1" applyFill="1" applyBorder="1" applyAlignment="1">
      <alignment horizontal="center" vertical="center"/>
    </xf>
    <xf numFmtId="0" fontId="21" fillId="0" borderId="12" xfId="0" applyNumberFormat="1" applyFont="1" applyFill="1" applyBorder="1" applyAlignment="1">
      <alignment horizontal="center" vertical="center"/>
    </xf>
    <xf numFmtId="41" fontId="16" fillId="0" borderId="12" xfId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6" fillId="0" borderId="5" xfId="2" applyFont="1" applyFill="1" applyBorder="1" applyAlignment="1">
      <alignment horizontal="center"/>
    </xf>
    <xf numFmtId="41" fontId="0" fillId="5" borderId="28" xfId="1" applyFont="1" applyFill="1" applyBorder="1" applyAlignment="1">
      <alignment horizontal="center" vertical="center"/>
    </xf>
    <xf numFmtId="0" fontId="10" fillId="3" borderId="11" xfId="2" applyFont="1" applyFill="1" applyBorder="1" applyAlignment="1">
      <alignment horizontal="center"/>
    </xf>
    <xf numFmtId="0" fontId="10" fillId="3" borderId="12" xfId="2" applyFont="1" applyFill="1" applyBorder="1" applyAlignment="1">
      <alignment horizontal="center"/>
    </xf>
    <xf numFmtId="14" fontId="10" fillId="3" borderId="12" xfId="2" applyNumberFormat="1" applyFont="1" applyFill="1" applyBorder="1" applyAlignment="1">
      <alignment horizontal="center" vertical="center"/>
    </xf>
    <xf numFmtId="0" fontId="15" fillId="3" borderId="11" xfId="2" applyFont="1" applyFill="1" applyBorder="1" applyAlignment="1">
      <alignment horizontal="center"/>
    </xf>
    <xf numFmtId="0" fontId="15" fillId="3" borderId="16" xfId="2" applyFont="1" applyFill="1" applyBorder="1" applyAlignment="1">
      <alignment horizontal="center"/>
    </xf>
    <xf numFmtId="14" fontId="10" fillId="0" borderId="12" xfId="2" applyNumberFormat="1" applyFont="1" applyFill="1" applyBorder="1" applyAlignment="1">
      <alignment horizontal="center" vertical="center"/>
    </xf>
    <xf numFmtId="0" fontId="10" fillId="0" borderId="12" xfId="2" applyFont="1" applyFill="1" applyBorder="1" applyAlignment="1">
      <alignment horizontal="center" vertical="center"/>
    </xf>
    <xf numFmtId="0" fontId="10" fillId="0" borderId="12" xfId="2" applyNumberFormat="1" applyFont="1" applyFill="1" applyBorder="1" applyAlignment="1">
      <alignment horizontal="center" vertical="center"/>
    </xf>
    <xf numFmtId="4" fontId="10" fillId="0" borderId="12" xfId="2" applyNumberFormat="1" applyFont="1" applyFill="1" applyBorder="1" applyAlignment="1">
      <alignment horizontal="center" vertical="center"/>
    </xf>
    <xf numFmtId="177" fontId="10" fillId="0" borderId="12" xfId="2" applyNumberFormat="1" applyFont="1" applyFill="1" applyBorder="1" applyAlignment="1">
      <alignment horizontal="center" vertical="center"/>
    </xf>
    <xf numFmtId="0" fontId="10" fillId="0" borderId="5" xfId="2" applyFont="1" applyFill="1" applyBorder="1" applyAlignment="1">
      <alignment horizontal="center"/>
    </xf>
    <xf numFmtId="0" fontId="10" fillId="0" borderId="12" xfId="2" quotePrefix="1" applyFont="1" applyFill="1" applyBorder="1" applyAlignment="1">
      <alignment horizontal="center"/>
    </xf>
    <xf numFmtId="0" fontId="10" fillId="0" borderId="11" xfId="2" applyFont="1" applyFill="1" applyBorder="1" applyAlignment="1">
      <alignment horizontal="center"/>
    </xf>
    <xf numFmtId="0" fontId="10" fillId="0" borderId="12" xfId="0" applyFont="1" applyFill="1" applyBorder="1" applyAlignment="1">
      <alignment horizontal="center" vertical="center"/>
    </xf>
    <xf numFmtId="0" fontId="10" fillId="0" borderId="11" xfId="2" applyFont="1" applyFill="1" applyBorder="1" applyAlignment="1">
      <alignment horizontal="center" wrapText="1"/>
    </xf>
    <xf numFmtId="0" fontId="10" fillId="0" borderId="4" xfId="2" applyFont="1" applyFill="1" applyBorder="1" applyAlignment="1">
      <alignment horizontal="center"/>
    </xf>
    <xf numFmtId="0" fontId="10" fillId="0" borderId="5" xfId="2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4" xfId="2" applyFont="1" applyFill="1" applyBorder="1" applyAlignment="1">
      <alignment horizontal="center" wrapText="1"/>
    </xf>
    <xf numFmtId="0" fontId="18" fillId="4" borderId="1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41" fontId="21" fillId="0" borderId="13" xfId="1" applyFont="1" applyFill="1" applyBorder="1" applyAlignment="1">
      <alignment horizontal="center" vertical="center"/>
    </xf>
    <xf numFmtId="0" fontId="22" fillId="0" borderId="11" xfId="2" applyFont="1" applyFill="1" applyBorder="1" applyAlignment="1">
      <alignment horizontal="center"/>
    </xf>
    <xf numFmtId="0" fontId="22" fillId="0" borderId="12" xfId="2" applyFont="1" applyFill="1" applyBorder="1" applyAlignment="1">
      <alignment horizontal="center"/>
    </xf>
    <xf numFmtId="14" fontId="22" fillId="0" borderId="12" xfId="2" applyNumberFormat="1" applyFont="1" applyFill="1" applyBorder="1" applyAlignment="1">
      <alignment horizontal="left" vertical="center"/>
    </xf>
    <xf numFmtId="176" fontId="14" fillId="3" borderId="12" xfId="1" applyNumberFormat="1" applyFont="1" applyFill="1" applyBorder="1">
      <alignment vertical="center"/>
    </xf>
    <xf numFmtId="0" fontId="3" fillId="7" borderId="0" xfId="0" applyFont="1" applyFill="1">
      <alignment vertical="center"/>
    </xf>
    <xf numFmtId="0" fontId="24" fillId="0" borderId="0" xfId="0" applyFont="1">
      <alignment vertical="center"/>
    </xf>
    <xf numFmtId="0" fontId="3" fillId="0" borderId="34" xfId="0" applyFont="1" applyFill="1" applyBorder="1" applyAlignment="1">
      <alignment horizontal="center" vertical="center"/>
    </xf>
    <xf numFmtId="0" fontId="5" fillId="3" borderId="5" xfId="2" applyNumberFormat="1" applyFont="1" applyFill="1" applyBorder="1" applyAlignment="1">
      <alignment horizontal="center" vertical="center"/>
    </xf>
    <xf numFmtId="0" fontId="3" fillId="6" borderId="0" xfId="0" applyFont="1" applyFill="1">
      <alignment vertical="center"/>
    </xf>
    <xf numFmtId="0" fontId="10" fillId="0" borderId="26" xfId="2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 vertical="center"/>
    </xf>
    <xf numFmtId="0" fontId="3" fillId="8" borderId="0" xfId="0" applyFont="1" applyFill="1">
      <alignment vertical="center"/>
    </xf>
    <xf numFmtId="0" fontId="3" fillId="0" borderId="12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Border="1" applyAlignment="1">
      <alignment vertical="center"/>
    </xf>
    <xf numFmtId="0" fontId="21" fillId="0" borderId="0" xfId="0" applyFont="1" applyBorder="1" applyAlignment="1">
      <alignment horizontal="left" vertical="center"/>
    </xf>
    <xf numFmtId="0" fontId="26" fillId="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41" fontId="21" fillId="0" borderId="0" xfId="1" applyFont="1" applyAlignment="1">
      <alignment horizontal="right" vertical="center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left" vertical="center"/>
    </xf>
    <xf numFmtId="0" fontId="28" fillId="2" borderId="12" xfId="0" applyFont="1" applyFill="1" applyBorder="1" applyAlignment="1">
      <alignment horizontal="center" vertical="center" wrapText="1"/>
    </xf>
    <xf numFmtId="41" fontId="28" fillId="4" borderId="12" xfId="1" applyFont="1" applyFill="1" applyBorder="1" applyAlignment="1">
      <alignment vertical="center" wrapText="1"/>
    </xf>
    <xf numFmtId="41" fontId="28" fillId="4" borderId="12" xfId="1" applyFont="1" applyFill="1" applyBorder="1" applyAlignment="1">
      <alignment horizontal="left" vertical="center" wrapText="1"/>
    </xf>
    <xf numFmtId="0" fontId="30" fillId="2" borderId="12" xfId="0" applyFont="1" applyFill="1" applyBorder="1" applyAlignment="1">
      <alignment horizontal="left" vertical="center"/>
    </xf>
    <xf numFmtId="49" fontId="31" fillId="2" borderId="12" xfId="0" applyNumberFormat="1" applyFont="1" applyFill="1" applyBorder="1" applyAlignment="1">
      <alignment vertical="center"/>
    </xf>
    <xf numFmtId="41" fontId="32" fillId="4" borderId="12" xfId="1" applyFont="1" applyFill="1" applyBorder="1" applyAlignment="1">
      <alignment vertical="center" wrapText="1"/>
    </xf>
    <xf numFmtId="49" fontId="31" fillId="4" borderId="12" xfId="0" applyNumberFormat="1" applyFont="1" applyFill="1" applyBorder="1" applyAlignment="1">
      <alignment vertical="center"/>
    </xf>
    <xf numFmtId="0" fontId="33" fillId="5" borderId="12" xfId="0" applyFont="1" applyFill="1" applyBorder="1" applyAlignment="1">
      <alignment horizontal="center" vertical="center"/>
    </xf>
    <xf numFmtId="0" fontId="30" fillId="0" borderId="12" xfId="0" applyFont="1" applyFill="1" applyBorder="1" applyAlignment="1">
      <alignment horizontal="center" vertical="center"/>
    </xf>
    <xf numFmtId="0" fontId="34" fillId="0" borderId="12" xfId="0" applyFont="1" applyFill="1" applyBorder="1" applyAlignment="1">
      <alignment horizontal="center" vertical="center"/>
    </xf>
    <xf numFmtId="49" fontId="31" fillId="0" borderId="12" xfId="0" applyNumberFormat="1" applyFont="1" applyFill="1" applyBorder="1" applyAlignment="1">
      <alignment horizontal="center" vertical="center" wrapText="1"/>
    </xf>
    <xf numFmtId="41" fontId="31" fillId="0" borderId="12" xfId="1" applyFont="1" applyFill="1" applyBorder="1" applyAlignment="1">
      <alignment horizontal="right" vertical="center" wrapText="1"/>
    </xf>
    <xf numFmtId="49" fontId="34" fillId="0" borderId="12" xfId="0" applyNumberFormat="1" applyFont="1" applyFill="1" applyBorder="1" applyAlignment="1">
      <alignment horizontal="center" vertical="center" wrapText="1"/>
    </xf>
    <xf numFmtId="49" fontId="31" fillId="2" borderId="12" xfId="0" applyNumberFormat="1" applyFont="1" applyFill="1" applyBorder="1" applyAlignment="1">
      <alignment horizontal="left" vertical="center"/>
    </xf>
    <xf numFmtId="49" fontId="31" fillId="0" borderId="12" xfId="0" applyNumberFormat="1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vertical="center"/>
    </xf>
    <xf numFmtId="0" fontId="30" fillId="4" borderId="12" xfId="0" applyFont="1" applyFill="1" applyBorder="1" applyAlignment="1">
      <alignment vertical="center"/>
    </xf>
    <xf numFmtId="41" fontId="30" fillId="0" borderId="12" xfId="1" applyFont="1" applyFill="1" applyBorder="1" applyAlignment="1">
      <alignment horizontal="right" vertical="center"/>
    </xf>
    <xf numFmtId="0" fontId="30" fillId="0" borderId="12" xfId="0" applyFont="1" applyFill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30" fillId="0" borderId="0" xfId="0" applyFont="1" applyBorder="1" applyAlignment="1">
      <alignment vertical="center"/>
    </xf>
    <xf numFmtId="0" fontId="30" fillId="0" borderId="0" xfId="0" applyFont="1" applyBorder="1" applyAlignment="1">
      <alignment horizontal="left" vertical="center"/>
    </xf>
    <xf numFmtId="0" fontId="33" fillId="0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41" fontId="30" fillId="0" borderId="0" xfId="1" applyFont="1" applyAlignment="1">
      <alignment horizontal="right" vertical="center"/>
    </xf>
    <xf numFmtId="0" fontId="30" fillId="0" borderId="0" xfId="0" applyFont="1" applyFill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/>
    </xf>
    <xf numFmtId="0" fontId="10" fillId="3" borderId="5" xfId="2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 vertical="center"/>
    </xf>
    <xf numFmtId="176" fontId="3" fillId="3" borderId="5" xfId="1" applyNumberFormat="1" applyFont="1" applyFill="1" applyBorder="1">
      <alignment vertical="center"/>
    </xf>
    <xf numFmtId="41" fontId="3" fillId="3" borderId="5" xfId="1" applyFont="1" applyFill="1" applyBorder="1" applyAlignment="1">
      <alignment horizontal="center" vertical="center"/>
    </xf>
    <xf numFmtId="41" fontId="3" fillId="3" borderId="7" xfId="1" applyFont="1" applyFill="1" applyBorder="1" applyAlignment="1">
      <alignment horizontal="center" vertical="center"/>
    </xf>
    <xf numFmtId="176" fontId="3" fillId="3" borderId="12" xfId="1" applyNumberFormat="1" applyFont="1" applyFill="1" applyBorder="1">
      <alignment vertical="center"/>
    </xf>
    <xf numFmtId="0" fontId="10" fillId="3" borderId="16" xfId="2" applyFont="1" applyFill="1" applyBorder="1" applyAlignment="1">
      <alignment horizontal="center"/>
    </xf>
    <xf numFmtId="0" fontId="10" fillId="3" borderId="12" xfId="2" applyNumberFormat="1" applyFont="1" applyFill="1" applyBorder="1" applyAlignment="1">
      <alignment horizontal="center" vertical="center"/>
    </xf>
    <xf numFmtId="0" fontId="10" fillId="3" borderId="17" xfId="2" applyFont="1" applyFill="1" applyBorder="1" applyAlignment="1">
      <alignment horizontal="center"/>
    </xf>
    <xf numFmtId="14" fontId="10" fillId="3" borderId="17" xfId="2" applyNumberFormat="1" applyFont="1" applyFill="1" applyBorder="1" applyAlignment="1">
      <alignment horizontal="center" vertical="center"/>
    </xf>
    <xf numFmtId="176" fontId="3" fillId="3" borderId="17" xfId="1" applyNumberFormat="1" applyFont="1" applyFill="1" applyBorder="1">
      <alignment vertical="center"/>
    </xf>
    <xf numFmtId="41" fontId="3" fillId="3" borderId="17" xfId="1" applyFont="1" applyFill="1" applyBorder="1" applyAlignment="1">
      <alignment horizontal="center" vertical="center"/>
    </xf>
    <xf numFmtId="41" fontId="3" fillId="3" borderId="27" xfId="1" applyFont="1" applyFill="1" applyBorder="1" applyAlignment="1">
      <alignment horizontal="center" vertical="center"/>
    </xf>
    <xf numFmtId="0" fontId="15" fillId="3" borderId="4" xfId="2" applyFont="1" applyFill="1" applyBorder="1" applyAlignment="1">
      <alignment horizontal="center"/>
    </xf>
    <xf numFmtId="14" fontId="10" fillId="3" borderId="5" xfId="2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12" xfId="0" applyNumberFormat="1" applyFont="1" applyFill="1" applyBorder="1" applyAlignment="1">
      <alignment horizontal="center" vertical="center"/>
    </xf>
    <xf numFmtId="0" fontId="15" fillId="3" borderId="26" xfId="2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NumberFormat="1" applyFont="1" applyFill="1" applyBorder="1" applyAlignment="1">
      <alignment horizontal="center" vertical="center"/>
    </xf>
    <xf numFmtId="0" fontId="15" fillId="3" borderId="12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/>
    </xf>
    <xf numFmtId="0" fontId="14" fillId="3" borderId="5" xfId="0" applyNumberFormat="1" applyFont="1" applyFill="1" applyBorder="1" applyAlignment="1">
      <alignment horizontal="center" vertical="center"/>
    </xf>
    <xf numFmtId="176" fontId="14" fillId="3" borderId="5" xfId="1" applyNumberFormat="1" applyFont="1" applyFill="1" applyBorder="1">
      <alignment vertical="center"/>
    </xf>
    <xf numFmtId="41" fontId="14" fillId="3" borderId="5" xfId="1" applyFont="1" applyFill="1" applyBorder="1" applyAlignment="1">
      <alignment horizontal="center" vertical="center"/>
    </xf>
    <xf numFmtId="0" fontId="5" fillId="3" borderId="11" xfId="2" applyFont="1" applyFill="1" applyBorder="1" applyAlignment="1">
      <alignment horizontal="center"/>
    </xf>
    <xf numFmtId="0" fontId="5" fillId="3" borderId="16" xfId="2" applyFont="1" applyFill="1" applyBorder="1" applyAlignment="1">
      <alignment horizontal="center"/>
    </xf>
    <xf numFmtId="0" fontId="5" fillId="3" borderId="5" xfId="2" applyFont="1" applyFill="1" applyBorder="1" applyAlignment="1">
      <alignment horizontal="center"/>
    </xf>
    <xf numFmtId="0" fontId="5" fillId="3" borderId="14" xfId="2" applyFont="1" applyFill="1" applyBorder="1" applyAlignment="1">
      <alignment horizontal="center"/>
    </xf>
    <xf numFmtId="14" fontId="10" fillId="3" borderId="21" xfId="2" applyNumberFormat="1" applyFont="1" applyFill="1" applyBorder="1" applyAlignment="1">
      <alignment horizontal="center" vertical="center"/>
    </xf>
    <xf numFmtId="14" fontId="10" fillId="3" borderId="14" xfId="2" applyNumberFormat="1" applyFont="1" applyFill="1" applyBorder="1" applyAlignment="1">
      <alignment horizontal="center" vertical="center"/>
    </xf>
    <xf numFmtId="4" fontId="10" fillId="3" borderId="14" xfId="2" applyNumberFormat="1" applyFont="1" applyFill="1" applyBorder="1" applyAlignment="1">
      <alignment horizontal="center" vertical="center"/>
    </xf>
    <xf numFmtId="4" fontId="5" fillId="3" borderId="21" xfId="2" applyNumberFormat="1" applyFont="1" applyFill="1" applyBorder="1" applyAlignment="1">
      <alignment horizontal="center" vertical="center"/>
    </xf>
    <xf numFmtId="4" fontId="5" fillId="3" borderId="14" xfId="2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8" fillId="2" borderId="10" xfId="0" applyNumberFormat="1" applyFont="1" applyFill="1" applyBorder="1" applyAlignment="1">
      <alignment horizontal="center" vertical="center"/>
    </xf>
    <xf numFmtId="0" fontId="3" fillId="3" borderId="12" xfId="0" quotePrefix="1" applyNumberFormat="1" applyFont="1" applyFill="1" applyBorder="1" applyAlignment="1">
      <alignment horizontal="center" vertical="center"/>
    </xf>
    <xf numFmtId="0" fontId="3" fillId="3" borderId="0" xfId="0" applyNumberFormat="1" applyFont="1" applyFill="1">
      <alignment vertical="center"/>
    </xf>
    <xf numFmtId="0" fontId="3" fillId="0" borderId="0" xfId="0" applyNumberFormat="1" applyFont="1">
      <alignment vertical="center"/>
    </xf>
    <xf numFmtId="0" fontId="10" fillId="9" borderId="11" xfId="2" applyFont="1" applyFill="1" applyBorder="1" applyAlignment="1">
      <alignment horizontal="center"/>
    </xf>
    <xf numFmtId="0" fontId="10" fillId="9" borderId="12" xfId="2" applyFont="1" applyFill="1" applyBorder="1" applyAlignment="1">
      <alignment horizontal="center" vertical="center"/>
    </xf>
    <xf numFmtId="0" fontId="10" fillId="9" borderId="5" xfId="2" applyFont="1" applyFill="1" applyBorder="1" applyAlignment="1">
      <alignment horizontal="center"/>
    </xf>
    <xf numFmtId="0" fontId="3" fillId="9" borderId="21" xfId="0" applyFont="1" applyFill="1" applyBorder="1" applyAlignment="1">
      <alignment horizontal="center" vertical="center"/>
    </xf>
    <xf numFmtId="4" fontId="10" fillId="9" borderId="14" xfId="2" applyNumberFormat="1" applyFont="1" applyFill="1" applyBorder="1" applyAlignment="1">
      <alignment horizontal="center" vertical="center"/>
    </xf>
    <xf numFmtId="0" fontId="3" fillId="9" borderId="12" xfId="0" applyNumberFormat="1" applyFont="1" applyFill="1" applyBorder="1" applyAlignment="1">
      <alignment horizontal="center" vertical="center"/>
    </xf>
    <xf numFmtId="176" fontId="3" fillId="9" borderId="12" xfId="1" applyNumberFormat="1" applyFont="1" applyFill="1" applyBorder="1">
      <alignment vertical="center"/>
    </xf>
    <xf numFmtId="41" fontId="3" fillId="9" borderId="12" xfId="1" applyFont="1" applyFill="1" applyBorder="1" applyAlignment="1">
      <alignment horizontal="center" vertical="center"/>
    </xf>
    <xf numFmtId="41" fontId="3" fillId="9" borderId="13" xfId="1" applyFont="1" applyFill="1" applyBorder="1" applyAlignment="1">
      <alignment horizontal="center" vertical="center"/>
    </xf>
    <xf numFmtId="0" fontId="3" fillId="9" borderId="0" xfId="0" applyFont="1" applyFill="1">
      <alignment vertical="center"/>
    </xf>
    <xf numFmtId="0" fontId="10" fillId="9" borderId="12" xfId="2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 vertical="center"/>
    </xf>
    <xf numFmtId="0" fontId="10" fillId="9" borderId="26" xfId="2" applyFont="1" applyFill="1" applyBorder="1" applyAlignment="1">
      <alignment horizontal="center"/>
    </xf>
    <xf numFmtId="0" fontId="3" fillId="9" borderId="17" xfId="0" applyNumberFormat="1" applyFont="1" applyFill="1" applyBorder="1" applyAlignment="1">
      <alignment horizontal="center" vertical="center"/>
    </xf>
    <xf numFmtId="176" fontId="3" fillId="9" borderId="17" xfId="1" applyNumberFormat="1" applyFont="1" applyFill="1" applyBorder="1">
      <alignment vertical="center"/>
    </xf>
    <xf numFmtId="41" fontId="3" fillId="9" borderId="17" xfId="1" applyFont="1" applyFill="1" applyBorder="1" applyAlignment="1">
      <alignment horizontal="center" vertical="center"/>
    </xf>
    <xf numFmtId="41" fontId="3" fillId="9" borderId="27" xfId="1" applyFont="1" applyFill="1" applyBorder="1" applyAlignment="1">
      <alignment horizontal="center" vertical="center"/>
    </xf>
    <xf numFmtId="14" fontId="21" fillId="0" borderId="12" xfId="0" applyNumberFormat="1" applyFont="1" applyFill="1" applyBorder="1" applyAlignment="1">
      <alignment horizontal="center" vertical="center"/>
    </xf>
    <xf numFmtId="0" fontId="37" fillId="0" borderId="5" xfId="2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10" fillId="0" borderId="31" xfId="2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10" fillId="6" borderId="12" xfId="2" applyFont="1" applyFill="1" applyBorder="1" applyAlignment="1">
      <alignment horizontal="center"/>
    </xf>
    <xf numFmtId="49" fontId="5" fillId="0" borderId="12" xfId="2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10" fillId="0" borderId="36" xfId="2" applyFont="1" applyFill="1" applyBorder="1" applyAlignment="1">
      <alignment horizontal="center"/>
    </xf>
    <xf numFmtId="0" fontId="37" fillId="0" borderId="12" xfId="2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left" vertical="center"/>
    </xf>
    <xf numFmtId="2" fontId="16" fillId="0" borderId="12" xfId="0" applyNumberFormat="1" applyFont="1" applyFill="1" applyBorder="1" applyAlignment="1">
      <alignment horizontal="center" vertical="center"/>
    </xf>
    <xf numFmtId="176" fontId="16" fillId="0" borderId="12" xfId="1" applyNumberFormat="1" applyFont="1" applyFill="1" applyBorder="1" applyAlignment="1">
      <alignment horizontal="center" vertical="center"/>
    </xf>
    <xf numFmtId="0" fontId="16" fillId="0" borderId="12" xfId="0" applyNumberFormat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left" vertical="center"/>
    </xf>
    <xf numFmtId="2" fontId="10" fillId="0" borderId="12" xfId="0" applyNumberFormat="1" applyFont="1" applyFill="1" applyBorder="1" applyAlignment="1">
      <alignment horizontal="center" vertical="center"/>
    </xf>
    <xf numFmtId="41" fontId="10" fillId="0" borderId="12" xfId="1" applyFont="1" applyFill="1" applyBorder="1" applyAlignment="1">
      <alignment horizontal="center" vertical="center"/>
    </xf>
    <xf numFmtId="0" fontId="45" fillId="0" borderId="12" xfId="0" applyFont="1" applyFill="1" applyBorder="1" applyAlignment="1">
      <alignment horizontal="center" vertical="center"/>
    </xf>
    <xf numFmtId="0" fontId="37" fillId="0" borderId="12" xfId="0" applyFont="1" applyFill="1" applyBorder="1" applyAlignment="1">
      <alignment horizontal="left" vertical="center"/>
    </xf>
    <xf numFmtId="2" fontId="45" fillId="0" borderId="12" xfId="0" applyNumberFormat="1" applyFont="1" applyFill="1" applyBorder="1" applyAlignment="1">
      <alignment horizontal="center" vertical="center"/>
    </xf>
    <xf numFmtId="41" fontId="45" fillId="0" borderId="12" xfId="1" applyFont="1" applyFill="1" applyBorder="1" applyAlignment="1">
      <alignment horizontal="center" vertical="center"/>
    </xf>
    <xf numFmtId="0" fontId="37" fillId="0" borderId="12" xfId="0" applyFont="1" applyFill="1" applyBorder="1" applyAlignment="1">
      <alignment horizontal="center" vertical="center"/>
    </xf>
    <xf numFmtId="0" fontId="37" fillId="0" borderId="12" xfId="0" applyNumberFormat="1" applyFont="1" applyFill="1" applyBorder="1" applyAlignment="1">
      <alignment horizontal="center" vertical="center"/>
    </xf>
    <xf numFmtId="176" fontId="37" fillId="0" borderId="12" xfId="1" applyNumberFormat="1" applyFont="1" applyFill="1" applyBorder="1" applyAlignment="1">
      <alignment horizontal="center" vertical="center"/>
    </xf>
    <xf numFmtId="41" fontId="37" fillId="0" borderId="12" xfId="1" applyFont="1" applyFill="1" applyBorder="1" applyAlignment="1">
      <alignment horizontal="center" vertical="center"/>
    </xf>
    <xf numFmtId="14" fontId="16" fillId="0" borderId="12" xfId="2" applyNumberFormat="1" applyFont="1" applyFill="1" applyBorder="1" applyAlignment="1">
      <alignment horizontal="left" vertical="center"/>
    </xf>
    <xf numFmtId="0" fontId="39" fillId="0" borderId="12" xfId="2" applyFont="1" applyFill="1" applyBorder="1" applyAlignment="1">
      <alignment horizontal="center"/>
    </xf>
    <xf numFmtId="49" fontId="39" fillId="0" borderId="12" xfId="2" applyNumberFormat="1" applyFont="1" applyFill="1" applyBorder="1" applyAlignment="1">
      <alignment horizontal="center"/>
    </xf>
    <xf numFmtId="14" fontId="37" fillId="0" borderId="12" xfId="2" applyNumberFormat="1" applyFont="1" applyFill="1" applyBorder="1" applyAlignment="1">
      <alignment horizontal="left" vertical="center"/>
    </xf>
    <xf numFmtId="0" fontId="10" fillId="0" borderId="12" xfId="0" applyFont="1" applyFill="1" applyBorder="1" applyAlignment="1">
      <alignment vertical="center"/>
    </xf>
    <xf numFmtId="0" fontId="20" fillId="0" borderId="12" xfId="0" applyFont="1" applyFill="1" applyBorder="1" applyAlignment="1">
      <alignment horizontal="center" vertical="center"/>
    </xf>
    <xf numFmtId="3" fontId="20" fillId="0" borderId="12" xfId="0" applyNumberFormat="1" applyFont="1" applyFill="1" applyBorder="1" applyAlignment="1">
      <alignment horizontal="center" vertical="center"/>
    </xf>
    <xf numFmtId="0" fontId="45" fillId="0" borderId="12" xfId="0" applyFont="1" applyFill="1" applyBorder="1" applyAlignment="1">
      <alignment vertical="center"/>
    </xf>
    <xf numFmtId="2" fontId="48" fillId="0" borderId="12" xfId="0" applyNumberFormat="1" applyFont="1" applyFill="1" applyBorder="1" applyAlignment="1">
      <alignment horizontal="center" vertical="center"/>
    </xf>
    <xf numFmtId="0" fontId="48" fillId="0" borderId="12" xfId="0" applyFont="1" applyFill="1" applyBorder="1" applyAlignment="1">
      <alignment horizontal="center" vertical="center"/>
    </xf>
    <xf numFmtId="3" fontId="48" fillId="0" borderId="12" xfId="0" applyNumberFormat="1" applyFont="1" applyFill="1" applyBorder="1" applyAlignment="1">
      <alignment horizontal="center" vertical="center"/>
    </xf>
    <xf numFmtId="4" fontId="20" fillId="0" borderId="12" xfId="0" applyNumberFormat="1" applyFont="1" applyFill="1" applyBorder="1" applyAlignment="1">
      <alignment horizontal="center" vertical="center"/>
    </xf>
    <xf numFmtId="0" fontId="16" fillId="0" borderId="12" xfId="2" applyFont="1" applyFill="1" applyBorder="1" applyAlignment="1">
      <alignment horizontal="center" vertical="center"/>
    </xf>
    <xf numFmtId="41" fontId="14" fillId="0" borderId="33" xfId="1" applyFont="1" applyFill="1" applyBorder="1" applyAlignment="1">
      <alignment horizontal="center" vertical="center"/>
    </xf>
    <xf numFmtId="41" fontId="14" fillId="0" borderId="14" xfId="1" applyFont="1" applyFill="1" applyBorder="1" applyAlignment="1">
      <alignment horizontal="center" vertical="center"/>
    </xf>
    <xf numFmtId="176" fontId="14" fillId="0" borderId="17" xfId="1" applyNumberFormat="1" applyFont="1" applyFill="1" applyBorder="1" applyAlignment="1">
      <alignment horizontal="center" vertical="center"/>
    </xf>
    <xf numFmtId="41" fontId="14" fillId="0" borderId="17" xfId="1" applyFont="1" applyFill="1" applyBorder="1" applyAlignment="1">
      <alignment horizontal="center" vertical="center"/>
    </xf>
    <xf numFmtId="41" fontId="14" fillId="0" borderId="15" xfId="1" applyFont="1" applyFill="1" applyBorder="1" applyAlignment="1">
      <alignment horizontal="center" vertical="center"/>
    </xf>
    <xf numFmtId="41" fontId="14" fillId="0" borderId="27" xfId="1" applyFont="1" applyFill="1" applyBorder="1" applyAlignment="1">
      <alignment horizontal="center" vertical="center"/>
    </xf>
    <xf numFmtId="0" fontId="0" fillId="0" borderId="12" xfId="0" applyFont="1" applyFill="1" applyBorder="1">
      <alignment vertical="center"/>
    </xf>
    <xf numFmtId="0" fontId="10" fillId="0" borderId="0" xfId="0" applyFont="1" applyFill="1">
      <alignment vertical="center"/>
    </xf>
    <xf numFmtId="176" fontId="10" fillId="0" borderId="12" xfId="1" applyNumberFormat="1" applyFont="1" applyFill="1" applyBorder="1" applyAlignment="1">
      <alignment horizontal="center" vertical="center"/>
    </xf>
    <xf numFmtId="0" fontId="10" fillId="0" borderId="12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49" fillId="4" borderId="12" xfId="6" applyFont="1" applyFill="1" applyBorder="1" applyAlignment="1">
      <alignment horizontal="center"/>
    </xf>
    <xf numFmtId="14" fontId="49" fillId="4" borderId="12" xfId="6" applyNumberFormat="1" applyFont="1" applyFill="1" applyBorder="1" applyAlignment="1">
      <alignment horizontal="center" vertical="center"/>
    </xf>
    <xf numFmtId="0" fontId="49" fillId="4" borderId="12" xfId="6" applyFont="1" applyFill="1" applyBorder="1" applyAlignment="1">
      <alignment horizontal="center" vertical="center"/>
    </xf>
    <xf numFmtId="0" fontId="49" fillId="4" borderId="12" xfId="6" applyNumberFormat="1" applyFont="1" applyFill="1" applyBorder="1" applyAlignment="1">
      <alignment horizontal="center" vertical="center"/>
    </xf>
    <xf numFmtId="4" fontId="49" fillId="4" borderId="12" xfId="6" applyNumberFormat="1" applyFont="1" applyFill="1" applyBorder="1" applyAlignment="1">
      <alignment horizontal="center" vertical="center"/>
    </xf>
    <xf numFmtId="177" fontId="49" fillId="4" borderId="12" xfId="6" applyNumberFormat="1" applyFont="1" applyFill="1" applyBorder="1" applyAlignment="1">
      <alignment horizontal="center" vertical="center"/>
    </xf>
    <xf numFmtId="0" fontId="49" fillId="4" borderId="12" xfId="2" applyFont="1" applyFill="1" applyBorder="1" applyAlignment="1">
      <alignment horizontal="center"/>
    </xf>
    <xf numFmtId="0" fontId="49" fillId="4" borderId="12" xfId="2" applyFont="1" applyFill="1" applyBorder="1" applyAlignment="1">
      <alignment horizontal="center" vertical="center"/>
    </xf>
    <xf numFmtId="14" fontId="49" fillId="4" borderId="12" xfId="2" applyNumberFormat="1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vertical="center"/>
    </xf>
    <xf numFmtId="0" fontId="9" fillId="4" borderId="12" xfId="0" applyFont="1" applyFill="1" applyBorder="1">
      <alignment vertical="center"/>
    </xf>
    <xf numFmtId="0" fontId="49" fillId="4" borderId="12" xfId="0" applyFont="1" applyFill="1" applyBorder="1" applyAlignment="1">
      <alignment horizontal="center" vertical="center"/>
    </xf>
    <xf numFmtId="0" fontId="49" fillId="4" borderId="12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center" vertical="center"/>
    </xf>
    <xf numFmtId="14" fontId="49" fillId="4" borderId="12" xfId="2" applyNumberFormat="1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center" vertical="center"/>
    </xf>
    <xf numFmtId="0" fontId="49" fillId="4" borderId="12" xfId="0" applyFont="1" applyFill="1" applyBorder="1" applyAlignment="1">
      <alignment vertical="center"/>
    </xf>
    <xf numFmtId="0" fontId="49" fillId="4" borderId="12" xfId="6" applyFont="1" applyFill="1" applyBorder="1" applyAlignment="1">
      <alignment vertical="center"/>
    </xf>
    <xf numFmtId="0" fontId="49" fillId="4" borderId="12" xfId="6" applyFont="1" applyFill="1" applyBorder="1">
      <alignment vertical="center"/>
    </xf>
    <xf numFmtId="4" fontId="49" fillId="4" borderId="12" xfId="6" applyNumberFormat="1" applyFont="1" applyFill="1" applyBorder="1" applyAlignment="1">
      <alignment vertical="center"/>
    </xf>
    <xf numFmtId="0" fontId="49" fillId="4" borderId="12" xfId="6" applyFont="1" applyFill="1" applyBorder="1" applyAlignment="1">
      <alignment horizontal="left" vertical="center"/>
    </xf>
    <xf numFmtId="0" fontId="49" fillId="4" borderId="12" xfId="5" applyFont="1" applyFill="1" applyBorder="1" applyAlignment="1">
      <alignment horizontal="center"/>
    </xf>
    <xf numFmtId="14" fontId="49" fillId="4" borderId="12" xfId="5" applyNumberFormat="1" applyFont="1" applyFill="1" applyBorder="1" applyAlignment="1">
      <alignment horizontal="center" vertical="center"/>
    </xf>
    <xf numFmtId="0" fontId="49" fillId="4" borderId="12" xfId="5" applyFont="1" applyFill="1" applyBorder="1" applyAlignment="1">
      <alignment vertical="center"/>
    </xf>
    <xf numFmtId="0" fontId="49" fillId="4" borderId="12" xfId="5" applyFont="1" applyFill="1" applyBorder="1" applyAlignment="1">
      <alignment horizontal="center" vertical="center"/>
    </xf>
    <xf numFmtId="14" fontId="49" fillId="4" borderId="12" xfId="6" applyNumberFormat="1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49" fillId="5" borderId="12" xfId="6" applyFont="1" applyFill="1" applyBorder="1" applyAlignment="1">
      <alignment horizontal="center"/>
    </xf>
    <xf numFmtId="49" fontId="49" fillId="5" borderId="12" xfId="6" applyNumberFormat="1" applyFont="1" applyFill="1" applyBorder="1" applyAlignment="1">
      <alignment horizontal="center"/>
    </xf>
    <xf numFmtId="0" fontId="9" fillId="5" borderId="12" xfId="0" applyFont="1" applyFill="1" applyBorder="1">
      <alignment vertical="center"/>
    </xf>
    <xf numFmtId="0" fontId="49" fillId="5" borderId="12" xfId="6" applyFont="1" applyFill="1" applyBorder="1" applyAlignment="1">
      <alignment horizontal="center" vertical="center"/>
    </xf>
    <xf numFmtId="14" fontId="49" fillId="5" borderId="12" xfId="6" applyNumberFormat="1" applyFont="1" applyFill="1" applyBorder="1" applyAlignment="1">
      <alignment horizontal="left" vertical="center"/>
    </xf>
    <xf numFmtId="0" fontId="49" fillId="5" borderId="12" xfId="2" applyFont="1" applyFill="1" applyBorder="1" applyAlignment="1">
      <alignment horizontal="center"/>
    </xf>
    <xf numFmtId="0" fontId="9" fillId="5" borderId="12" xfId="0" applyFont="1" applyFill="1" applyBorder="1" applyAlignment="1">
      <alignment vertical="center"/>
    </xf>
    <xf numFmtId="0" fontId="49" fillId="5" borderId="12" xfId="2" applyFont="1" applyFill="1" applyBorder="1" applyAlignment="1">
      <alignment horizontal="center" vertical="center"/>
    </xf>
    <xf numFmtId="49" fontId="49" fillId="5" borderId="12" xfId="2" applyNumberFormat="1" applyFont="1" applyFill="1" applyBorder="1" applyAlignment="1">
      <alignment horizontal="center"/>
    </xf>
    <xf numFmtId="14" fontId="49" fillId="5" borderId="12" xfId="2" applyNumberFormat="1" applyFont="1" applyFill="1" applyBorder="1" applyAlignment="1">
      <alignment horizontal="left" vertical="center"/>
    </xf>
    <xf numFmtId="0" fontId="49" fillId="12" borderId="12" xfId="2" applyFont="1" applyFill="1" applyBorder="1" applyAlignment="1">
      <alignment horizontal="center"/>
    </xf>
    <xf numFmtId="0" fontId="49" fillId="12" borderId="12" xfId="0" applyFont="1" applyFill="1" applyBorder="1" applyAlignment="1">
      <alignment horizontal="center" vertical="center"/>
    </xf>
    <xf numFmtId="0" fontId="9" fillId="12" borderId="12" xfId="0" applyFont="1" applyFill="1" applyBorder="1">
      <alignment vertical="center"/>
    </xf>
    <xf numFmtId="0" fontId="49" fillId="12" borderId="12" xfId="0" applyFont="1" applyFill="1" applyBorder="1">
      <alignment vertical="center"/>
    </xf>
    <xf numFmtId="0" fontId="49" fillId="12" borderId="12" xfId="6" applyFont="1" applyFill="1" applyBorder="1" applyAlignment="1">
      <alignment horizontal="center"/>
    </xf>
    <xf numFmtId="14" fontId="49" fillId="12" borderId="12" xfId="6" applyNumberFormat="1" applyFont="1" applyFill="1" applyBorder="1" applyAlignment="1">
      <alignment horizontal="center" vertical="center"/>
    </xf>
    <xf numFmtId="0" fontId="49" fillId="12" borderId="12" xfId="6" applyFont="1" applyFill="1" applyBorder="1" applyAlignment="1">
      <alignment horizontal="center" vertical="center"/>
    </xf>
    <xf numFmtId="0" fontId="49" fillId="12" borderId="12" xfId="6" applyFont="1" applyFill="1" applyBorder="1">
      <alignment vertical="center"/>
    </xf>
    <xf numFmtId="14" fontId="49" fillId="12" borderId="12" xfId="2" applyNumberFormat="1" applyFont="1" applyFill="1" applyBorder="1" applyAlignment="1">
      <alignment horizontal="center" vertical="center"/>
    </xf>
    <xf numFmtId="0" fontId="49" fillId="12" borderId="12" xfId="6" applyNumberFormat="1" applyFont="1" applyFill="1" applyBorder="1" applyAlignment="1">
      <alignment horizontal="center" vertical="center"/>
    </xf>
    <xf numFmtId="4" fontId="49" fillId="12" borderId="12" xfId="6" applyNumberFormat="1" applyFont="1" applyFill="1" applyBorder="1" applyAlignment="1">
      <alignment horizontal="center" vertical="center"/>
    </xf>
    <xf numFmtId="0" fontId="49" fillId="12" borderId="12" xfId="2" applyNumberFormat="1" applyFont="1" applyFill="1" applyBorder="1" applyAlignment="1">
      <alignment horizontal="center" vertical="center"/>
    </xf>
    <xf numFmtId="0" fontId="49" fillId="12" borderId="12" xfId="2" applyFont="1" applyFill="1" applyBorder="1" applyAlignment="1">
      <alignment horizontal="center" vertical="center"/>
    </xf>
    <xf numFmtId="177" fontId="49" fillId="12" borderId="12" xfId="6" applyNumberFormat="1" applyFont="1" applyFill="1" applyBorder="1" applyAlignment="1">
      <alignment horizontal="center" vertical="center"/>
    </xf>
    <xf numFmtId="0" fontId="49" fillId="13" borderId="12" xfId="2" applyFont="1" applyFill="1" applyBorder="1" applyAlignment="1">
      <alignment horizontal="center"/>
    </xf>
    <xf numFmtId="0" fontId="9" fillId="13" borderId="12" xfId="0" applyFont="1" applyFill="1" applyBorder="1" applyAlignment="1">
      <alignment vertical="center"/>
    </xf>
    <xf numFmtId="0" fontId="9" fillId="13" borderId="12" xfId="0" applyFont="1" applyFill="1" applyBorder="1">
      <alignment vertical="center"/>
    </xf>
    <xf numFmtId="14" fontId="49" fillId="5" borderId="12" xfId="2" applyNumberFormat="1" applyFont="1" applyFill="1" applyBorder="1" applyAlignment="1">
      <alignment horizontal="center" vertical="center"/>
    </xf>
    <xf numFmtId="0" fontId="49" fillId="5" borderId="12" xfId="2" applyNumberFormat="1" applyFont="1" applyFill="1" applyBorder="1" applyAlignment="1">
      <alignment horizontal="center" vertical="center"/>
    </xf>
    <xf numFmtId="4" fontId="49" fillId="5" borderId="12" xfId="2" applyNumberFormat="1" applyFont="1" applyFill="1" applyBorder="1" applyAlignment="1">
      <alignment vertical="center"/>
    </xf>
    <xf numFmtId="0" fontId="9" fillId="12" borderId="12" xfId="0" applyFont="1" applyFill="1" applyBorder="1" applyAlignment="1">
      <alignment vertical="center"/>
    </xf>
    <xf numFmtId="0" fontId="9" fillId="12" borderId="12" xfId="0" applyFont="1" applyFill="1" applyBorder="1" applyAlignment="1">
      <alignment horizontal="left" vertical="center"/>
    </xf>
    <xf numFmtId="0" fontId="49" fillId="12" borderId="12" xfId="2" applyFont="1" applyFill="1" applyBorder="1" applyAlignment="1">
      <alignment horizontal="left" vertical="center"/>
    </xf>
    <xf numFmtId="0" fontId="9" fillId="12" borderId="12" xfId="0" applyNumberFormat="1" applyFont="1" applyFill="1" applyBorder="1" applyAlignment="1">
      <alignment horizontal="left" vertical="center"/>
    </xf>
    <xf numFmtId="0" fontId="49" fillId="12" borderId="12" xfId="2" applyFont="1" applyFill="1" applyBorder="1" applyAlignment="1">
      <alignment horizontal="left"/>
    </xf>
    <xf numFmtId="0" fontId="9" fillId="13" borderId="12" xfId="0" applyFont="1" applyFill="1" applyBorder="1" applyAlignment="1">
      <alignment horizontal="center" vertical="center"/>
    </xf>
    <xf numFmtId="0" fontId="49" fillId="14" borderId="12" xfId="2" applyFont="1" applyFill="1" applyBorder="1" applyAlignment="1">
      <alignment horizontal="center"/>
    </xf>
    <xf numFmtId="0" fontId="49" fillId="14" borderId="12" xfId="0" applyFont="1" applyFill="1" applyBorder="1" applyAlignment="1">
      <alignment vertical="center"/>
    </xf>
    <xf numFmtId="0" fontId="9" fillId="14" borderId="12" xfId="0" applyFont="1" applyFill="1" applyBorder="1">
      <alignment vertical="center"/>
    </xf>
    <xf numFmtId="14" fontId="49" fillId="14" borderId="12" xfId="2" applyNumberFormat="1" applyFont="1" applyFill="1" applyBorder="1" applyAlignment="1">
      <alignment horizontal="left" vertical="center"/>
    </xf>
    <xf numFmtId="0" fontId="49" fillId="14" borderId="12" xfId="0" applyFont="1" applyFill="1" applyBorder="1">
      <alignment vertical="center"/>
    </xf>
    <xf numFmtId="0" fontId="49" fillId="4" borderId="12" xfId="2" applyNumberFormat="1" applyFont="1" applyFill="1" applyBorder="1" applyAlignment="1">
      <alignment horizontal="center" vertical="center"/>
    </xf>
    <xf numFmtId="177" fontId="49" fillId="4" borderId="12" xfId="2" applyNumberFormat="1" applyFont="1" applyFill="1" applyBorder="1" applyAlignment="1">
      <alignment horizontal="center" vertical="center"/>
    </xf>
    <xf numFmtId="4" fontId="49" fillId="4" borderId="12" xfId="2" applyNumberFormat="1" applyFont="1" applyFill="1" applyBorder="1" applyAlignment="1">
      <alignment vertical="center"/>
    </xf>
    <xf numFmtId="0" fontId="49" fillId="5" borderId="12" xfId="5" applyFont="1" applyFill="1" applyBorder="1" applyAlignment="1">
      <alignment horizontal="center"/>
    </xf>
    <xf numFmtId="0" fontId="49" fillId="5" borderId="12" xfId="5" applyFont="1" applyFill="1" applyBorder="1" applyAlignment="1">
      <alignment horizontal="center" vertical="center"/>
    </xf>
    <xf numFmtId="0" fontId="49" fillId="5" borderId="12" xfId="6" applyFont="1" applyFill="1" applyBorder="1" applyAlignment="1">
      <alignment vertical="center"/>
    </xf>
    <xf numFmtId="14" fontId="49" fillId="5" borderId="12" xfId="6" applyNumberFormat="1" applyFont="1" applyFill="1" applyBorder="1" applyAlignment="1">
      <alignment horizontal="center" vertical="center"/>
    </xf>
    <xf numFmtId="0" fontId="49" fillId="5" borderId="12" xfId="0" applyFont="1" applyFill="1" applyBorder="1" applyAlignment="1">
      <alignment horizontal="center" vertical="center"/>
    </xf>
    <xf numFmtId="0" fontId="49" fillId="5" borderId="12" xfId="0" applyFont="1" applyFill="1" applyBorder="1" applyAlignment="1">
      <alignment vertical="center"/>
    </xf>
    <xf numFmtId="0" fontId="49" fillId="5" borderId="12" xfId="6" applyNumberFormat="1" applyFont="1" applyFill="1" applyBorder="1" applyAlignment="1">
      <alignment horizontal="center" vertical="center"/>
    </xf>
    <xf numFmtId="177" fontId="49" fillId="5" borderId="12" xfId="6" applyNumberFormat="1" applyFont="1" applyFill="1" applyBorder="1" applyAlignment="1">
      <alignment horizontal="center" vertical="center"/>
    </xf>
    <xf numFmtId="4" fontId="49" fillId="5" borderId="12" xfId="6" applyNumberFormat="1" applyFont="1" applyFill="1" applyBorder="1" applyAlignment="1">
      <alignment vertical="center"/>
    </xf>
    <xf numFmtId="0" fontId="49" fillId="5" borderId="12" xfId="5" applyNumberFormat="1" applyFont="1" applyFill="1" applyBorder="1" applyAlignment="1">
      <alignment horizontal="center" vertical="center"/>
    </xf>
    <xf numFmtId="4" fontId="49" fillId="5" borderId="12" xfId="5" applyNumberFormat="1" applyFont="1" applyFill="1" applyBorder="1" applyAlignment="1">
      <alignment vertical="center"/>
    </xf>
    <xf numFmtId="14" fontId="49" fillId="5" borderId="12" xfId="5" applyNumberFormat="1" applyFont="1" applyFill="1" applyBorder="1" applyAlignment="1">
      <alignment horizontal="center" vertical="center"/>
    </xf>
    <xf numFmtId="14" fontId="49" fillId="5" borderId="12" xfId="5" applyNumberFormat="1" applyFont="1" applyFill="1" applyBorder="1" applyAlignment="1">
      <alignment vertical="center"/>
    </xf>
    <xf numFmtId="14" fontId="49" fillId="5" borderId="12" xfId="6" applyNumberFormat="1" applyFont="1" applyFill="1" applyBorder="1" applyAlignment="1">
      <alignment vertical="center"/>
    </xf>
    <xf numFmtId="14" fontId="49" fillId="5" borderId="12" xfId="2" applyNumberFormat="1" applyFont="1" applyFill="1" applyBorder="1" applyAlignment="1">
      <alignment vertical="center"/>
    </xf>
    <xf numFmtId="0" fontId="49" fillId="5" borderId="12" xfId="2" applyNumberFormat="1" applyFont="1" applyFill="1" applyBorder="1" applyAlignment="1">
      <alignment vertical="center"/>
    </xf>
    <xf numFmtId="0" fontId="49" fillId="5" borderId="12" xfId="5" applyNumberFormat="1" applyFont="1" applyFill="1" applyBorder="1" applyAlignment="1">
      <alignment vertical="center"/>
    </xf>
    <xf numFmtId="0" fontId="49" fillId="5" borderId="12" xfId="5" applyFont="1" applyFill="1" applyBorder="1" applyAlignment="1">
      <alignment vertical="center"/>
    </xf>
    <xf numFmtId="0" fontId="0" fillId="0" borderId="0" xfId="0" applyAlignment="1">
      <alignment vertical="center"/>
    </xf>
    <xf numFmtId="0" fontId="9" fillId="12" borderId="12" xfId="0" applyFont="1" applyFill="1" applyBorder="1" applyAlignment="1">
      <alignment horizontal="center" vertical="center"/>
    </xf>
    <xf numFmtId="0" fontId="50" fillId="12" borderId="12" xfId="2" applyFont="1" applyFill="1" applyBorder="1" applyAlignment="1">
      <alignment horizontal="center" vertical="center"/>
    </xf>
    <xf numFmtId="14" fontId="50" fillId="12" borderId="12" xfId="2" applyNumberFormat="1" applyFont="1" applyFill="1" applyBorder="1" applyAlignment="1">
      <alignment horizontal="center" vertical="center"/>
    </xf>
    <xf numFmtId="0" fontId="50" fillId="12" borderId="12" xfId="0" applyFont="1" applyFill="1" applyBorder="1" applyAlignment="1">
      <alignment horizontal="center" vertical="center"/>
    </xf>
    <xf numFmtId="0" fontId="49" fillId="12" borderId="12" xfId="5" applyFont="1" applyFill="1" applyBorder="1" applyAlignment="1">
      <alignment horizontal="center" vertical="center"/>
    </xf>
    <xf numFmtId="14" fontId="49" fillId="12" borderId="12" xfId="5" applyNumberFormat="1" applyFont="1" applyFill="1" applyBorder="1" applyAlignment="1">
      <alignment horizontal="center" vertical="center"/>
    </xf>
    <xf numFmtId="0" fontId="49" fillId="13" borderId="12" xfId="0" applyFont="1" applyFill="1" applyBorder="1" applyAlignment="1">
      <alignment horizontal="center" vertical="center"/>
    </xf>
    <xf numFmtId="0" fontId="49" fillId="13" borderId="12" xfId="0" applyFont="1" applyFill="1" applyBorder="1" applyAlignment="1">
      <alignment vertical="center"/>
    </xf>
    <xf numFmtId="0" fontId="49" fillId="13" borderId="12" xfId="6" applyFont="1" applyFill="1" applyBorder="1" applyAlignment="1">
      <alignment horizontal="center"/>
    </xf>
    <xf numFmtId="0" fontId="49" fillId="13" borderId="12" xfId="6" applyFont="1" applyFill="1" applyBorder="1" applyAlignment="1">
      <alignment horizontal="center" vertical="center"/>
    </xf>
    <xf numFmtId="0" fontId="49" fillId="13" borderId="12" xfId="6" applyFont="1" applyFill="1" applyBorder="1" applyAlignment="1">
      <alignment horizontal="left" vertical="center"/>
    </xf>
    <xf numFmtId="0" fontId="49" fillId="13" borderId="12" xfId="2" applyFont="1" applyFill="1" applyBorder="1" applyAlignment="1">
      <alignment horizontal="left" vertical="center"/>
    </xf>
    <xf numFmtId="0" fontId="49" fillId="14" borderId="12" xfId="2" applyFont="1" applyFill="1" applyBorder="1" applyAlignment="1">
      <alignment horizontal="center" vertical="center"/>
    </xf>
    <xf numFmtId="0" fontId="9" fillId="14" borderId="12" xfId="0" applyFont="1" applyFill="1" applyBorder="1" applyAlignment="1">
      <alignment vertical="center"/>
    </xf>
    <xf numFmtId="0" fontId="49" fillId="14" borderId="12" xfId="6" applyFont="1" applyFill="1" applyBorder="1" applyAlignment="1">
      <alignment horizontal="center"/>
    </xf>
    <xf numFmtId="0" fontId="49" fillId="14" borderId="12" xfId="6" applyFont="1" applyFill="1" applyBorder="1" applyAlignment="1">
      <alignment vertical="center"/>
    </xf>
    <xf numFmtId="14" fontId="49" fillId="14" borderId="12" xfId="6" applyNumberFormat="1" applyFont="1" applyFill="1" applyBorder="1" applyAlignment="1">
      <alignment horizontal="left" vertical="center"/>
    </xf>
    <xf numFmtId="14" fontId="49" fillId="14" borderId="12" xfId="2" applyNumberFormat="1" applyFont="1" applyFill="1" applyBorder="1" applyAlignment="1">
      <alignment horizontal="center" vertical="center"/>
    </xf>
    <xf numFmtId="14" fontId="49" fillId="14" borderId="12" xfId="6" applyNumberFormat="1" applyFont="1" applyFill="1" applyBorder="1" applyAlignment="1">
      <alignment horizontal="center" vertical="center"/>
    </xf>
    <xf numFmtId="0" fontId="49" fillId="14" borderId="12" xfId="6" applyFont="1" applyFill="1" applyBorder="1">
      <alignment vertical="center"/>
    </xf>
    <xf numFmtId="0" fontId="49" fillId="14" borderId="12" xfId="6" applyFont="1" applyFill="1" applyBorder="1" applyAlignment="1">
      <alignment horizontal="center" vertical="center"/>
    </xf>
    <xf numFmtId="0" fontId="49" fillId="4" borderId="12" xfId="0" applyFont="1" applyFill="1" applyBorder="1" applyAlignment="1">
      <alignment vertical="center" wrapText="1"/>
    </xf>
    <xf numFmtId="0" fontId="49" fillId="4" borderId="12" xfId="2" applyFont="1" applyFill="1" applyBorder="1" applyAlignment="1">
      <alignment vertical="center"/>
    </xf>
    <xf numFmtId="0" fontId="49" fillId="4" borderId="12" xfId="6" applyFont="1" applyFill="1" applyBorder="1" applyAlignment="1">
      <alignment vertical="center" wrapText="1"/>
    </xf>
    <xf numFmtId="0" fontId="49" fillId="5" borderId="12" xfId="6" applyFont="1" applyFill="1" applyBorder="1" applyAlignment="1">
      <alignment horizontal="left" vertical="center"/>
    </xf>
    <xf numFmtId="0" fontId="49" fillId="4" borderId="12" xfId="0" applyFont="1" applyFill="1" applyBorder="1">
      <alignment vertical="center"/>
    </xf>
    <xf numFmtId="41" fontId="9" fillId="5" borderId="12" xfId="1" applyFont="1" applyFill="1" applyBorder="1" applyAlignment="1">
      <alignment vertical="center"/>
    </xf>
    <xf numFmtId="41" fontId="50" fillId="5" borderId="12" xfId="1" applyFont="1" applyFill="1" applyBorder="1" applyAlignment="1">
      <alignment vertical="center"/>
    </xf>
    <xf numFmtId="0" fontId="49" fillId="14" borderId="12" xfId="2" applyNumberFormat="1" applyFont="1" applyFill="1" applyBorder="1" applyAlignment="1">
      <alignment horizontal="center"/>
    </xf>
    <xf numFmtId="0" fontId="3" fillId="0" borderId="0" xfId="0" applyFont="1" applyFill="1">
      <alignment vertical="center"/>
    </xf>
    <xf numFmtId="0" fontId="10" fillId="0" borderId="0" xfId="6" applyFont="1" applyFill="1">
      <alignment vertical="center"/>
    </xf>
    <xf numFmtId="0" fontId="20" fillId="0" borderId="0" xfId="6" applyFont="1" applyFill="1">
      <alignment vertical="center"/>
    </xf>
    <xf numFmtId="0" fontId="10" fillId="0" borderId="0" xfId="5" applyFont="1" applyFill="1">
      <alignment vertical="center"/>
    </xf>
    <xf numFmtId="0" fontId="44" fillId="0" borderId="0" xfId="0" applyFont="1" applyFill="1">
      <alignment vertical="center"/>
    </xf>
    <xf numFmtId="0" fontId="44" fillId="2" borderId="0" xfId="6" applyFont="1" applyFill="1">
      <alignment vertical="center"/>
    </xf>
    <xf numFmtId="0" fontId="0" fillId="2" borderId="0" xfId="0" applyFill="1">
      <alignment vertical="center"/>
    </xf>
    <xf numFmtId="0" fontId="10" fillId="0" borderId="12" xfId="6" applyFont="1" applyFill="1" applyBorder="1" applyAlignment="1">
      <alignment horizontal="center"/>
    </xf>
    <xf numFmtId="0" fontId="44" fillId="0" borderId="0" xfId="6" applyFont="1" applyFill="1">
      <alignment vertical="center"/>
    </xf>
    <xf numFmtId="0" fontId="42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44" fillId="2" borderId="12" xfId="0" applyFont="1" applyFill="1" applyBorder="1" applyAlignment="1">
      <alignment horizontal="center" vertical="center"/>
    </xf>
    <xf numFmtId="0" fontId="43" fillId="2" borderId="12" xfId="2" applyFont="1" applyFill="1" applyBorder="1" applyAlignment="1">
      <alignment horizontal="center"/>
    </xf>
    <xf numFmtId="0" fontId="43" fillId="2" borderId="5" xfId="2" applyFont="1" applyFill="1" applyBorder="1" applyAlignment="1">
      <alignment horizontal="center"/>
    </xf>
    <xf numFmtId="41" fontId="44" fillId="2" borderId="12" xfId="1" applyFont="1" applyFill="1" applyBorder="1" applyAlignment="1">
      <alignment horizontal="center" vertical="center"/>
    </xf>
    <xf numFmtId="0" fontId="6" fillId="2" borderId="0" xfId="0" applyFont="1" applyFill="1">
      <alignment vertical="center"/>
    </xf>
    <xf numFmtId="0" fontId="43" fillId="2" borderId="12" xfId="0" applyFont="1" applyFill="1" applyBorder="1" applyAlignment="1">
      <alignment horizontal="left" vertical="center"/>
    </xf>
    <xf numFmtId="0" fontId="43" fillId="2" borderId="12" xfId="0" applyFont="1" applyFill="1" applyBorder="1" applyAlignment="1">
      <alignment horizontal="center" vertical="center"/>
    </xf>
    <xf numFmtId="2" fontId="43" fillId="2" borderId="12" xfId="0" applyNumberFormat="1" applyFont="1" applyFill="1" applyBorder="1" applyAlignment="1">
      <alignment horizontal="center" vertical="center"/>
    </xf>
    <xf numFmtId="176" fontId="43" fillId="2" borderId="12" xfId="1" applyNumberFormat="1" applyFont="1" applyFill="1" applyBorder="1" applyAlignment="1">
      <alignment horizontal="center" vertical="center"/>
    </xf>
    <xf numFmtId="41" fontId="43" fillId="2" borderId="12" xfId="1" applyFont="1" applyFill="1" applyBorder="1" applyAlignment="1">
      <alignment horizontal="center" vertical="center"/>
    </xf>
    <xf numFmtId="0" fontId="45" fillId="0" borderId="12" xfId="6" applyFont="1" applyFill="1" applyBorder="1" applyAlignment="1">
      <alignment horizontal="center"/>
    </xf>
    <xf numFmtId="0" fontId="45" fillId="0" borderId="12" xfId="6" applyFont="1" applyFill="1" applyBorder="1" applyAlignment="1">
      <alignment horizontal="center" vertical="center"/>
    </xf>
    <xf numFmtId="0" fontId="45" fillId="0" borderId="12" xfId="6" applyFont="1" applyFill="1" applyBorder="1" applyAlignment="1">
      <alignment horizontal="left" vertical="center"/>
    </xf>
    <xf numFmtId="0" fontId="45" fillId="0" borderId="12" xfId="6" applyNumberFormat="1" applyFont="1" applyFill="1" applyBorder="1" applyAlignment="1">
      <alignment horizontal="center" vertical="center"/>
    </xf>
    <xf numFmtId="4" fontId="45" fillId="0" borderId="12" xfId="6" applyNumberFormat="1" applyFont="1" applyFill="1" applyBorder="1" applyAlignment="1">
      <alignment horizontal="center" vertical="center"/>
    </xf>
    <xf numFmtId="41" fontId="32" fillId="2" borderId="12" xfId="1" applyFont="1" applyFill="1" applyBorder="1" applyAlignment="1">
      <alignment vertical="center" wrapText="1"/>
    </xf>
    <xf numFmtId="0" fontId="33" fillId="2" borderId="12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49" fontId="31" fillId="2" borderId="12" xfId="0" applyNumberFormat="1" applyFont="1" applyFill="1" applyBorder="1" applyAlignment="1">
      <alignment horizontal="center" vertical="center"/>
    </xf>
    <xf numFmtId="0" fontId="34" fillId="2" borderId="12" xfId="0" applyFont="1" applyFill="1" applyBorder="1" applyAlignment="1">
      <alignment horizontal="center" vertical="center"/>
    </xf>
    <xf numFmtId="49" fontId="31" fillId="2" borderId="12" xfId="0" applyNumberFormat="1" applyFont="1" applyFill="1" applyBorder="1" applyAlignment="1">
      <alignment horizontal="center" vertical="center" wrapText="1"/>
    </xf>
    <xf numFmtId="41" fontId="31" fillId="2" borderId="12" xfId="1" applyFont="1" applyFill="1" applyBorder="1" applyAlignment="1">
      <alignment horizontal="right" vertical="center" wrapText="1"/>
    </xf>
    <xf numFmtId="3" fontId="31" fillId="2" borderId="12" xfId="0" applyNumberFormat="1" applyFont="1" applyFill="1" applyBorder="1" applyAlignment="1">
      <alignment horizontal="right" vertical="center" wrapText="1"/>
    </xf>
    <xf numFmtId="181" fontId="31" fillId="2" borderId="12" xfId="0" applyNumberFormat="1" applyFont="1" applyFill="1" applyBorder="1" applyAlignment="1">
      <alignment horizontal="right" vertical="center" wrapText="1"/>
    </xf>
    <xf numFmtId="49" fontId="47" fillId="2" borderId="12" xfId="0" applyNumberFormat="1" applyFont="1" applyFill="1" applyBorder="1" applyAlignment="1">
      <alignment horizontal="left" vertical="center"/>
    </xf>
    <xf numFmtId="49" fontId="47" fillId="2" borderId="12" xfId="0" applyNumberFormat="1" applyFont="1" applyFill="1" applyBorder="1" applyAlignment="1">
      <alignment vertical="center"/>
    </xf>
    <xf numFmtId="0" fontId="32" fillId="2" borderId="12" xfId="0" applyFont="1" applyFill="1" applyBorder="1" applyAlignment="1">
      <alignment horizontal="center" vertical="center"/>
    </xf>
    <xf numFmtId="49" fontId="47" fillId="2" borderId="12" xfId="0" applyNumberFormat="1" applyFont="1" applyFill="1" applyBorder="1" applyAlignment="1">
      <alignment horizontal="center" vertical="center"/>
    </xf>
    <xf numFmtId="0" fontId="35" fillId="2" borderId="12" xfId="0" applyFont="1" applyFill="1" applyBorder="1" applyAlignment="1">
      <alignment horizontal="center" vertical="center"/>
    </xf>
    <xf numFmtId="49" fontId="47" fillId="2" borderId="12" xfId="0" applyNumberFormat="1" applyFont="1" applyFill="1" applyBorder="1" applyAlignment="1">
      <alignment horizontal="center" vertical="center" wrapText="1"/>
    </xf>
    <xf numFmtId="41" fontId="47" fillId="2" borderId="12" xfId="1" applyFont="1" applyFill="1" applyBorder="1" applyAlignment="1">
      <alignment horizontal="right" vertical="center" wrapText="1"/>
    </xf>
    <xf numFmtId="0" fontId="19" fillId="2" borderId="0" xfId="0" applyFont="1" applyFill="1">
      <alignment vertical="center"/>
    </xf>
    <xf numFmtId="0" fontId="10" fillId="0" borderId="12" xfId="5" applyFont="1" applyFill="1" applyBorder="1" applyAlignment="1">
      <alignment horizontal="center"/>
    </xf>
    <xf numFmtId="14" fontId="10" fillId="0" borderId="12" xfId="5" applyNumberFormat="1" applyFont="1" applyFill="1" applyBorder="1" applyAlignment="1">
      <alignment horizontal="center" vertical="center"/>
    </xf>
    <xf numFmtId="0" fontId="10" fillId="0" borderId="12" xfId="5" applyFont="1" applyFill="1" applyBorder="1" applyAlignment="1">
      <alignment horizontal="center" vertical="center"/>
    </xf>
    <xf numFmtId="0" fontId="55" fillId="2" borderId="12" xfId="0" applyFont="1" applyFill="1" applyBorder="1" applyAlignment="1">
      <alignment horizontal="left" vertical="center"/>
    </xf>
    <xf numFmtId="49" fontId="56" fillId="2" borderId="12" xfId="0" applyNumberFormat="1" applyFont="1" applyFill="1" applyBorder="1" applyAlignment="1">
      <alignment vertical="center"/>
    </xf>
    <xf numFmtId="41" fontId="57" fillId="4" borderId="12" xfId="1" applyFont="1" applyFill="1" applyBorder="1" applyAlignment="1">
      <alignment vertical="center" wrapText="1"/>
    </xf>
    <xf numFmtId="49" fontId="56" fillId="4" borderId="12" xfId="0" applyNumberFormat="1" applyFont="1" applyFill="1" applyBorder="1" applyAlignment="1">
      <alignment vertical="center"/>
    </xf>
    <xf numFmtId="0" fontId="58" fillId="5" borderId="12" xfId="0" applyFont="1" applyFill="1" applyBorder="1" applyAlignment="1">
      <alignment horizontal="center" vertical="center"/>
    </xf>
    <xf numFmtId="0" fontId="55" fillId="0" borderId="12" xfId="0" applyFont="1" applyFill="1" applyBorder="1" applyAlignment="1">
      <alignment horizontal="center" vertical="center"/>
    </xf>
    <xf numFmtId="0" fontId="59" fillId="0" borderId="12" xfId="0" applyFont="1" applyFill="1" applyBorder="1" applyAlignment="1">
      <alignment horizontal="center" vertical="center"/>
    </xf>
    <xf numFmtId="49" fontId="56" fillId="0" borderId="12" xfId="0" applyNumberFormat="1" applyFont="1" applyFill="1" applyBorder="1" applyAlignment="1">
      <alignment horizontal="center" vertical="center" wrapText="1"/>
    </xf>
    <xf numFmtId="41" fontId="56" fillId="0" borderId="12" xfId="1" applyFont="1" applyFill="1" applyBorder="1" applyAlignment="1">
      <alignment horizontal="right" vertical="center" wrapText="1"/>
    </xf>
    <xf numFmtId="0" fontId="60" fillId="0" borderId="0" xfId="0" applyFont="1">
      <alignment vertical="center"/>
    </xf>
    <xf numFmtId="49" fontId="56" fillId="2" borderId="12" xfId="0" applyNumberFormat="1" applyFont="1" applyFill="1" applyBorder="1" applyAlignment="1">
      <alignment horizontal="left" vertical="center"/>
    </xf>
    <xf numFmtId="49" fontId="56" fillId="0" borderId="12" xfId="0" applyNumberFormat="1" applyFont="1" applyFill="1" applyBorder="1" applyAlignment="1">
      <alignment horizontal="center" vertical="center"/>
    </xf>
    <xf numFmtId="0" fontId="55" fillId="2" borderId="12" xfId="0" applyFont="1" applyFill="1" applyBorder="1" applyAlignment="1">
      <alignment vertical="center"/>
    </xf>
    <xf numFmtId="41" fontId="56" fillId="0" borderId="12" xfId="1" applyFont="1" applyFill="1" applyBorder="1" applyAlignment="1">
      <alignment vertical="center" wrapText="1"/>
    </xf>
    <xf numFmtId="49" fontId="56" fillId="0" borderId="12" xfId="0" applyNumberFormat="1" applyFont="1" applyFill="1" applyBorder="1" applyAlignment="1">
      <alignment vertical="center" wrapText="1"/>
    </xf>
    <xf numFmtId="14" fontId="60" fillId="0" borderId="0" xfId="0" applyNumberFormat="1" applyFont="1">
      <alignment vertical="center"/>
    </xf>
    <xf numFmtId="0" fontId="61" fillId="0" borderId="11" xfId="2" applyFont="1" applyFill="1" applyBorder="1" applyAlignment="1">
      <alignment horizontal="center"/>
    </xf>
    <xf numFmtId="0" fontId="61" fillId="0" borderId="12" xfId="2" applyFont="1" applyFill="1" applyBorder="1" applyAlignment="1">
      <alignment horizontal="center"/>
    </xf>
    <xf numFmtId="0" fontId="62" fillId="0" borderId="12" xfId="0" applyFont="1" applyFill="1" applyBorder="1" applyAlignment="1">
      <alignment horizontal="center" vertical="center"/>
    </xf>
    <xf numFmtId="14" fontId="61" fillId="0" borderId="12" xfId="2" applyNumberFormat="1" applyFont="1" applyFill="1" applyBorder="1" applyAlignment="1">
      <alignment horizontal="left" vertical="center"/>
    </xf>
    <xf numFmtId="0" fontId="62" fillId="0" borderId="12" xfId="0" applyNumberFormat="1" applyFont="1" applyFill="1" applyBorder="1" applyAlignment="1">
      <alignment horizontal="center" vertical="center"/>
    </xf>
    <xf numFmtId="176" fontId="62" fillId="0" borderId="12" xfId="1" applyNumberFormat="1" applyFont="1" applyFill="1" applyBorder="1" applyAlignment="1">
      <alignment horizontal="center" vertical="center"/>
    </xf>
    <xf numFmtId="41" fontId="62" fillId="0" borderId="12" xfId="1" applyFont="1" applyFill="1" applyBorder="1" applyAlignment="1">
      <alignment horizontal="center" vertical="center"/>
    </xf>
    <xf numFmtId="14" fontId="62" fillId="0" borderId="13" xfId="1" applyNumberFormat="1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44" fillId="0" borderId="5" xfId="0" applyFont="1" applyFill="1" applyBorder="1" applyAlignment="1">
      <alignment vertical="center"/>
    </xf>
    <xf numFmtId="0" fontId="46" fillId="0" borderId="12" xfId="2" applyFont="1" applyFill="1" applyBorder="1" applyAlignment="1">
      <alignment horizontal="center"/>
    </xf>
    <xf numFmtId="0" fontId="1" fillId="0" borderId="11" xfId="6" applyFont="1" applyFill="1" applyBorder="1" applyAlignment="1">
      <alignment horizontal="center"/>
    </xf>
    <xf numFmtId="0" fontId="3" fillId="0" borderId="12" xfId="6" applyFont="1" applyFill="1" applyBorder="1" applyAlignment="1">
      <alignment horizontal="center"/>
    </xf>
    <xf numFmtId="0" fontId="3" fillId="0" borderId="12" xfId="6" applyFont="1" applyFill="1" applyBorder="1" applyAlignment="1">
      <alignment horizontal="center" vertical="center"/>
    </xf>
    <xf numFmtId="14" fontId="3" fillId="0" borderId="12" xfId="6" applyNumberFormat="1" applyFont="1" applyFill="1" applyBorder="1" applyAlignment="1">
      <alignment horizontal="left" vertical="center"/>
    </xf>
    <xf numFmtId="0" fontId="3" fillId="0" borderId="12" xfId="6" applyNumberFormat="1" applyFont="1" applyFill="1" applyBorder="1" applyAlignment="1">
      <alignment horizontal="center" vertical="center"/>
    </xf>
    <xf numFmtId="176" fontId="3" fillId="0" borderId="12" xfId="6" applyNumberFormat="1" applyFont="1" applyFill="1" applyBorder="1" applyAlignment="1">
      <alignment horizontal="center" vertical="center"/>
    </xf>
    <xf numFmtId="41" fontId="3" fillId="0" borderId="12" xfId="6" applyNumberFormat="1" applyFont="1" applyFill="1" applyBorder="1" applyAlignment="1">
      <alignment horizontal="center" vertical="center"/>
    </xf>
    <xf numFmtId="41" fontId="3" fillId="0" borderId="13" xfId="6" applyNumberFormat="1" applyFont="1" applyFill="1" applyBorder="1" applyAlignment="1">
      <alignment horizontal="center" vertical="center"/>
    </xf>
    <xf numFmtId="0" fontId="3" fillId="0" borderId="0" xfId="6" applyFont="1" applyFill="1">
      <alignment vertical="center"/>
    </xf>
    <xf numFmtId="0" fontId="60" fillId="0" borderId="0" xfId="0" applyFont="1" applyFill="1">
      <alignment vertical="center"/>
    </xf>
    <xf numFmtId="176" fontId="0" fillId="0" borderId="12" xfId="1" applyNumberFormat="1" applyFont="1" applyFill="1" applyBorder="1">
      <alignment vertical="center"/>
    </xf>
    <xf numFmtId="41" fontId="0" fillId="0" borderId="12" xfId="1" applyFont="1" applyFill="1" applyBorder="1">
      <alignment vertical="center"/>
    </xf>
    <xf numFmtId="0" fontId="0" fillId="0" borderId="12" xfId="0" applyFill="1" applyBorder="1">
      <alignment vertical="center"/>
    </xf>
    <xf numFmtId="0" fontId="10" fillId="0" borderId="5" xfId="6" applyFont="1" applyFill="1" applyBorder="1" applyAlignment="1">
      <alignment horizontal="center"/>
    </xf>
    <xf numFmtId="0" fontId="43" fillId="0" borderId="5" xfId="2" applyFont="1" applyFill="1" applyBorder="1" applyAlignment="1">
      <alignment horizontal="center"/>
    </xf>
    <xf numFmtId="0" fontId="44" fillId="0" borderId="5" xfId="0" applyFont="1" applyFill="1" applyBorder="1" applyAlignment="1">
      <alignment horizontal="center" vertical="center"/>
    </xf>
    <xf numFmtId="41" fontId="44" fillId="0" borderId="12" xfId="1" applyFont="1" applyFill="1" applyBorder="1" applyAlignment="1">
      <alignment horizontal="center" vertical="center"/>
    </xf>
    <xf numFmtId="0" fontId="52" fillId="0" borderId="12" xfId="2" applyFont="1" applyFill="1" applyBorder="1" applyAlignment="1">
      <alignment horizontal="center"/>
    </xf>
    <xf numFmtId="0" fontId="52" fillId="0" borderId="12" xfId="0" applyFont="1" applyFill="1" applyBorder="1" applyAlignment="1">
      <alignment horizontal="center" vertical="center"/>
    </xf>
    <xf numFmtId="2" fontId="52" fillId="0" borderId="12" xfId="0" applyNumberFormat="1" applyFont="1" applyFill="1" applyBorder="1" applyAlignment="1">
      <alignment horizontal="center" vertical="center"/>
    </xf>
    <xf numFmtId="176" fontId="52" fillId="0" borderId="12" xfId="1" applyNumberFormat="1" applyFont="1" applyFill="1" applyBorder="1" applyAlignment="1">
      <alignment horizontal="center" vertical="center"/>
    </xf>
    <xf numFmtId="41" fontId="52" fillId="0" borderId="12" xfId="1" applyFont="1" applyFill="1" applyBorder="1" applyAlignment="1">
      <alignment horizontal="center" vertical="center"/>
    </xf>
    <xf numFmtId="0" fontId="44" fillId="0" borderId="12" xfId="0" applyFont="1" applyFill="1" applyBorder="1" applyAlignment="1">
      <alignment horizontal="center" vertical="center"/>
    </xf>
    <xf numFmtId="0" fontId="43" fillId="0" borderId="12" xfId="2" applyFont="1" applyFill="1" applyBorder="1" applyAlignment="1">
      <alignment horizontal="center"/>
    </xf>
    <xf numFmtId="2" fontId="44" fillId="0" borderId="12" xfId="0" applyNumberFormat="1" applyFont="1" applyFill="1" applyBorder="1" applyAlignment="1">
      <alignment horizontal="center" vertical="center"/>
    </xf>
    <xf numFmtId="0" fontId="43" fillId="0" borderId="12" xfId="0" applyFont="1" applyFill="1" applyBorder="1" applyAlignment="1">
      <alignment horizontal="center" vertical="center"/>
    </xf>
    <xf numFmtId="0" fontId="43" fillId="0" borderId="12" xfId="0" applyFont="1" applyFill="1" applyBorder="1" applyAlignment="1">
      <alignment horizontal="left" vertical="center"/>
    </xf>
    <xf numFmtId="2" fontId="43" fillId="0" borderId="12" xfId="0" applyNumberFormat="1" applyFont="1" applyFill="1" applyBorder="1" applyAlignment="1">
      <alignment horizontal="center" vertical="center"/>
    </xf>
    <xf numFmtId="176" fontId="43" fillId="0" borderId="12" xfId="1" applyNumberFormat="1" applyFont="1" applyFill="1" applyBorder="1" applyAlignment="1">
      <alignment horizontal="center" vertical="center"/>
    </xf>
    <xf numFmtId="41" fontId="43" fillId="0" borderId="12" xfId="1" applyFont="1" applyFill="1" applyBorder="1" applyAlignment="1">
      <alignment horizontal="center" vertical="center"/>
    </xf>
    <xf numFmtId="177" fontId="10" fillId="6" borderId="12" xfId="2" applyNumberFormat="1" applyFont="1" applyFill="1" applyBorder="1" applyAlignment="1">
      <alignment horizontal="center" vertical="center"/>
    </xf>
    <xf numFmtId="0" fontId="60" fillId="0" borderId="12" xfId="0" applyFont="1" applyFill="1" applyBorder="1" applyAlignment="1">
      <alignment vertical="center"/>
    </xf>
    <xf numFmtId="0" fontId="38" fillId="0" borderId="12" xfId="0" applyFont="1" applyFill="1" applyBorder="1" applyAlignment="1">
      <alignment vertical="center"/>
    </xf>
    <xf numFmtId="0" fontId="38" fillId="0" borderId="12" xfId="0" applyFont="1" applyFill="1" applyBorder="1" applyAlignment="1">
      <alignment horizontal="center" vertical="center"/>
    </xf>
    <xf numFmtId="0" fontId="38" fillId="0" borderId="0" xfId="0" applyFont="1">
      <alignment vertical="center"/>
    </xf>
    <xf numFmtId="0" fontId="0" fillId="4" borderId="0" xfId="0" applyFill="1">
      <alignment vertical="center"/>
    </xf>
    <xf numFmtId="49" fontId="31" fillId="4" borderId="12" xfId="0" applyNumberFormat="1" applyFont="1" applyFill="1" applyBorder="1" applyAlignment="1">
      <alignment horizontal="left" vertical="center"/>
    </xf>
    <xf numFmtId="0" fontId="33" fillId="4" borderId="12" xfId="0" applyFont="1" applyFill="1" applyBorder="1" applyAlignment="1">
      <alignment horizontal="center" vertical="center"/>
    </xf>
    <xf numFmtId="0" fontId="30" fillId="4" borderId="12" xfId="0" applyFont="1" applyFill="1" applyBorder="1" applyAlignment="1">
      <alignment horizontal="center" vertical="center"/>
    </xf>
    <xf numFmtId="49" fontId="31" fillId="4" borderId="12" xfId="0" applyNumberFormat="1" applyFont="1" applyFill="1" applyBorder="1" applyAlignment="1">
      <alignment horizontal="center" vertical="center"/>
    </xf>
    <xf numFmtId="0" fontId="34" fillId="4" borderId="12" xfId="0" applyFont="1" applyFill="1" applyBorder="1" applyAlignment="1">
      <alignment horizontal="center" vertical="center"/>
    </xf>
    <xf numFmtId="49" fontId="31" fillId="4" borderId="12" xfId="0" applyNumberFormat="1" applyFont="1" applyFill="1" applyBorder="1" applyAlignment="1">
      <alignment horizontal="center" vertical="center" wrapText="1"/>
    </xf>
    <xf numFmtId="41" fontId="31" fillId="4" borderId="12" xfId="1" applyFont="1" applyFill="1" applyBorder="1" applyAlignment="1">
      <alignment horizontal="right" vertical="center" wrapText="1"/>
    </xf>
    <xf numFmtId="0" fontId="10" fillId="5" borderId="31" xfId="2" applyFont="1" applyFill="1" applyBorder="1" applyAlignment="1">
      <alignment horizontal="center"/>
    </xf>
    <xf numFmtId="0" fontId="0" fillId="5" borderId="12" xfId="0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2" fontId="3" fillId="0" borderId="0" xfId="0" quotePrefix="1" applyNumberFormat="1" applyFont="1" applyAlignment="1">
      <alignment horizontal="center" vertical="center"/>
    </xf>
    <xf numFmtId="14" fontId="3" fillId="0" borderId="0" xfId="0" quotePrefix="1" applyNumberFormat="1" applyFont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0" borderId="0" xfId="1" applyFont="1">
      <alignment vertical="center"/>
    </xf>
    <xf numFmtId="0" fontId="63" fillId="0" borderId="12" xfId="2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52" fillId="0" borderId="34" xfId="0" applyFont="1" applyFill="1" applyBorder="1" applyAlignment="1">
      <alignment horizontal="left" vertical="center"/>
    </xf>
    <xf numFmtId="0" fontId="44" fillId="0" borderId="12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center"/>
    </xf>
    <xf numFmtId="2" fontId="10" fillId="0" borderId="5" xfId="0" applyNumberFormat="1" applyFont="1" applyFill="1" applyBorder="1" applyAlignment="1">
      <alignment horizontal="center" vertical="center"/>
    </xf>
    <xf numFmtId="41" fontId="10" fillId="0" borderId="5" xfId="1" applyFont="1" applyFill="1" applyBorder="1" applyAlignment="1">
      <alignment horizontal="center" vertical="center"/>
    </xf>
    <xf numFmtId="0" fontId="51" fillId="0" borderId="12" xfId="0" applyFont="1" applyFill="1" applyBorder="1" applyAlignment="1">
      <alignment horizontal="center" vertical="center"/>
    </xf>
    <xf numFmtId="41" fontId="37" fillId="0" borderId="5" xfId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2" fontId="16" fillId="0" borderId="5" xfId="0" applyNumberFormat="1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3" fillId="0" borderId="12" xfId="0" applyFont="1" applyFill="1" applyBorder="1" applyAlignment="1">
      <alignment vertical="center"/>
    </xf>
    <xf numFmtId="14" fontId="16" fillId="0" borderId="5" xfId="2" applyNumberFormat="1" applyFont="1" applyFill="1" applyBorder="1" applyAlignment="1">
      <alignment horizontal="left" vertical="center"/>
    </xf>
    <xf numFmtId="0" fontId="20" fillId="0" borderId="0" xfId="0" applyFont="1" applyFill="1">
      <alignment vertical="center"/>
    </xf>
    <xf numFmtId="0" fontId="18" fillId="4" borderId="0" xfId="0" applyFont="1" applyFill="1" applyBorder="1" applyAlignment="1">
      <alignment horizontal="center" vertical="center"/>
    </xf>
    <xf numFmtId="0" fontId="10" fillId="0" borderId="0" xfId="2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2" applyFont="1" applyFill="1" applyBorder="1" applyAlignment="1">
      <alignment horizontal="center" vertical="center"/>
    </xf>
    <xf numFmtId="14" fontId="10" fillId="0" borderId="0" xfId="2" applyNumberFormat="1" applyFont="1" applyFill="1" applyBorder="1" applyAlignment="1">
      <alignment horizontal="center" vertical="center"/>
    </xf>
    <xf numFmtId="4" fontId="10" fillId="0" borderId="0" xfId="2" applyNumberFormat="1" applyFont="1" applyFill="1" applyBorder="1" applyAlignment="1">
      <alignment horizontal="center" vertical="center"/>
    </xf>
    <xf numFmtId="177" fontId="10" fillId="0" borderId="0" xfId="2" applyNumberFormat="1" applyFont="1" applyFill="1" applyBorder="1" applyAlignment="1">
      <alignment horizontal="center" vertical="center"/>
    </xf>
    <xf numFmtId="177" fontId="10" fillId="6" borderId="0" xfId="2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53" fillId="0" borderId="37" xfId="0" applyFont="1" applyBorder="1" applyAlignment="1">
      <alignment horizontal="center" vertical="center"/>
    </xf>
    <xf numFmtId="179" fontId="3" fillId="0" borderId="12" xfId="0" applyNumberFormat="1" applyFont="1" applyFill="1" applyBorder="1" applyAlignment="1">
      <alignment horizontal="center" vertical="center"/>
    </xf>
    <xf numFmtId="176" fontId="3" fillId="0" borderId="12" xfId="1" applyNumberFormat="1" applyFont="1" applyFill="1" applyBorder="1" applyAlignment="1">
      <alignment horizontal="center" vertical="center"/>
    </xf>
    <xf numFmtId="41" fontId="3" fillId="0" borderId="12" xfId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179" fontId="3" fillId="3" borderId="12" xfId="0" applyNumberFormat="1" applyFont="1" applyFill="1" applyBorder="1" applyAlignment="1">
      <alignment horizontal="center" vertical="center"/>
    </xf>
    <xf numFmtId="0" fontId="53" fillId="0" borderId="38" xfId="0" applyFont="1" applyBorder="1" applyAlignment="1">
      <alignment horizontal="center" vertical="center"/>
    </xf>
    <xf numFmtId="0" fontId="53" fillId="0" borderId="38" xfId="0" applyFont="1" applyBorder="1" applyAlignment="1">
      <alignment vertical="center"/>
    </xf>
    <xf numFmtId="176" fontId="10" fillId="0" borderId="5" xfId="1" applyNumberFormat="1" applyFont="1" applyFill="1" applyBorder="1" applyAlignment="1">
      <alignment horizontal="center" vertical="center"/>
    </xf>
    <xf numFmtId="0" fontId="16" fillId="0" borderId="12" xfId="6" applyFont="1" applyFill="1" applyBorder="1" applyAlignment="1">
      <alignment horizontal="center"/>
    </xf>
    <xf numFmtId="0" fontId="16" fillId="0" borderId="12" xfId="6" applyFont="1" applyFill="1" applyBorder="1" applyAlignment="1">
      <alignment horizontal="center" vertical="center"/>
    </xf>
    <xf numFmtId="0" fontId="66" fillId="0" borderId="12" xfId="8" applyFont="1" applyFill="1" applyBorder="1" applyAlignment="1">
      <alignment horizontal="center" vertical="center"/>
    </xf>
    <xf numFmtId="0" fontId="16" fillId="0" borderId="12" xfId="6" applyFont="1" applyFill="1" applyBorder="1" applyAlignment="1">
      <alignment horizontal="left" vertical="center"/>
    </xf>
    <xf numFmtId="0" fontId="16" fillId="0" borderId="12" xfId="6" applyNumberFormat="1" applyFont="1" applyFill="1" applyBorder="1" applyAlignment="1">
      <alignment horizontal="center" vertical="center"/>
    </xf>
    <xf numFmtId="176" fontId="16" fillId="0" borderId="12" xfId="6" applyNumberFormat="1" applyFont="1" applyFill="1" applyBorder="1" applyAlignment="1">
      <alignment horizontal="center" vertical="center"/>
    </xf>
    <xf numFmtId="41" fontId="16" fillId="0" borderId="12" xfId="6" applyNumberFormat="1" applyFont="1" applyFill="1" applyBorder="1" applyAlignment="1">
      <alignment horizontal="center" vertical="center"/>
    </xf>
    <xf numFmtId="0" fontId="16" fillId="0" borderId="12" xfId="2" applyFont="1" applyFill="1" applyBorder="1" applyAlignment="1">
      <alignment horizontal="left" vertical="center"/>
    </xf>
    <xf numFmtId="2" fontId="16" fillId="0" borderId="12" xfId="6" applyNumberFormat="1" applyFont="1" applyFill="1" applyBorder="1" applyAlignment="1">
      <alignment horizontal="center" vertical="center"/>
    </xf>
    <xf numFmtId="0" fontId="67" fillId="0" borderId="38" xfId="0" applyFont="1" applyBorder="1" applyAlignment="1">
      <alignment horizontal="center" vertical="center"/>
    </xf>
    <xf numFmtId="0" fontId="67" fillId="0" borderId="37" xfId="0" applyFont="1" applyBorder="1" applyAlignment="1">
      <alignment horizontal="center" vertical="center"/>
    </xf>
    <xf numFmtId="0" fontId="67" fillId="0" borderId="37" xfId="0" applyFont="1" applyBorder="1" applyAlignment="1">
      <alignment horizontal="right" vertical="center"/>
    </xf>
    <xf numFmtId="0" fontId="16" fillId="0" borderId="5" xfId="0" applyFont="1" applyFill="1" applyBorder="1" applyAlignment="1">
      <alignment vertical="center"/>
    </xf>
    <xf numFmtId="3" fontId="16" fillId="0" borderId="5" xfId="0" applyNumberFormat="1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vertical="center"/>
    </xf>
    <xf numFmtId="3" fontId="16" fillId="0" borderId="12" xfId="0" applyNumberFormat="1" applyFont="1" applyFill="1" applyBorder="1" applyAlignment="1">
      <alignment horizontal="center" vertical="center"/>
    </xf>
    <xf numFmtId="3" fontId="16" fillId="0" borderId="12" xfId="0" applyNumberFormat="1" applyFont="1" applyFill="1" applyBorder="1" applyAlignment="1">
      <alignment horizontal="right" vertical="center"/>
    </xf>
    <xf numFmtId="41" fontId="16" fillId="0" borderId="12" xfId="1" applyFont="1" applyFill="1" applyBorder="1" applyAlignment="1">
      <alignment horizontal="right" vertical="center"/>
    </xf>
    <xf numFmtId="0" fontId="16" fillId="0" borderId="12" xfId="0" applyFont="1" applyFill="1" applyBorder="1">
      <alignment vertical="center"/>
    </xf>
    <xf numFmtId="0" fontId="21" fillId="0" borderId="12" xfId="0" applyFont="1" applyFill="1" applyBorder="1" applyAlignment="1">
      <alignment vertical="center"/>
    </xf>
    <xf numFmtId="2" fontId="21" fillId="0" borderId="12" xfId="0" applyNumberFormat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left" vertical="center"/>
    </xf>
    <xf numFmtId="0" fontId="21" fillId="0" borderId="12" xfId="0" applyNumberFormat="1" applyFont="1" applyFill="1" applyBorder="1" applyAlignment="1">
      <alignment horizontal="left" vertical="center"/>
    </xf>
    <xf numFmtId="0" fontId="21" fillId="0" borderId="12" xfId="0" applyFont="1" applyFill="1" applyBorder="1">
      <alignment vertical="center"/>
    </xf>
    <xf numFmtId="24" fontId="21" fillId="0" borderId="12" xfId="1" applyNumberFormat="1" applyFont="1" applyFill="1" applyBorder="1" applyAlignment="1">
      <alignment horizontal="center" vertical="center"/>
    </xf>
    <xf numFmtId="0" fontId="67" fillId="0" borderId="12" xfId="0" applyFont="1" applyFill="1" applyBorder="1">
      <alignment vertical="center"/>
    </xf>
    <xf numFmtId="0" fontId="16" fillId="0" borderId="37" xfId="2" applyFont="1" applyFill="1" applyBorder="1" applyAlignment="1">
      <alignment horizontal="center"/>
    </xf>
    <xf numFmtId="0" fontId="53" fillId="0" borderId="12" xfId="0" applyFont="1" applyFill="1" applyBorder="1" applyAlignment="1">
      <alignment horizontal="center" vertical="center"/>
    </xf>
    <xf numFmtId="0" fontId="44" fillId="0" borderId="0" xfId="5" applyFont="1" applyFill="1">
      <alignment vertical="center"/>
    </xf>
    <xf numFmtId="0" fontId="49" fillId="0" borderId="5" xfId="2" applyFont="1" applyFill="1" applyBorder="1" applyAlignment="1">
      <alignment horizontal="center"/>
    </xf>
    <xf numFmtId="0" fontId="49" fillId="0" borderId="5" xfId="5" applyFont="1" applyFill="1" applyBorder="1" applyAlignment="1">
      <alignment horizontal="center"/>
    </xf>
    <xf numFmtId="0" fontId="49" fillId="0" borderId="21" xfId="2" applyNumberFormat="1" applyFont="1" applyFill="1" applyBorder="1" applyAlignment="1">
      <alignment horizontal="left" vertical="center"/>
    </xf>
    <xf numFmtId="0" fontId="49" fillId="0" borderId="12" xfId="2" applyFont="1" applyFill="1" applyBorder="1" applyAlignment="1">
      <alignment horizontal="center"/>
    </xf>
    <xf numFmtId="0" fontId="49" fillId="0" borderId="14" xfId="2" applyNumberFormat="1" applyFont="1" applyFill="1" applyBorder="1" applyAlignment="1">
      <alignment horizontal="left" vertical="center"/>
    </xf>
    <xf numFmtId="0" fontId="49" fillId="0" borderId="38" xfId="5" applyFont="1" applyFill="1" applyBorder="1" applyAlignment="1">
      <alignment horizontal="center"/>
    </xf>
    <xf numFmtId="0" fontId="49" fillId="0" borderId="14" xfId="5" applyFont="1" applyFill="1" applyBorder="1" applyAlignment="1">
      <alignment horizontal="center"/>
    </xf>
    <xf numFmtId="0" fontId="49" fillId="0" borderId="17" xfId="2" applyFont="1" applyFill="1" applyBorder="1" applyAlignment="1">
      <alignment horizontal="center"/>
    </xf>
    <xf numFmtId="0" fontId="49" fillId="0" borderId="15" xfId="2" applyNumberFormat="1" applyFont="1" applyFill="1" applyBorder="1" applyAlignment="1">
      <alignment horizontal="left" vertical="center"/>
    </xf>
    <xf numFmtId="0" fontId="49" fillId="0" borderId="11" xfId="5" applyFont="1" applyFill="1" applyBorder="1" applyAlignment="1">
      <alignment horizontal="center"/>
    </xf>
    <xf numFmtId="0" fontId="49" fillId="0" borderId="12" xfId="5" applyFont="1" applyFill="1" applyBorder="1" applyAlignment="1">
      <alignment horizontal="center"/>
    </xf>
    <xf numFmtId="0" fontId="49" fillId="0" borderId="12" xfId="5" applyNumberFormat="1" applyFont="1" applyFill="1" applyBorder="1" applyAlignment="1">
      <alignment horizontal="center" vertical="center"/>
    </xf>
    <xf numFmtId="0" fontId="49" fillId="0" borderId="21" xfId="5" applyNumberFormat="1" applyFont="1" applyFill="1" applyBorder="1" applyAlignment="1">
      <alignment horizontal="center" vertical="center"/>
    </xf>
    <xf numFmtId="0" fontId="49" fillId="0" borderId="14" xfId="5" applyNumberFormat="1" applyFont="1" applyFill="1" applyBorder="1" applyAlignment="1">
      <alignment horizontal="left" vertical="center"/>
    </xf>
    <xf numFmtId="176" fontId="49" fillId="0" borderId="12" xfId="5" applyNumberFormat="1" applyFont="1" applyFill="1" applyBorder="1">
      <alignment vertical="center"/>
    </xf>
    <xf numFmtId="0" fontId="49" fillId="0" borderId="12" xfId="5" applyFont="1" applyFill="1" applyBorder="1" applyAlignment="1">
      <alignment horizontal="center" vertical="center"/>
    </xf>
    <xf numFmtId="0" fontId="49" fillId="0" borderId="14" xfId="5" applyFont="1" applyFill="1" applyBorder="1" applyAlignment="1">
      <alignment horizontal="center" vertical="center"/>
    </xf>
    <xf numFmtId="41" fontId="49" fillId="0" borderId="14" xfId="5" applyNumberFormat="1" applyFont="1" applyFill="1" applyBorder="1" applyAlignment="1">
      <alignment horizontal="center" vertical="center"/>
    </xf>
    <xf numFmtId="0" fontId="49" fillId="0" borderId="38" xfId="2" applyNumberFormat="1" applyFont="1" applyFill="1" applyBorder="1" applyAlignment="1">
      <alignment horizontal="left" vertical="center"/>
    </xf>
    <xf numFmtId="0" fontId="68" fillId="0" borderId="5" xfId="0" applyFont="1" applyBorder="1" applyAlignment="1">
      <alignment horizontal="center" vertical="center"/>
    </xf>
    <xf numFmtId="14" fontId="49" fillId="0" borderId="12" xfId="2" applyNumberFormat="1" applyFont="1" applyFill="1" applyBorder="1" applyAlignment="1">
      <alignment horizontal="center" vertical="center"/>
    </xf>
    <xf numFmtId="0" fontId="49" fillId="0" borderId="14" xfId="0" applyFont="1" applyFill="1" applyBorder="1" applyAlignment="1">
      <alignment horizontal="center" vertical="center"/>
    </xf>
    <xf numFmtId="0" fontId="49" fillId="0" borderId="12" xfId="0" applyNumberFormat="1" applyFont="1" applyFill="1" applyBorder="1" applyAlignment="1">
      <alignment horizontal="center" vertical="center"/>
    </xf>
    <xf numFmtId="176" fontId="49" fillId="0" borderId="12" xfId="1" applyNumberFormat="1" applyFont="1" applyFill="1" applyBorder="1">
      <alignment vertical="center"/>
    </xf>
    <xf numFmtId="41" fontId="49" fillId="0" borderId="12" xfId="1" applyFont="1" applyFill="1" applyBorder="1" applyAlignment="1">
      <alignment horizontal="center" vertical="center"/>
    </xf>
    <xf numFmtId="41" fontId="49" fillId="0" borderId="13" xfId="1" applyFont="1" applyFill="1" applyBorder="1" applyAlignment="1">
      <alignment horizontal="center" vertical="center"/>
    </xf>
    <xf numFmtId="0" fontId="49" fillId="0" borderId="14" xfId="5" applyNumberFormat="1" applyFont="1" applyFill="1" applyBorder="1" applyAlignment="1">
      <alignment horizontal="center" vertical="center"/>
    </xf>
    <xf numFmtId="41" fontId="49" fillId="0" borderId="12" xfId="5" applyNumberFormat="1" applyFont="1" applyFill="1" applyBorder="1" applyAlignment="1">
      <alignment horizontal="center" vertical="center"/>
    </xf>
    <xf numFmtId="41" fontId="49" fillId="0" borderId="13" xfId="5" applyNumberFormat="1" applyFont="1" applyFill="1" applyBorder="1" applyAlignment="1">
      <alignment horizontal="center" vertical="center"/>
    </xf>
    <xf numFmtId="0" fontId="69" fillId="0" borderId="12" xfId="5" applyNumberFormat="1" applyFont="1" applyFill="1" applyBorder="1" applyAlignment="1">
      <alignment horizontal="center" vertical="center"/>
    </xf>
    <xf numFmtId="4" fontId="49" fillId="0" borderId="14" xfId="5" applyNumberFormat="1" applyFont="1" applyFill="1" applyBorder="1" applyAlignment="1">
      <alignment vertical="center"/>
    </xf>
    <xf numFmtId="14" fontId="49" fillId="0" borderId="12" xfId="5" applyNumberFormat="1" applyFont="1" applyFill="1" applyBorder="1" applyAlignment="1">
      <alignment horizontal="center" vertical="center"/>
    </xf>
    <xf numFmtId="0" fontId="49" fillId="0" borderId="14" xfId="5" applyFont="1" applyFill="1" applyBorder="1">
      <alignment vertical="center"/>
    </xf>
    <xf numFmtId="4" fontId="49" fillId="0" borderId="14" xfId="2" applyNumberFormat="1" applyFont="1" applyFill="1" applyBorder="1" applyAlignment="1">
      <alignment vertical="center"/>
    </xf>
    <xf numFmtId="0" fontId="9" fillId="0" borderId="14" xfId="0" applyFont="1" applyBorder="1" applyAlignment="1"/>
    <xf numFmtId="0" fontId="49" fillId="0" borderId="12" xfId="2" applyNumberFormat="1" applyFont="1" applyFill="1" applyBorder="1" applyAlignment="1">
      <alignment horizontal="left" vertical="center"/>
    </xf>
    <xf numFmtId="0" fontId="49" fillId="0" borderId="12" xfId="6" applyFont="1" applyFill="1" applyBorder="1" applyAlignment="1">
      <alignment horizontal="center"/>
    </xf>
    <xf numFmtId="0" fontId="49" fillId="0" borderId="14" xfId="6" applyFont="1" applyFill="1" applyBorder="1">
      <alignment vertical="center"/>
    </xf>
    <xf numFmtId="0" fontId="49" fillId="0" borderId="12" xfId="2" applyFont="1" applyFill="1" applyBorder="1" applyAlignment="1">
      <alignment horizontal="center" vertical="center"/>
    </xf>
    <xf numFmtId="0" fontId="49" fillId="0" borderId="12" xfId="2" applyNumberFormat="1" applyFont="1" applyFill="1" applyBorder="1" applyAlignment="1">
      <alignment horizontal="center" vertical="center"/>
    </xf>
    <xf numFmtId="0" fontId="49" fillId="0" borderId="5" xfId="6" applyFont="1" applyFill="1" applyBorder="1" applyAlignment="1">
      <alignment horizontal="center"/>
    </xf>
    <xf numFmtId="0" fontId="49" fillId="0" borderId="12" xfId="6" applyNumberFormat="1" applyFont="1" applyFill="1" applyBorder="1" applyAlignment="1">
      <alignment horizontal="center" vertical="center"/>
    </xf>
    <xf numFmtId="0" fontId="49" fillId="0" borderId="12" xfId="0" applyFont="1" applyFill="1" applyBorder="1" applyAlignment="1">
      <alignment horizontal="center" vertical="center"/>
    </xf>
    <xf numFmtId="176" fontId="49" fillId="0" borderId="12" xfId="1" applyNumberFormat="1" applyFont="1" applyFill="1" applyBorder="1" applyAlignment="1">
      <alignment horizontal="center" vertical="center"/>
    </xf>
    <xf numFmtId="41" fontId="49" fillId="0" borderId="14" xfId="1" applyFont="1" applyFill="1" applyBorder="1" applyAlignment="1">
      <alignment horizontal="center" vertical="center"/>
    </xf>
    <xf numFmtId="0" fontId="49" fillId="0" borderId="12" xfId="6" applyFont="1" applyFill="1" applyBorder="1" applyAlignment="1">
      <alignment horizontal="center" vertical="center"/>
    </xf>
    <xf numFmtId="0" fontId="49" fillId="0" borderId="5" xfId="2" applyNumberFormat="1" applyFont="1" applyFill="1" applyBorder="1" applyAlignment="1">
      <alignment horizontal="left" vertical="center"/>
    </xf>
    <xf numFmtId="0" fontId="49" fillId="0" borderId="5" xfId="2" applyNumberFormat="1" applyFont="1" applyFill="1" applyBorder="1" applyAlignment="1">
      <alignment horizontal="center" vertical="center"/>
    </xf>
    <xf numFmtId="0" fontId="49" fillId="0" borderId="21" xfId="2" applyNumberFormat="1" applyFont="1" applyFill="1" applyBorder="1" applyAlignment="1">
      <alignment horizontal="center" vertical="center"/>
    </xf>
    <xf numFmtId="176" fontId="49" fillId="0" borderId="5" xfId="1" applyNumberFormat="1" applyFont="1" applyFill="1" applyBorder="1">
      <alignment vertical="center"/>
    </xf>
    <xf numFmtId="24" fontId="49" fillId="0" borderId="5" xfId="1" applyNumberFormat="1" applyFont="1" applyFill="1" applyBorder="1" applyAlignment="1">
      <alignment horizontal="center" vertical="center"/>
    </xf>
    <xf numFmtId="41" fontId="49" fillId="0" borderId="7" xfId="1" applyFont="1" applyFill="1" applyBorder="1" applyAlignment="1">
      <alignment horizontal="center" vertical="center"/>
    </xf>
    <xf numFmtId="41" fontId="49" fillId="0" borderId="21" xfId="1" applyFont="1" applyFill="1" applyBorder="1" applyAlignment="1">
      <alignment horizontal="center" vertical="center"/>
    </xf>
    <xf numFmtId="0" fontId="49" fillId="0" borderId="14" xfId="2" applyNumberFormat="1" applyFont="1" applyFill="1" applyBorder="1" applyAlignment="1">
      <alignment horizontal="center" vertical="center"/>
    </xf>
    <xf numFmtId="24" fontId="49" fillId="0" borderId="12" xfId="1" applyNumberFormat="1" applyFont="1" applyFill="1" applyBorder="1" applyAlignment="1">
      <alignment horizontal="center" vertical="center"/>
    </xf>
    <xf numFmtId="0" fontId="49" fillId="0" borderId="17" xfId="2" applyNumberFormat="1" applyFont="1" applyFill="1" applyBorder="1" applyAlignment="1">
      <alignment horizontal="center" vertical="center"/>
    </xf>
    <xf numFmtId="0" fontId="49" fillId="0" borderId="18" xfId="2" applyNumberFormat="1" applyFont="1" applyFill="1" applyBorder="1" applyAlignment="1">
      <alignment horizontal="center" vertical="center"/>
    </xf>
    <xf numFmtId="0" fontId="49" fillId="0" borderId="17" xfId="0" applyNumberFormat="1" applyFont="1" applyFill="1" applyBorder="1" applyAlignment="1">
      <alignment horizontal="center" vertical="center"/>
    </xf>
    <xf numFmtId="176" fontId="49" fillId="0" borderId="17" xfId="1" applyNumberFormat="1" applyFont="1" applyFill="1" applyBorder="1">
      <alignment vertical="center"/>
    </xf>
    <xf numFmtId="24" fontId="49" fillId="0" borderId="17" xfId="1" applyNumberFormat="1" applyFont="1" applyFill="1" applyBorder="1" applyAlignment="1">
      <alignment horizontal="center" vertical="center"/>
    </xf>
    <xf numFmtId="41" fontId="49" fillId="0" borderId="27" xfId="1" applyFont="1" applyFill="1" applyBorder="1" applyAlignment="1">
      <alignment horizontal="center" vertical="center"/>
    </xf>
    <xf numFmtId="41" fontId="49" fillId="0" borderId="15" xfId="1" applyFont="1" applyFill="1" applyBorder="1" applyAlignment="1">
      <alignment horizontal="center" vertical="center"/>
    </xf>
    <xf numFmtId="0" fontId="49" fillId="0" borderId="5" xfId="0" applyNumberFormat="1" applyFont="1" applyFill="1" applyBorder="1" applyAlignment="1">
      <alignment horizontal="center" vertical="center"/>
    </xf>
    <xf numFmtId="41" fontId="49" fillId="0" borderId="5" xfId="1" applyFont="1" applyFill="1" applyBorder="1" applyAlignment="1">
      <alignment horizontal="center" vertical="center"/>
    </xf>
    <xf numFmtId="14" fontId="49" fillId="0" borderId="12" xfId="6" applyNumberFormat="1" applyFont="1" applyFill="1" applyBorder="1" applyAlignment="1">
      <alignment horizontal="center" vertical="center"/>
    </xf>
    <xf numFmtId="176" fontId="49" fillId="0" borderId="12" xfId="6" applyNumberFormat="1" applyFont="1" applyFill="1" applyBorder="1">
      <alignment vertical="center"/>
    </xf>
    <xf numFmtId="41" fontId="49" fillId="0" borderId="12" xfId="6" applyNumberFormat="1" applyFont="1" applyFill="1" applyBorder="1" applyAlignment="1">
      <alignment horizontal="center" vertical="center"/>
    </xf>
    <xf numFmtId="41" fontId="49" fillId="0" borderId="14" xfId="6" applyNumberFormat="1" applyFont="1" applyFill="1" applyBorder="1" applyAlignment="1">
      <alignment horizontal="center" vertical="center"/>
    </xf>
    <xf numFmtId="14" fontId="49" fillId="0" borderId="5" xfId="6" applyNumberFormat="1" applyFont="1" applyFill="1" applyBorder="1" applyAlignment="1">
      <alignment horizontal="center" vertical="center"/>
    </xf>
    <xf numFmtId="0" fontId="49" fillId="0" borderId="5" xfId="6" applyFont="1" applyFill="1" applyBorder="1" applyAlignment="1">
      <alignment horizontal="center" vertical="center"/>
    </xf>
    <xf numFmtId="176" fontId="49" fillId="0" borderId="5" xfId="6" applyNumberFormat="1" applyFont="1" applyFill="1" applyBorder="1">
      <alignment vertical="center"/>
    </xf>
    <xf numFmtId="41" fontId="49" fillId="0" borderId="5" xfId="6" applyNumberFormat="1" applyFont="1" applyFill="1" applyBorder="1" applyAlignment="1">
      <alignment horizontal="center" vertical="center"/>
    </xf>
    <xf numFmtId="176" fontId="49" fillId="0" borderId="12" xfId="6" applyNumberFormat="1" applyFont="1" applyFill="1" applyBorder="1" applyAlignment="1">
      <alignment horizontal="center" vertical="center"/>
    </xf>
    <xf numFmtId="0" fontId="49" fillId="0" borderId="0" xfId="2" applyFont="1" applyFill="1" applyBorder="1" applyAlignment="1">
      <alignment horizontal="center"/>
    </xf>
    <xf numFmtId="0" fontId="9" fillId="0" borderId="0" xfId="0" applyFont="1">
      <alignment vertical="center"/>
    </xf>
    <xf numFmtId="0" fontId="49" fillId="0" borderId="12" xfId="0" applyFont="1" applyFill="1" applyBorder="1">
      <alignment vertical="center"/>
    </xf>
    <xf numFmtId="0" fontId="49" fillId="0" borderId="12" xfId="0" applyFont="1" applyFill="1" applyBorder="1" applyAlignment="1">
      <alignment vertical="center"/>
    </xf>
    <xf numFmtId="0" fontId="49" fillId="0" borderId="12" xfId="6" applyFont="1" applyFill="1" applyBorder="1">
      <alignment vertical="center"/>
    </xf>
    <xf numFmtId="0" fontId="49" fillId="0" borderId="5" xfId="5" applyNumberFormat="1" applyFont="1" applyFill="1" applyBorder="1" applyAlignment="1">
      <alignment horizontal="center" vertical="center"/>
    </xf>
    <xf numFmtId="177" fontId="49" fillId="0" borderId="12" xfId="6" applyNumberFormat="1" applyFont="1" applyFill="1" applyBorder="1" applyAlignment="1">
      <alignment horizontal="center" vertical="center"/>
    </xf>
    <xf numFmtId="0" fontId="49" fillId="0" borderId="15" xfId="2" applyNumberFormat="1" applyFont="1" applyFill="1" applyBorder="1" applyAlignment="1">
      <alignment horizontal="center" vertical="center"/>
    </xf>
    <xf numFmtId="0" fontId="49" fillId="0" borderId="21" xfId="2" applyFont="1" applyFill="1" applyBorder="1" applyAlignment="1">
      <alignment horizontal="center"/>
    </xf>
    <xf numFmtId="0" fontId="49" fillId="0" borderId="14" xfId="0" applyFont="1" applyFill="1" applyBorder="1">
      <alignment vertical="center"/>
    </xf>
    <xf numFmtId="4" fontId="49" fillId="0" borderId="14" xfId="6" applyNumberFormat="1" applyFont="1" applyFill="1" applyBorder="1" applyAlignment="1">
      <alignment vertical="center"/>
    </xf>
    <xf numFmtId="14" fontId="49" fillId="0" borderId="14" xfId="5" applyNumberFormat="1" applyFont="1" applyFill="1" applyBorder="1" applyAlignment="1">
      <alignment horizontal="left" vertical="center"/>
    </xf>
    <xf numFmtId="0" fontId="49" fillId="0" borderId="21" xfId="6" applyFont="1" applyFill="1" applyBorder="1">
      <alignment vertical="center"/>
    </xf>
    <xf numFmtId="14" fontId="49" fillId="0" borderId="14" xfId="6" applyNumberFormat="1" applyFont="1" applyFill="1" applyBorder="1" applyAlignment="1">
      <alignment horizontal="left" vertical="center"/>
    </xf>
    <xf numFmtId="0" fontId="49" fillId="0" borderId="0" xfId="2" applyNumberFormat="1" applyFont="1" applyFill="1" applyBorder="1" applyAlignment="1">
      <alignment horizontal="left" vertical="center"/>
    </xf>
    <xf numFmtId="4" fontId="49" fillId="0" borderId="38" xfId="5" applyNumberFormat="1" applyFont="1" applyFill="1" applyBorder="1" applyAlignment="1">
      <alignment vertical="center"/>
    </xf>
    <xf numFmtId="4" fontId="49" fillId="0" borderId="38" xfId="2" applyNumberFormat="1" applyFont="1" applyFill="1" applyBorder="1" applyAlignment="1">
      <alignment vertical="center"/>
    </xf>
    <xf numFmtId="176" fontId="49" fillId="0" borderId="5" xfId="5" applyNumberFormat="1" applyFont="1" applyFill="1" applyBorder="1">
      <alignment vertical="center"/>
    </xf>
    <xf numFmtId="41" fontId="49" fillId="0" borderId="17" xfId="1" applyFont="1" applyFill="1" applyBorder="1" applyAlignment="1">
      <alignment horizontal="center" vertical="center"/>
    </xf>
    <xf numFmtId="41" fontId="49" fillId="0" borderId="5" xfId="5" applyNumberFormat="1" applyFont="1" applyFill="1" applyBorder="1" applyAlignment="1">
      <alignment horizontal="center" vertical="center"/>
    </xf>
    <xf numFmtId="41" fontId="49" fillId="0" borderId="7" xfId="5" applyNumberFormat="1" applyFont="1" applyFill="1" applyBorder="1" applyAlignment="1">
      <alignment horizontal="center" vertical="center"/>
    </xf>
    <xf numFmtId="0" fontId="49" fillId="0" borderId="13" xfId="5" applyFont="1" applyFill="1" applyBorder="1" applyAlignment="1">
      <alignment horizontal="center" vertical="center"/>
    </xf>
    <xf numFmtId="0" fontId="49" fillId="0" borderId="15" xfId="5" applyFont="1" applyFill="1" applyBorder="1" applyAlignment="1">
      <alignment horizontal="center"/>
    </xf>
    <xf numFmtId="41" fontId="49" fillId="0" borderId="21" xfId="6" applyNumberFormat="1" applyFont="1" applyFill="1" applyBorder="1" applyAlignment="1">
      <alignment horizontal="center" vertical="center"/>
    </xf>
    <xf numFmtId="41" fontId="49" fillId="0" borderId="21" xfId="5" applyNumberFormat="1" applyFont="1" applyFill="1" applyBorder="1" applyAlignment="1">
      <alignment horizontal="center" vertical="center"/>
    </xf>
    <xf numFmtId="41" fontId="70" fillId="6" borderId="13" xfId="6" applyNumberFormat="1" applyFont="1" applyFill="1" applyBorder="1" applyAlignment="1">
      <alignment horizontal="center" vertical="center"/>
    </xf>
    <xf numFmtId="41" fontId="70" fillId="6" borderId="14" xfId="6" applyNumberFormat="1" applyFont="1" applyFill="1" applyBorder="1" applyAlignment="1">
      <alignment horizontal="center" vertical="center"/>
    </xf>
    <xf numFmtId="0" fontId="71" fillId="6" borderId="12" xfId="2" applyFont="1" applyFill="1" applyBorder="1" applyAlignment="1">
      <alignment horizontal="center"/>
    </xf>
    <xf numFmtId="0" fontId="71" fillId="6" borderId="12" xfId="2" applyNumberFormat="1" applyFont="1" applyFill="1" applyBorder="1" applyAlignment="1">
      <alignment horizontal="center" vertical="center"/>
    </xf>
    <xf numFmtId="0" fontId="71" fillId="6" borderId="5" xfId="5" applyFont="1" applyFill="1" applyBorder="1" applyAlignment="1">
      <alignment horizontal="center"/>
    </xf>
    <xf numFmtId="0" fontId="71" fillId="6" borderId="12" xfId="2" applyNumberFormat="1" applyFont="1" applyFill="1" applyBorder="1" applyAlignment="1">
      <alignment horizontal="left" vertical="center"/>
    </xf>
    <xf numFmtId="0" fontId="71" fillId="6" borderId="12" xfId="0" applyNumberFormat="1" applyFont="1" applyFill="1" applyBorder="1" applyAlignment="1">
      <alignment horizontal="center" vertical="center"/>
    </xf>
    <xf numFmtId="176" fontId="71" fillId="6" borderId="12" xfId="1" applyNumberFormat="1" applyFont="1" applyFill="1" applyBorder="1">
      <alignment vertical="center"/>
    </xf>
    <xf numFmtId="41" fontId="71" fillId="6" borderId="12" xfId="1" applyFont="1" applyFill="1" applyBorder="1" applyAlignment="1">
      <alignment horizontal="center" vertical="center"/>
    </xf>
    <xf numFmtId="41" fontId="71" fillId="6" borderId="14" xfId="1" applyFont="1" applyFill="1" applyBorder="1" applyAlignment="1">
      <alignment horizontal="center" vertical="center"/>
    </xf>
    <xf numFmtId="0" fontId="49" fillId="6" borderId="12" xfId="2" applyFont="1" applyFill="1" applyBorder="1" applyAlignment="1">
      <alignment horizontal="center"/>
    </xf>
    <xf numFmtId="0" fontId="49" fillId="6" borderId="5" xfId="5" applyFont="1" applyFill="1" applyBorder="1" applyAlignment="1">
      <alignment horizontal="center"/>
    </xf>
    <xf numFmtId="14" fontId="49" fillId="6" borderId="5" xfId="2" applyNumberFormat="1" applyFont="1" applyFill="1" applyBorder="1" applyAlignment="1">
      <alignment horizontal="center" vertical="center"/>
    </xf>
    <xf numFmtId="0" fontId="49" fillId="6" borderId="12" xfId="0" applyFont="1" applyFill="1" applyBorder="1" applyAlignment="1">
      <alignment horizontal="center" vertical="center"/>
    </xf>
    <xf numFmtId="0" fontId="49" fillId="6" borderId="5" xfId="0" applyFont="1" applyFill="1" applyBorder="1">
      <alignment vertical="center"/>
    </xf>
    <xf numFmtId="0" fontId="49" fillId="6" borderId="12" xfId="0" applyNumberFormat="1" applyFont="1" applyFill="1" applyBorder="1" applyAlignment="1">
      <alignment horizontal="center" vertical="center"/>
    </xf>
    <xf numFmtId="176" fontId="49" fillId="6" borderId="12" xfId="1" applyNumberFormat="1" applyFont="1" applyFill="1" applyBorder="1">
      <alignment vertical="center"/>
    </xf>
    <xf numFmtId="41" fontId="49" fillId="6" borderId="12" xfId="1" applyFont="1" applyFill="1" applyBorder="1" applyAlignment="1">
      <alignment horizontal="center" vertical="center"/>
    </xf>
    <xf numFmtId="41" fontId="49" fillId="6" borderId="14" xfId="1" applyFont="1" applyFill="1" applyBorder="1" applyAlignment="1">
      <alignment horizontal="center" vertical="center"/>
    </xf>
    <xf numFmtId="14" fontId="49" fillId="6" borderId="12" xfId="2" applyNumberFormat="1" applyFont="1" applyFill="1" applyBorder="1" applyAlignment="1">
      <alignment horizontal="center" vertical="center"/>
    </xf>
    <xf numFmtId="0" fontId="49" fillId="6" borderId="12" xfId="0" applyFont="1" applyFill="1" applyBorder="1">
      <alignment vertical="center"/>
    </xf>
    <xf numFmtId="0" fontId="49" fillId="6" borderId="12" xfId="2" applyFont="1" applyFill="1" applyBorder="1" applyAlignment="1">
      <alignment horizontal="center" vertical="center"/>
    </xf>
    <xf numFmtId="176" fontId="49" fillId="6" borderId="12" xfId="1" applyNumberFormat="1" applyFont="1" applyFill="1" applyBorder="1" applyAlignment="1">
      <alignment horizontal="center" vertical="center"/>
    </xf>
    <xf numFmtId="14" fontId="49" fillId="6" borderId="12" xfId="0" applyNumberFormat="1" applyFont="1" applyFill="1" applyBorder="1" applyAlignment="1">
      <alignment horizontal="center" vertical="center"/>
    </xf>
    <xf numFmtId="0" fontId="49" fillId="6" borderId="12" xfId="6" applyFont="1" applyFill="1" applyBorder="1" applyAlignment="1">
      <alignment horizontal="center"/>
    </xf>
    <xf numFmtId="14" fontId="49" fillId="6" borderId="5" xfId="6" applyNumberFormat="1" applyFont="1" applyFill="1" applyBorder="1" applyAlignment="1">
      <alignment horizontal="center" vertical="center"/>
    </xf>
    <xf numFmtId="0" fontId="49" fillId="6" borderId="12" xfId="6" applyFont="1" applyFill="1" applyBorder="1" applyAlignment="1">
      <alignment horizontal="center" vertical="center"/>
    </xf>
    <xf numFmtId="0" fontId="49" fillId="6" borderId="5" xfId="6" applyFont="1" applyFill="1" applyBorder="1">
      <alignment vertical="center"/>
    </xf>
    <xf numFmtId="14" fontId="49" fillId="6" borderId="12" xfId="6" applyNumberFormat="1" applyFont="1" applyFill="1" applyBorder="1" applyAlignment="1">
      <alignment horizontal="center" vertical="center"/>
    </xf>
    <xf numFmtId="176" fontId="49" fillId="6" borderId="12" xfId="6" applyNumberFormat="1" applyFont="1" applyFill="1" applyBorder="1">
      <alignment vertical="center"/>
    </xf>
    <xf numFmtId="41" fontId="49" fillId="6" borderId="12" xfId="6" applyNumberFormat="1" applyFont="1" applyFill="1" applyBorder="1" applyAlignment="1">
      <alignment horizontal="center" vertical="center"/>
    </xf>
    <xf numFmtId="41" fontId="49" fillId="6" borderId="14" xfId="6" applyNumberFormat="1" applyFont="1" applyFill="1" applyBorder="1" applyAlignment="1">
      <alignment horizontal="center" vertical="center"/>
    </xf>
    <xf numFmtId="0" fontId="49" fillId="6" borderId="12" xfId="2" applyNumberFormat="1" applyFont="1" applyFill="1" applyBorder="1" applyAlignment="1">
      <alignment horizontal="center" vertical="center"/>
    </xf>
    <xf numFmtId="0" fontId="49" fillId="6" borderId="12" xfId="2" applyNumberFormat="1" applyFont="1" applyFill="1" applyBorder="1" applyAlignment="1">
      <alignment horizontal="left" vertical="center"/>
    </xf>
    <xf numFmtId="4" fontId="49" fillId="6" borderId="12" xfId="2" applyNumberFormat="1" applyFont="1" applyFill="1" applyBorder="1" applyAlignment="1">
      <alignment vertical="center"/>
    </xf>
    <xf numFmtId="0" fontId="49" fillId="6" borderId="12" xfId="0" applyFont="1" applyFill="1" applyBorder="1" applyAlignment="1">
      <alignment vertical="center"/>
    </xf>
    <xf numFmtId="0" fontId="49" fillId="6" borderId="12" xfId="6" applyFont="1" applyFill="1" applyBorder="1">
      <alignment vertical="center"/>
    </xf>
    <xf numFmtId="176" fontId="49" fillId="6" borderId="12" xfId="6" applyNumberFormat="1" applyFont="1" applyFill="1" applyBorder="1" applyAlignment="1">
      <alignment horizontal="center" vertical="center"/>
    </xf>
    <xf numFmtId="2" fontId="49" fillId="6" borderId="12" xfId="0" applyNumberFormat="1" applyFont="1" applyFill="1" applyBorder="1" applyAlignment="1">
      <alignment horizontal="center" vertical="center"/>
    </xf>
    <xf numFmtId="0" fontId="49" fillId="6" borderId="12" xfId="5" applyFont="1" applyFill="1" applyBorder="1" applyAlignment="1">
      <alignment horizontal="center"/>
    </xf>
    <xf numFmtId="0" fontId="49" fillId="6" borderId="12" xfId="5" applyNumberFormat="1" applyFont="1" applyFill="1" applyBorder="1" applyAlignment="1">
      <alignment horizontal="center" vertical="center"/>
    </xf>
    <xf numFmtId="0" fontId="49" fillId="6" borderId="12" xfId="5" applyNumberFormat="1" applyFont="1" applyFill="1" applyBorder="1" applyAlignment="1">
      <alignment horizontal="left" vertical="center"/>
    </xf>
    <xf numFmtId="176" fontId="49" fillId="6" borderId="12" xfId="5" applyNumberFormat="1" applyFont="1" applyFill="1" applyBorder="1">
      <alignment vertical="center"/>
    </xf>
    <xf numFmtId="41" fontId="49" fillId="6" borderId="12" xfId="5" applyNumberFormat="1" applyFont="1" applyFill="1" applyBorder="1" applyAlignment="1">
      <alignment horizontal="center" vertical="center"/>
    </xf>
    <xf numFmtId="0" fontId="49" fillId="6" borderId="5" xfId="2" applyFont="1" applyFill="1" applyBorder="1" applyAlignment="1">
      <alignment horizontal="center"/>
    </xf>
    <xf numFmtId="41" fontId="49" fillId="6" borderId="5" xfId="1" applyFont="1" applyFill="1" applyBorder="1" applyAlignment="1">
      <alignment horizontal="center" vertical="center"/>
    </xf>
    <xf numFmtId="41" fontId="71" fillId="6" borderId="5" xfId="1" applyFont="1" applyFill="1" applyBorder="1" applyAlignment="1">
      <alignment horizontal="center" vertical="center"/>
    </xf>
    <xf numFmtId="0" fontId="68" fillId="0" borderId="5" xfId="0" applyFont="1" applyFill="1" applyBorder="1" applyAlignment="1">
      <alignment horizontal="center" vertical="center"/>
    </xf>
    <xf numFmtId="0" fontId="68" fillId="0" borderId="38" xfId="0" applyFont="1" applyFill="1" applyBorder="1" applyAlignment="1">
      <alignment horizontal="center" vertical="center"/>
    </xf>
    <xf numFmtId="0" fontId="49" fillId="0" borderId="32" xfId="2" applyFont="1" applyFill="1" applyBorder="1" applyAlignment="1">
      <alignment horizontal="center"/>
    </xf>
    <xf numFmtId="0" fontId="49" fillId="0" borderId="31" xfId="2" applyFont="1" applyFill="1" applyBorder="1" applyAlignment="1">
      <alignment horizontal="center"/>
    </xf>
    <xf numFmtId="0" fontId="49" fillId="0" borderId="40" xfId="2" applyFont="1" applyFill="1" applyBorder="1" applyAlignment="1">
      <alignment horizontal="center"/>
    </xf>
    <xf numFmtId="0" fontId="49" fillId="0" borderId="31" xfId="5" applyFont="1" applyFill="1" applyBorder="1" applyAlignment="1">
      <alignment horizontal="center"/>
    </xf>
    <xf numFmtId="0" fontId="49" fillId="0" borderId="41" xfId="2" applyFont="1" applyFill="1" applyBorder="1" applyAlignment="1">
      <alignment horizontal="center"/>
    </xf>
    <xf numFmtId="0" fontId="49" fillId="0" borderId="32" xfId="5" applyFont="1" applyFill="1" applyBorder="1" applyAlignment="1">
      <alignment horizontal="center"/>
    </xf>
    <xf numFmtId="0" fontId="49" fillId="0" borderId="40" xfId="5" applyFont="1" applyFill="1" applyBorder="1" applyAlignment="1">
      <alignment horizontal="center"/>
    </xf>
    <xf numFmtId="0" fontId="49" fillId="0" borderId="31" xfId="6" applyFont="1" applyFill="1" applyBorder="1" applyAlignment="1">
      <alignment horizontal="center"/>
    </xf>
    <xf numFmtId="0" fontId="49" fillId="0" borderId="40" xfId="6" applyFont="1" applyFill="1" applyBorder="1" applyAlignment="1">
      <alignment horizontal="center"/>
    </xf>
    <xf numFmtId="0" fontId="49" fillId="0" borderId="32" xfId="6" applyFont="1" applyFill="1" applyBorder="1" applyAlignment="1">
      <alignment horizontal="center"/>
    </xf>
    <xf numFmtId="0" fontId="44" fillId="0" borderId="12" xfId="5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14" fontId="9" fillId="5" borderId="10" xfId="0" applyNumberFormat="1" applyFont="1" applyFill="1" applyBorder="1" applyAlignment="1">
      <alignment horizontal="center" vertical="center"/>
    </xf>
    <xf numFmtId="176" fontId="9" fillId="5" borderId="10" xfId="1" applyNumberFormat="1" applyFont="1" applyFill="1" applyBorder="1" applyAlignment="1">
      <alignment horizontal="center" vertical="center"/>
    </xf>
    <xf numFmtId="41" fontId="9" fillId="5" borderId="10" xfId="1" applyFont="1" applyFill="1" applyBorder="1" applyAlignment="1">
      <alignment horizontal="center" vertical="center"/>
    </xf>
    <xf numFmtId="41" fontId="9" fillId="5" borderId="22" xfId="1" applyFont="1" applyFill="1" applyBorder="1" applyAlignment="1">
      <alignment horizontal="center" vertical="center"/>
    </xf>
    <xf numFmtId="41" fontId="9" fillId="5" borderId="20" xfId="1" applyFont="1" applyFill="1" applyBorder="1" applyAlignment="1">
      <alignment horizontal="center" vertical="center"/>
    </xf>
    <xf numFmtId="0" fontId="41" fillId="0" borderId="0" xfId="6" applyFill="1">
      <alignment vertical="center"/>
    </xf>
    <xf numFmtId="2" fontId="49" fillId="0" borderId="12" xfId="6" applyNumberFormat="1" applyFont="1" applyFill="1" applyBorder="1" applyAlignment="1">
      <alignment horizontal="center" vertical="center"/>
    </xf>
    <xf numFmtId="2" fontId="49" fillId="0" borderId="12" xfId="0" applyNumberFormat="1" applyFont="1" applyFill="1" applyBorder="1" applyAlignment="1">
      <alignment horizontal="center" vertical="center"/>
    </xf>
    <xf numFmtId="4" fontId="49" fillId="0" borderId="12" xfId="6" applyNumberFormat="1" applyFont="1" applyFill="1" applyBorder="1" applyAlignment="1">
      <alignment horizontal="center" vertical="center"/>
    </xf>
    <xf numFmtId="0" fontId="68" fillId="0" borderId="37" xfId="0" applyFont="1" applyBorder="1" applyAlignment="1">
      <alignment horizontal="center" vertical="center"/>
    </xf>
    <xf numFmtId="0" fontId="49" fillId="0" borderId="43" xfId="2" applyFont="1" applyFill="1" applyBorder="1" applyAlignment="1">
      <alignment horizontal="center"/>
    </xf>
    <xf numFmtId="0" fontId="49" fillId="0" borderId="17" xfId="2" applyNumberFormat="1" applyFont="1" applyFill="1" applyBorder="1" applyAlignment="1">
      <alignment horizontal="left" vertical="center"/>
    </xf>
    <xf numFmtId="0" fontId="68" fillId="0" borderId="12" xfId="0" applyFont="1" applyBorder="1">
      <alignment vertical="center"/>
    </xf>
    <xf numFmtId="0" fontId="6" fillId="0" borderId="0" xfId="0" applyFont="1" applyFill="1">
      <alignment vertical="center"/>
    </xf>
    <xf numFmtId="0" fontId="32" fillId="0" borderId="12" xfId="0" applyFont="1" applyFill="1" applyBorder="1" applyAlignment="1">
      <alignment horizontal="center" vertical="center"/>
    </xf>
    <xf numFmtId="0" fontId="32" fillId="0" borderId="12" xfId="0" applyNumberFormat="1" applyFont="1" applyFill="1" applyBorder="1" applyAlignment="1">
      <alignment horizontal="center" vertical="center"/>
    </xf>
    <xf numFmtId="176" fontId="32" fillId="0" borderId="12" xfId="1" applyNumberFormat="1" applyFont="1" applyFill="1" applyBorder="1" applyAlignment="1">
      <alignment horizontal="center" vertical="center"/>
    </xf>
    <xf numFmtId="41" fontId="32" fillId="0" borderId="12" xfId="1" applyFont="1" applyFill="1" applyBorder="1" applyAlignment="1">
      <alignment horizontal="center" vertical="center"/>
    </xf>
    <xf numFmtId="14" fontId="32" fillId="0" borderId="12" xfId="0" applyNumberFormat="1" applyFont="1" applyFill="1" applyBorder="1" applyAlignment="1">
      <alignment horizontal="center" vertical="center"/>
    </xf>
    <xf numFmtId="176" fontId="19" fillId="0" borderId="12" xfId="1" applyNumberFormat="1" applyFont="1" applyFill="1" applyBorder="1">
      <alignment vertical="center"/>
    </xf>
    <xf numFmtId="41" fontId="19" fillId="0" borderId="12" xfId="1" applyFont="1" applyFill="1" applyBorder="1">
      <alignment vertical="center"/>
    </xf>
    <xf numFmtId="0" fontId="19" fillId="0" borderId="12" xfId="0" applyFont="1" applyFill="1" applyBorder="1">
      <alignment vertical="center"/>
    </xf>
    <xf numFmtId="176" fontId="74" fillId="0" borderId="12" xfId="1" applyNumberFormat="1" applyFont="1" applyFill="1" applyBorder="1">
      <alignment vertical="center"/>
    </xf>
    <xf numFmtId="0" fontId="10" fillId="0" borderId="34" xfId="2" applyFont="1" applyFill="1" applyBorder="1" applyAlignment="1">
      <alignment horizontal="center" vertical="center"/>
    </xf>
    <xf numFmtId="0" fontId="63" fillId="0" borderId="12" xfId="2" applyFont="1" applyFill="1" applyBorder="1" applyAlignment="1">
      <alignment horizontal="center"/>
    </xf>
    <xf numFmtId="14" fontId="63" fillId="0" borderId="12" xfId="2" applyNumberFormat="1" applyFont="1" applyFill="1" applyBorder="1" applyAlignment="1">
      <alignment horizontal="center" vertical="center"/>
    </xf>
    <xf numFmtId="0" fontId="63" fillId="0" borderId="11" xfId="2" applyFont="1" applyFill="1" applyBorder="1" applyAlignment="1">
      <alignment horizontal="center"/>
    </xf>
    <xf numFmtId="0" fontId="14" fillId="0" borderId="12" xfId="2" applyFont="1" applyFill="1" applyBorder="1" applyAlignment="1">
      <alignment horizontal="center"/>
    </xf>
    <xf numFmtId="0" fontId="14" fillId="0" borderId="12" xfId="2" applyFont="1" applyFill="1" applyBorder="1" applyAlignment="1">
      <alignment horizontal="center" vertical="center"/>
    </xf>
    <xf numFmtId="14" fontId="14" fillId="0" borderId="12" xfId="2" applyNumberFormat="1" applyFont="1" applyFill="1" applyBorder="1" applyAlignment="1">
      <alignment horizontal="left" vertical="center"/>
    </xf>
    <xf numFmtId="14" fontId="14" fillId="0" borderId="12" xfId="2" applyNumberFormat="1" applyFont="1" applyFill="1" applyBorder="1" applyAlignment="1">
      <alignment horizontal="center" vertical="center"/>
    </xf>
    <xf numFmtId="0" fontId="14" fillId="0" borderId="12" xfId="2" applyNumberFormat="1" applyFont="1" applyFill="1" applyBorder="1" applyAlignment="1">
      <alignment horizontal="center" vertical="center"/>
    </xf>
    <xf numFmtId="177" fontId="14" fillId="0" borderId="12" xfId="2" applyNumberFormat="1" applyFont="1" applyFill="1" applyBorder="1" applyAlignment="1">
      <alignment horizontal="center" vertical="center"/>
    </xf>
    <xf numFmtId="4" fontId="14" fillId="0" borderId="12" xfId="2" applyNumberFormat="1" applyFont="1" applyFill="1" applyBorder="1" applyAlignment="1">
      <alignment vertical="center"/>
    </xf>
    <xf numFmtId="0" fontId="14" fillId="0" borderId="11" xfId="2" applyFont="1" applyFill="1" applyBorder="1" applyAlignment="1">
      <alignment horizontal="center"/>
    </xf>
    <xf numFmtId="0" fontId="63" fillId="0" borderId="12" xfId="0" applyFont="1" applyFill="1" applyBorder="1" applyAlignment="1">
      <alignment vertical="center"/>
    </xf>
    <xf numFmtId="0" fontId="63" fillId="0" borderId="12" xfId="0" applyNumberFormat="1" applyFont="1" applyFill="1" applyBorder="1" applyAlignment="1">
      <alignment horizontal="center" vertical="center"/>
    </xf>
    <xf numFmtId="41" fontId="63" fillId="0" borderId="12" xfId="1" applyFont="1" applyFill="1" applyBorder="1" applyAlignment="1">
      <alignment horizontal="center" vertical="center"/>
    </xf>
    <xf numFmtId="0" fontId="63" fillId="0" borderId="12" xfId="0" applyFont="1" applyFill="1" applyBorder="1">
      <alignment vertical="center"/>
    </xf>
    <xf numFmtId="176" fontId="63" fillId="0" borderId="12" xfId="1" applyNumberFormat="1" applyFont="1" applyFill="1" applyBorder="1" applyAlignment="1">
      <alignment horizontal="center" vertical="center"/>
    </xf>
    <xf numFmtId="41" fontId="63" fillId="0" borderId="14" xfId="1" applyFont="1" applyFill="1" applyBorder="1" applyAlignment="1">
      <alignment horizontal="center" vertical="center"/>
    </xf>
    <xf numFmtId="41" fontId="63" fillId="0" borderId="13" xfId="1" applyFont="1" applyFill="1" applyBorder="1" applyAlignment="1">
      <alignment horizontal="center" vertical="center"/>
    </xf>
    <xf numFmtId="0" fontId="75" fillId="0" borderId="42" xfId="0" applyFont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/>
    </xf>
    <xf numFmtId="176" fontId="3" fillId="0" borderId="14" xfId="1" applyNumberFormat="1" applyFont="1" applyFill="1" applyBorder="1" applyAlignment="1">
      <alignment horizontal="center" vertical="center"/>
    </xf>
    <xf numFmtId="41" fontId="3" fillId="0" borderId="13" xfId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176" fontId="3" fillId="0" borderId="5" xfId="1" applyNumberFormat="1" applyFont="1" applyFill="1" applyBorder="1" applyAlignment="1">
      <alignment horizontal="center" vertical="center"/>
    </xf>
    <xf numFmtId="41" fontId="3" fillId="0" borderId="5" xfId="1" applyFont="1" applyFill="1" applyBorder="1" applyAlignment="1">
      <alignment horizontal="center" vertical="center"/>
    </xf>
    <xf numFmtId="41" fontId="3" fillId="0" borderId="21" xfId="1" applyFont="1" applyFill="1" applyBorder="1" applyAlignment="1">
      <alignment horizontal="center" vertical="center"/>
    </xf>
    <xf numFmtId="41" fontId="3" fillId="0" borderId="14" xfId="1" applyFont="1" applyFill="1" applyBorder="1" applyAlignment="1">
      <alignment horizontal="center" vertical="center"/>
    </xf>
    <xf numFmtId="2" fontId="3" fillId="0" borderId="12" xfId="0" applyNumberFormat="1" applyFont="1" applyFill="1" applyBorder="1" applyAlignment="1">
      <alignment horizontal="center" vertical="center"/>
    </xf>
    <xf numFmtId="0" fontId="60" fillId="0" borderId="12" xfId="0" applyFont="1" applyFill="1" applyBorder="1" applyAlignment="1">
      <alignment horizontal="center" vertical="center"/>
    </xf>
    <xf numFmtId="2" fontId="60" fillId="0" borderId="12" xfId="0" applyNumberFormat="1" applyFont="1" applyFill="1" applyBorder="1" applyAlignment="1">
      <alignment horizontal="center" vertical="center"/>
    </xf>
    <xf numFmtId="176" fontId="60" fillId="0" borderId="12" xfId="1" applyNumberFormat="1" applyFont="1" applyFill="1" applyBorder="1" applyAlignment="1">
      <alignment horizontal="center" vertical="center"/>
    </xf>
    <xf numFmtId="41" fontId="60" fillId="0" borderId="12" xfId="1" applyFont="1" applyFill="1" applyBorder="1" applyAlignment="1">
      <alignment horizontal="center" vertical="center"/>
    </xf>
    <xf numFmtId="0" fontId="3" fillId="0" borderId="12" xfId="5" quotePrefix="1" applyFont="1" applyFill="1" applyBorder="1" applyAlignment="1">
      <alignment horizontal="center" vertical="center"/>
    </xf>
    <xf numFmtId="0" fontId="3" fillId="0" borderId="12" xfId="5" applyFont="1" applyFill="1" applyBorder="1" applyAlignment="1">
      <alignment horizontal="center" vertical="center"/>
    </xf>
    <xf numFmtId="0" fontId="3" fillId="0" borderId="21" xfId="5" applyFont="1" applyFill="1" applyBorder="1" applyAlignment="1">
      <alignment horizontal="center" vertical="center"/>
    </xf>
    <xf numFmtId="14" fontId="3" fillId="0" borderId="14" xfId="5" applyNumberFormat="1" applyFont="1" applyFill="1" applyBorder="1" applyAlignment="1">
      <alignment horizontal="center" vertical="center"/>
    </xf>
    <xf numFmtId="0" fontId="3" fillId="0" borderId="5" xfId="5" applyNumberFormat="1" applyFont="1" applyFill="1" applyBorder="1" applyAlignment="1">
      <alignment horizontal="center" vertical="center"/>
    </xf>
    <xf numFmtId="176" fontId="3" fillId="0" borderId="5" xfId="5" applyNumberFormat="1" applyFont="1" applyFill="1" applyBorder="1" applyAlignment="1">
      <alignment horizontal="center" vertical="center"/>
    </xf>
    <xf numFmtId="41" fontId="3" fillId="0" borderId="5" xfId="5" applyNumberFormat="1" applyFont="1" applyFill="1" applyBorder="1" applyAlignment="1">
      <alignment horizontal="center" vertical="center"/>
    </xf>
    <xf numFmtId="41" fontId="3" fillId="0" borderId="21" xfId="5" applyNumberFormat="1" applyFont="1" applyFill="1" applyBorder="1" applyAlignment="1">
      <alignment horizontal="center" vertical="center"/>
    </xf>
    <xf numFmtId="41" fontId="3" fillId="0" borderId="7" xfId="5" applyNumberFormat="1" applyFont="1" applyFill="1" applyBorder="1" applyAlignment="1">
      <alignment horizontal="center" vertical="center"/>
    </xf>
    <xf numFmtId="0" fontId="3" fillId="0" borderId="0" xfId="5" applyFont="1" applyFill="1" applyAlignment="1">
      <alignment horizontal="center" vertical="center"/>
    </xf>
    <xf numFmtId="0" fontId="3" fillId="0" borderId="12" xfId="2" quotePrefix="1" applyFont="1" applyFill="1" applyBorder="1" applyAlignment="1">
      <alignment horizontal="center" vertical="center"/>
    </xf>
    <xf numFmtId="0" fontId="3" fillId="0" borderId="12" xfId="2" applyFont="1" applyFill="1" applyBorder="1" applyAlignment="1">
      <alignment horizontal="center" vertical="center"/>
    </xf>
    <xf numFmtId="14" fontId="3" fillId="0" borderId="14" xfId="2" applyNumberFormat="1" applyFont="1" applyFill="1" applyBorder="1" applyAlignment="1">
      <alignment horizontal="center" vertical="center"/>
    </xf>
    <xf numFmtId="14" fontId="3" fillId="0" borderId="12" xfId="2" applyNumberFormat="1" applyFont="1" applyFill="1" applyBorder="1" applyAlignment="1">
      <alignment horizontal="center" vertical="center"/>
    </xf>
    <xf numFmtId="0" fontId="3" fillId="0" borderId="21" xfId="6" applyFont="1" applyFill="1" applyBorder="1" applyAlignment="1">
      <alignment horizontal="center" vertical="center"/>
    </xf>
    <xf numFmtId="14" fontId="3" fillId="0" borderId="14" xfId="6" applyNumberFormat="1" applyFont="1" applyFill="1" applyBorder="1" applyAlignment="1">
      <alignment horizontal="center" vertical="center"/>
    </xf>
    <xf numFmtId="0" fontId="3" fillId="0" borderId="5" xfId="6" applyNumberFormat="1" applyFont="1" applyFill="1" applyBorder="1" applyAlignment="1">
      <alignment horizontal="center" vertical="center"/>
    </xf>
    <xf numFmtId="176" fontId="3" fillId="0" borderId="5" xfId="6" applyNumberFormat="1" applyFont="1" applyFill="1" applyBorder="1" applyAlignment="1">
      <alignment horizontal="center" vertical="center"/>
    </xf>
    <xf numFmtId="41" fontId="3" fillId="0" borderId="5" xfId="6" applyNumberFormat="1" applyFont="1" applyFill="1" applyBorder="1" applyAlignment="1">
      <alignment horizontal="center" vertical="center"/>
    </xf>
    <xf numFmtId="41" fontId="3" fillId="0" borderId="21" xfId="6" applyNumberFormat="1" applyFont="1" applyFill="1" applyBorder="1" applyAlignment="1">
      <alignment horizontal="center" vertical="center"/>
    </xf>
    <xf numFmtId="0" fontId="3" fillId="0" borderId="0" xfId="6" applyFont="1" applyFill="1" applyAlignment="1">
      <alignment horizontal="center" vertical="center"/>
    </xf>
    <xf numFmtId="14" fontId="3" fillId="0" borderId="12" xfId="6" applyNumberFormat="1" applyFont="1" applyFill="1" applyBorder="1" applyAlignment="1">
      <alignment horizontal="center" vertical="center"/>
    </xf>
    <xf numFmtId="0" fontId="3" fillId="0" borderId="14" xfId="6" applyFont="1" applyFill="1" applyBorder="1" applyAlignment="1">
      <alignment horizontal="center" vertical="center"/>
    </xf>
    <xf numFmtId="176" fontId="3" fillId="0" borderId="14" xfId="6" applyNumberFormat="1" applyFont="1" applyFill="1" applyBorder="1" applyAlignment="1">
      <alignment horizontal="center" vertical="center"/>
    </xf>
    <xf numFmtId="0" fontId="3" fillId="0" borderId="5" xfId="2" applyFont="1" applyFill="1" applyBorder="1" applyAlignment="1">
      <alignment horizontal="center" vertical="center"/>
    </xf>
    <xf numFmtId="14" fontId="3" fillId="0" borderId="5" xfId="2" applyNumberFormat="1" applyFont="1" applyFill="1" applyBorder="1" applyAlignment="1">
      <alignment horizontal="center" vertical="center"/>
    </xf>
    <xf numFmtId="0" fontId="3" fillId="0" borderId="12" xfId="2" applyFont="1" applyFill="1" applyBorder="1" applyAlignment="1">
      <alignment horizontal="center"/>
    </xf>
    <xf numFmtId="0" fontId="60" fillId="0" borderId="12" xfId="7" applyFont="1" applyFill="1" applyBorder="1" applyAlignment="1">
      <alignment horizontal="center"/>
    </xf>
    <xf numFmtId="0" fontId="60" fillId="0" borderId="12" xfId="7" applyFont="1" applyFill="1" applyBorder="1" applyAlignment="1">
      <alignment horizontal="center" vertical="center"/>
    </xf>
    <xf numFmtId="0" fontId="60" fillId="0" borderId="12" xfId="7" applyNumberFormat="1" applyFont="1" applyFill="1" applyBorder="1" applyAlignment="1">
      <alignment horizontal="center" vertical="center"/>
    </xf>
    <xf numFmtId="176" fontId="60" fillId="0" borderId="12" xfId="7" applyNumberFormat="1" applyFont="1" applyFill="1" applyBorder="1" applyAlignment="1">
      <alignment horizontal="center" vertical="center"/>
    </xf>
    <xf numFmtId="41" fontId="60" fillId="0" borderId="12" xfId="7" applyNumberFormat="1" applyFont="1" applyFill="1" applyBorder="1" applyAlignment="1">
      <alignment horizontal="center" vertical="center"/>
    </xf>
    <xf numFmtId="0" fontId="60" fillId="0" borderId="12" xfId="2" applyFont="1" applyFill="1" applyBorder="1" applyAlignment="1">
      <alignment horizontal="center"/>
    </xf>
    <xf numFmtId="14" fontId="60" fillId="0" borderId="12" xfId="2" applyNumberFormat="1" applyFont="1" applyFill="1" applyBorder="1" applyAlignment="1">
      <alignment horizontal="center" vertical="center"/>
    </xf>
    <xf numFmtId="0" fontId="3" fillId="0" borderId="12" xfId="2" quotePrefix="1" applyFont="1" applyFill="1" applyBorder="1" applyAlignment="1">
      <alignment horizontal="center"/>
    </xf>
    <xf numFmtId="0" fontId="3" fillId="0" borderId="12" xfId="0" quotePrefix="1" applyFont="1" applyFill="1" applyBorder="1" applyAlignment="1">
      <alignment horizontal="center" vertical="center"/>
    </xf>
    <xf numFmtId="0" fontId="3" fillId="0" borderId="45" xfId="5" applyFont="1" applyFill="1" applyBorder="1" applyAlignment="1">
      <alignment horizontal="center" vertical="center"/>
    </xf>
    <xf numFmtId="0" fontId="3" fillId="0" borderId="46" xfId="5" applyFont="1" applyFill="1" applyBorder="1" applyAlignment="1">
      <alignment horizontal="center" vertical="center"/>
    </xf>
    <xf numFmtId="0" fontId="3" fillId="0" borderId="46" xfId="2" applyFont="1" applyFill="1" applyBorder="1" applyAlignment="1">
      <alignment horizontal="center" vertical="center"/>
    </xf>
    <xf numFmtId="0" fontId="3" fillId="0" borderId="46" xfId="6" applyFont="1" applyFill="1" applyBorder="1" applyAlignment="1">
      <alignment horizontal="center" vertical="center"/>
    </xf>
    <xf numFmtId="0" fontId="3" fillId="0" borderId="32" xfId="2" applyFont="1" applyFill="1" applyBorder="1" applyAlignment="1">
      <alignment horizontal="center" vertical="center"/>
    </xf>
    <xf numFmtId="0" fontId="3" fillId="0" borderId="47" xfId="2" applyFont="1" applyFill="1" applyBorder="1" applyAlignment="1">
      <alignment horizontal="center" vertical="center"/>
    </xf>
    <xf numFmtId="0" fontId="3" fillId="0" borderId="46" xfId="2" applyFont="1" applyFill="1" applyBorder="1" applyAlignment="1">
      <alignment horizontal="center"/>
    </xf>
    <xf numFmtId="0" fontId="3" fillId="0" borderId="46" xfId="0" applyFont="1" applyFill="1" applyBorder="1" applyAlignment="1">
      <alignment horizontal="center" vertical="center"/>
    </xf>
    <xf numFmtId="0" fontId="53" fillId="0" borderId="42" xfId="0" applyFont="1" applyFill="1" applyBorder="1" applyAlignment="1">
      <alignment horizontal="center" vertical="center"/>
    </xf>
    <xf numFmtId="0" fontId="53" fillId="0" borderId="42" xfId="0" applyFont="1" applyBorder="1" applyAlignment="1">
      <alignment horizontal="center" vertical="center"/>
    </xf>
    <xf numFmtId="0" fontId="78" fillId="0" borderId="0" xfId="0" applyFont="1" applyFill="1">
      <alignment vertical="center"/>
    </xf>
    <xf numFmtId="0" fontId="79" fillId="0" borderId="12" xfId="6" applyFont="1" applyFill="1" applyBorder="1" applyAlignment="1">
      <alignment horizontal="center" vertical="center"/>
    </xf>
    <xf numFmtId="0" fontId="79" fillId="0" borderId="12" xfId="6" applyFont="1" applyFill="1" applyBorder="1" applyAlignment="1">
      <alignment horizontal="left" vertical="center"/>
    </xf>
    <xf numFmtId="4" fontId="79" fillId="0" borderId="12" xfId="6" applyNumberFormat="1" applyFont="1" applyFill="1" applyBorder="1" applyAlignment="1">
      <alignment horizontal="center" vertical="center"/>
    </xf>
    <xf numFmtId="41" fontId="79" fillId="0" borderId="12" xfId="1" applyFont="1" applyFill="1" applyBorder="1" applyAlignment="1">
      <alignment horizontal="center" vertical="center"/>
    </xf>
    <xf numFmtId="0" fontId="80" fillId="0" borderId="0" xfId="6" applyFont="1" applyFill="1">
      <alignment vertical="center"/>
    </xf>
    <xf numFmtId="0" fontId="78" fillId="0" borderId="12" xfId="0" applyFont="1" applyFill="1" applyBorder="1" applyAlignment="1">
      <alignment horizontal="center" vertical="center"/>
    </xf>
    <xf numFmtId="0" fontId="78" fillId="0" borderId="12" xfId="0" applyFont="1" applyFill="1" applyBorder="1" applyAlignment="1">
      <alignment horizontal="left" vertical="center"/>
    </xf>
    <xf numFmtId="4" fontId="78" fillId="0" borderId="12" xfId="0" applyNumberFormat="1" applyFont="1" applyFill="1" applyBorder="1" applyAlignment="1">
      <alignment horizontal="center" vertical="center"/>
    </xf>
    <xf numFmtId="41" fontId="78" fillId="0" borderId="12" xfId="1" applyFont="1" applyFill="1" applyBorder="1" applyAlignment="1">
      <alignment horizontal="center" vertical="center"/>
    </xf>
    <xf numFmtId="0" fontId="16" fillId="0" borderId="12" xfId="6" applyFont="1" applyFill="1" applyBorder="1" applyAlignment="1">
      <alignment vertical="center"/>
    </xf>
    <xf numFmtId="14" fontId="16" fillId="0" borderId="12" xfId="6" applyNumberFormat="1" applyFont="1" applyFill="1" applyBorder="1" applyAlignment="1">
      <alignment horizontal="center" vertical="center"/>
    </xf>
    <xf numFmtId="176" fontId="16" fillId="0" borderId="12" xfId="6" applyNumberFormat="1" applyFont="1" applyFill="1" applyBorder="1">
      <alignment vertical="center"/>
    </xf>
    <xf numFmtId="14" fontId="16" fillId="0" borderId="12" xfId="6" applyNumberFormat="1" applyFont="1" applyFill="1" applyBorder="1" applyAlignment="1">
      <alignment horizontal="left" vertical="center"/>
    </xf>
    <xf numFmtId="0" fontId="16" fillId="0" borderId="12" xfId="6" applyFont="1" applyFill="1" applyBorder="1">
      <alignment vertical="center"/>
    </xf>
    <xf numFmtId="0" fontId="81" fillId="0" borderId="5" xfId="2" applyFont="1" applyFill="1" applyBorder="1" applyAlignment="1">
      <alignment horizontal="center"/>
    </xf>
    <xf numFmtId="0" fontId="81" fillId="0" borderId="12" xfId="2" applyFont="1" applyFill="1" applyBorder="1" applyAlignment="1">
      <alignment horizontal="center"/>
    </xf>
    <xf numFmtId="0" fontId="78" fillId="0" borderId="12" xfId="0" applyFont="1" applyFill="1" applyBorder="1" applyAlignment="1">
      <alignment vertical="center"/>
    </xf>
    <xf numFmtId="14" fontId="78" fillId="0" borderId="12" xfId="0" applyNumberFormat="1" applyFont="1" applyFill="1" applyBorder="1" applyAlignment="1">
      <alignment horizontal="center" vertical="center"/>
    </xf>
    <xf numFmtId="176" fontId="78" fillId="0" borderId="12" xfId="1" applyNumberFormat="1" applyFont="1" applyFill="1" applyBorder="1">
      <alignment vertical="center"/>
    </xf>
    <xf numFmtId="14" fontId="81" fillId="0" borderId="12" xfId="2" applyNumberFormat="1" applyFont="1" applyFill="1" applyBorder="1" applyAlignment="1">
      <alignment horizontal="center" vertical="center"/>
    </xf>
    <xf numFmtId="0" fontId="78" fillId="0" borderId="12" xfId="0" applyFont="1" applyFill="1" applyBorder="1">
      <alignment vertical="center"/>
    </xf>
    <xf numFmtId="14" fontId="81" fillId="0" borderId="12" xfId="2" applyNumberFormat="1" applyFont="1" applyFill="1" applyBorder="1" applyAlignment="1">
      <alignment horizontal="left" vertical="center"/>
    </xf>
    <xf numFmtId="0" fontId="78" fillId="0" borderId="12" xfId="0" applyNumberFormat="1" applyFont="1" applyFill="1" applyBorder="1" applyAlignment="1">
      <alignment horizontal="center" vertical="center"/>
    </xf>
    <xf numFmtId="176" fontId="78" fillId="0" borderId="12" xfId="1" applyNumberFormat="1" applyFont="1" applyFill="1" applyBorder="1" applyAlignment="1">
      <alignment horizontal="center" vertical="center"/>
    </xf>
    <xf numFmtId="0" fontId="81" fillId="0" borderId="12" xfId="2" applyFont="1" applyFill="1" applyBorder="1" applyAlignment="1">
      <alignment horizontal="center" vertical="center"/>
    </xf>
    <xf numFmtId="0" fontId="10" fillId="0" borderId="12" xfId="6" applyFont="1" applyFill="1" applyBorder="1" applyAlignment="1">
      <alignment horizontal="center" vertical="center"/>
    </xf>
    <xf numFmtId="14" fontId="10" fillId="0" borderId="12" xfId="6" applyNumberFormat="1" applyFont="1" applyFill="1" applyBorder="1" applyAlignment="1">
      <alignment horizontal="left" vertical="center"/>
    </xf>
    <xf numFmtId="2" fontId="10" fillId="0" borderId="12" xfId="6" applyNumberFormat="1" applyFont="1" applyFill="1" applyBorder="1" applyAlignment="1">
      <alignment horizontal="center" vertical="center"/>
    </xf>
    <xf numFmtId="176" fontId="10" fillId="0" borderId="12" xfId="6" applyNumberFormat="1" applyFont="1" applyFill="1" applyBorder="1">
      <alignment vertical="center"/>
    </xf>
    <xf numFmtId="41" fontId="10" fillId="0" borderId="12" xfId="6" applyNumberFormat="1" applyFont="1" applyFill="1" applyBorder="1" applyAlignment="1">
      <alignment horizontal="center" vertical="center"/>
    </xf>
    <xf numFmtId="0" fontId="10" fillId="0" borderId="12" xfId="6" applyFont="1" applyFill="1" applyBorder="1">
      <alignment vertical="center"/>
    </xf>
    <xf numFmtId="0" fontId="10" fillId="0" borderId="12" xfId="6" applyFont="1" applyFill="1" applyBorder="1" applyAlignment="1">
      <alignment vertical="center"/>
    </xf>
    <xf numFmtId="0" fontId="10" fillId="0" borderId="12" xfId="6" applyNumberFormat="1" applyFont="1" applyFill="1" applyBorder="1" applyAlignment="1">
      <alignment horizontal="center" vertical="center"/>
    </xf>
    <xf numFmtId="177" fontId="10" fillId="0" borderId="12" xfId="6" applyNumberFormat="1" applyFont="1" applyFill="1" applyBorder="1" applyAlignment="1">
      <alignment horizontal="center" vertical="center"/>
    </xf>
    <xf numFmtId="4" fontId="10" fillId="0" borderId="12" xfId="6" applyNumberFormat="1" applyFont="1" applyFill="1" applyBorder="1" applyAlignment="1">
      <alignment vertical="center"/>
    </xf>
    <xf numFmtId="176" fontId="10" fillId="0" borderId="12" xfId="6" applyNumberFormat="1" applyFont="1" applyFill="1" applyBorder="1" applyAlignment="1">
      <alignment horizontal="center" vertical="center"/>
    </xf>
    <xf numFmtId="0" fontId="3" fillId="0" borderId="12" xfId="0" applyFont="1" applyFill="1" applyBorder="1">
      <alignment vertical="center"/>
    </xf>
    <xf numFmtId="176" fontId="3" fillId="0" borderId="12" xfId="1" applyNumberFormat="1" applyFont="1" applyFill="1" applyBorder="1">
      <alignment vertical="center"/>
    </xf>
    <xf numFmtId="0" fontId="68" fillId="0" borderId="44" xfId="0" applyFont="1" applyBorder="1" applyAlignment="1">
      <alignment horizontal="center" vertical="center"/>
    </xf>
    <xf numFmtId="0" fontId="68" fillId="0" borderId="12" xfId="0" applyFont="1" applyBorder="1" applyAlignment="1">
      <alignment horizontal="center" vertical="center"/>
    </xf>
    <xf numFmtId="0" fontId="68" fillId="0" borderId="12" xfId="0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16" fillId="0" borderId="14" xfId="2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 wrapText="1"/>
    </xf>
    <xf numFmtId="0" fontId="16" fillId="0" borderId="14" xfId="0" applyFont="1" applyFill="1" applyBorder="1" applyAlignment="1">
      <alignment vertical="center"/>
    </xf>
    <xf numFmtId="41" fontId="16" fillId="0" borderId="12" xfId="1" applyFont="1" applyFill="1" applyBorder="1">
      <alignment vertical="center"/>
    </xf>
    <xf numFmtId="0" fontId="16" fillId="0" borderId="12" xfId="6" applyFont="1" applyFill="1" applyBorder="1" applyAlignment="1">
      <alignment horizontal="right" vertical="center"/>
    </xf>
    <xf numFmtId="41" fontId="16" fillId="0" borderId="12" xfId="6" applyNumberFormat="1" applyFont="1" applyFill="1" applyBorder="1" applyAlignment="1">
      <alignment horizontal="right" vertical="center"/>
    </xf>
    <xf numFmtId="41" fontId="16" fillId="0" borderId="12" xfId="6" applyNumberFormat="1" applyFont="1" applyFill="1" applyBorder="1">
      <alignment vertical="center"/>
    </xf>
    <xf numFmtId="0" fontId="82" fillId="2" borderId="12" xfId="0" applyFont="1" applyFill="1" applyBorder="1" applyAlignment="1">
      <alignment horizontal="center" vertical="center"/>
    </xf>
    <xf numFmtId="49" fontId="82" fillId="2" borderId="12" xfId="0" applyNumberFormat="1" applyFont="1" applyFill="1" applyBorder="1" applyAlignment="1">
      <alignment horizontal="left" vertical="center"/>
    </xf>
    <xf numFmtId="49" fontId="82" fillId="2" borderId="12" xfId="0" applyNumberFormat="1" applyFont="1" applyFill="1" applyBorder="1" applyAlignment="1">
      <alignment vertical="center"/>
    </xf>
    <xf numFmtId="41" fontId="29" fillId="2" borderId="12" xfId="1" applyFont="1" applyFill="1" applyBorder="1" applyAlignment="1">
      <alignment vertical="center" wrapText="1"/>
    </xf>
    <xf numFmtId="49" fontId="82" fillId="2" borderId="12" xfId="0" applyNumberFormat="1" applyFont="1" applyFill="1" applyBorder="1" applyAlignment="1">
      <alignment horizontal="center" vertical="center"/>
    </xf>
    <xf numFmtId="49" fontId="82" fillId="2" borderId="12" xfId="0" applyNumberFormat="1" applyFont="1" applyFill="1" applyBorder="1" applyAlignment="1">
      <alignment horizontal="center" vertical="center" wrapText="1"/>
    </xf>
    <xf numFmtId="41" fontId="82" fillId="2" borderId="12" xfId="1" applyFont="1" applyFill="1" applyBorder="1" applyAlignment="1">
      <alignment horizontal="right" vertical="center" wrapText="1"/>
    </xf>
    <xf numFmtId="0" fontId="49" fillId="0" borderId="49" xfId="2" applyFont="1" applyFill="1" applyBorder="1" applyAlignment="1">
      <alignment horizontal="center"/>
    </xf>
    <xf numFmtId="0" fontId="49" fillId="0" borderId="49" xfId="2" applyNumberFormat="1" applyFont="1" applyFill="1" applyBorder="1" applyAlignment="1">
      <alignment horizontal="center" vertical="center"/>
    </xf>
    <xf numFmtId="0" fontId="9" fillId="0" borderId="49" xfId="0" applyFont="1" applyFill="1" applyBorder="1" applyAlignment="1">
      <alignment horizontal="center" vertical="center"/>
    </xf>
    <xf numFmtId="0" fontId="68" fillId="0" borderId="49" xfId="0" applyFont="1" applyBorder="1">
      <alignment vertical="center"/>
    </xf>
    <xf numFmtId="0" fontId="49" fillId="0" borderId="49" xfId="0" applyNumberFormat="1" applyFont="1" applyFill="1" applyBorder="1" applyAlignment="1">
      <alignment horizontal="center" vertical="center"/>
    </xf>
    <xf numFmtId="176" fontId="49" fillId="0" borderId="49" xfId="1" applyNumberFormat="1" applyFont="1" applyFill="1" applyBorder="1" applyAlignment="1">
      <alignment horizontal="center" vertical="center"/>
    </xf>
    <xf numFmtId="41" fontId="49" fillId="0" borderId="49" xfId="1" applyFont="1" applyFill="1" applyBorder="1" applyAlignment="1">
      <alignment horizontal="center" vertical="center"/>
    </xf>
    <xf numFmtId="0" fontId="9" fillId="0" borderId="47" xfId="0" applyFont="1" applyBorder="1">
      <alignment vertical="center"/>
    </xf>
    <xf numFmtId="0" fontId="44" fillId="0" borderId="0" xfId="5" applyFont="1" applyFill="1" applyBorder="1" applyAlignment="1">
      <alignment horizontal="center" vertical="center"/>
    </xf>
    <xf numFmtId="0" fontId="49" fillId="0" borderId="0" xfId="2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49" fillId="0" borderId="0" xfId="0" applyNumberFormat="1" applyFont="1" applyFill="1" applyBorder="1" applyAlignment="1">
      <alignment horizontal="center" vertical="center"/>
    </xf>
    <xf numFmtId="176" fontId="49" fillId="0" borderId="0" xfId="1" applyNumberFormat="1" applyFont="1" applyFill="1" applyBorder="1" applyAlignment="1">
      <alignment horizontal="center" vertical="center"/>
    </xf>
    <xf numFmtId="41" fontId="49" fillId="0" borderId="0" xfId="1" applyFont="1" applyFill="1" applyBorder="1" applyAlignment="1">
      <alignment horizontal="center" vertical="center"/>
    </xf>
    <xf numFmtId="0" fontId="9" fillId="0" borderId="0" xfId="0" applyFont="1" applyBorder="1">
      <alignment vertical="center"/>
    </xf>
    <xf numFmtId="0" fontId="10" fillId="0" borderId="0" xfId="6" applyFont="1" applyFill="1" applyBorder="1" applyAlignment="1">
      <alignment horizontal="center" vertical="center"/>
    </xf>
    <xf numFmtId="0" fontId="10" fillId="0" borderId="0" xfId="6" applyFont="1" applyFill="1" applyBorder="1" applyAlignment="1">
      <alignment horizontal="center"/>
    </xf>
    <xf numFmtId="0" fontId="3" fillId="0" borderId="0" xfId="0" applyFont="1" applyFill="1" applyBorder="1">
      <alignment vertical="center"/>
    </xf>
    <xf numFmtId="2" fontId="3" fillId="0" borderId="0" xfId="0" applyNumberFormat="1" applyFont="1" applyFill="1" applyBorder="1" applyAlignment="1">
      <alignment horizontal="center" vertical="center"/>
    </xf>
    <xf numFmtId="176" fontId="3" fillId="0" borderId="0" xfId="1" applyNumberFormat="1" applyFont="1" applyFill="1" applyBorder="1" applyAlignment="1">
      <alignment horizontal="center" vertical="center"/>
    </xf>
    <xf numFmtId="41" fontId="3" fillId="0" borderId="0" xfId="1" applyFont="1" applyFill="1" applyBorder="1" applyAlignment="1">
      <alignment horizontal="center" vertical="center"/>
    </xf>
    <xf numFmtId="14" fontId="10" fillId="0" borderId="5" xfId="6" applyNumberFormat="1" applyFont="1" applyFill="1" applyBorder="1" applyAlignment="1">
      <alignment horizontal="center" vertical="center"/>
    </xf>
    <xf numFmtId="0" fontId="10" fillId="0" borderId="5" xfId="6" applyFont="1" applyFill="1" applyBorder="1" applyAlignment="1">
      <alignment horizontal="center" vertical="center"/>
    </xf>
    <xf numFmtId="0" fontId="54" fillId="0" borderId="0" xfId="0" applyFont="1" applyFill="1">
      <alignment vertical="center"/>
    </xf>
    <xf numFmtId="14" fontId="10" fillId="0" borderId="12" xfId="6" applyNumberFormat="1" applyFont="1" applyFill="1" applyBorder="1" applyAlignment="1">
      <alignment horizontal="center" vertical="center"/>
    </xf>
    <xf numFmtId="4" fontId="10" fillId="0" borderId="12" xfId="6" applyNumberFormat="1" applyFont="1" applyFill="1" applyBorder="1" applyAlignment="1">
      <alignment horizontal="center" vertical="center"/>
    </xf>
    <xf numFmtId="0" fontId="53" fillId="0" borderId="37" xfId="0" applyFont="1" applyFill="1" applyBorder="1" applyAlignment="1">
      <alignment horizontal="center" vertical="center"/>
    </xf>
    <xf numFmtId="4" fontId="3" fillId="0" borderId="12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0" fillId="0" borderId="32" xfId="6" applyFont="1" applyFill="1" applyBorder="1" applyAlignment="1">
      <alignment horizontal="center"/>
    </xf>
    <xf numFmtId="0" fontId="10" fillId="0" borderId="46" xfId="2" applyFont="1" applyFill="1" applyBorder="1" applyAlignment="1">
      <alignment horizontal="center"/>
    </xf>
    <xf numFmtId="0" fontId="10" fillId="0" borderId="46" xfId="6" applyFont="1" applyFill="1" applyBorder="1" applyAlignment="1">
      <alignment horizontal="center"/>
    </xf>
    <xf numFmtId="0" fontId="10" fillId="0" borderId="46" xfId="5" applyFont="1" applyFill="1" applyBorder="1" applyAlignment="1">
      <alignment horizontal="center"/>
    </xf>
    <xf numFmtId="0" fontId="21" fillId="0" borderId="0" xfId="0" applyFont="1" applyFill="1">
      <alignment vertical="center"/>
    </xf>
    <xf numFmtId="0" fontId="16" fillId="0" borderId="0" xfId="6" applyFont="1" applyFill="1">
      <alignment vertical="center"/>
    </xf>
    <xf numFmtId="0" fontId="22" fillId="0" borderId="0" xfId="2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 vertical="center"/>
    </xf>
    <xf numFmtId="14" fontId="22" fillId="0" borderId="0" xfId="2" applyNumberFormat="1" applyFont="1" applyFill="1" applyBorder="1" applyAlignment="1">
      <alignment horizontal="left" vertical="center"/>
    </xf>
    <xf numFmtId="176" fontId="74" fillId="0" borderId="0" xfId="1" applyNumberFormat="1" applyFont="1" applyFill="1" applyBorder="1">
      <alignment vertical="center"/>
    </xf>
    <xf numFmtId="41" fontId="0" fillId="0" borderId="0" xfId="1" applyFont="1" applyFill="1" applyBorder="1">
      <alignment vertical="center"/>
    </xf>
    <xf numFmtId="14" fontId="19" fillId="0" borderId="12" xfId="0" applyNumberFormat="1" applyFont="1" applyFill="1" applyBorder="1" applyAlignment="1">
      <alignment horizontal="center" vertical="center"/>
    </xf>
    <xf numFmtId="14" fontId="74" fillId="0" borderId="12" xfId="0" applyNumberFormat="1" applyFont="1" applyFill="1" applyBorder="1" applyAlignment="1">
      <alignment horizontal="center" vertical="center"/>
    </xf>
    <xf numFmtId="14" fontId="74" fillId="0" borderId="0" xfId="0" applyNumberFormat="1" applyFont="1" applyFill="1" applyBorder="1" applyAlignment="1">
      <alignment horizontal="center" vertical="center"/>
    </xf>
    <xf numFmtId="14" fontId="0" fillId="0" borderId="12" xfId="0" applyNumberFormat="1" applyFill="1" applyBorder="1" applyAlignment="1">
      <alignment horizontal="center" vertical="center"/>
    </xf>
    <xf numFmtId="0" fontId="6" fillId="0" borderId="0" xfId="0" applyFont="1">
      <alignment vertical="center"/>
    </xf>
    <xf numFmtId="0" fontId="85" fillId="0" borderId="12" xfId="2" applyFont="1" applyFill="1" applyBorder="1" applyAlignment="1">
      <alignment horizontal="center"/>
    </xf>
    <xf numFmtId="0" fontId="85" fillId="0" borderId="12" xfId="0" applyFont="1" applyFill="1" applyBorder="1" applyAlignment="1">
      <alignment horizontal="center" vertical="center"/>
    </xf>
    <xf numFmtId="41" fontId="85" fillId="0" borderId="12" xfId="1" applyFont="1" applyFill="1" applyBorder="1" applyAlignment="1">
      <alignment horizontal="center" vertical="center" wrapText="1"/>
    </xf>
    <xf numFmtId="0" fontId="0" fillId="15" borderId="17" xfId="0" applyFont="1" applyFill="1" applyBorder="1" applyAlignment="1">
      <alignment horizontal="center" vertical="center"/>
    </xf>
    <xf numFmtId="0" fontId="0" fillId="15" borderId="28" xfId="0" applyFont="1" applyFill="1" applyBorder="1" applyAlignment="1">
      <alignment horizontal="center" vertical="center"/>
    </xf>
    <xf numFmtId="0" fontId="3" fillId="15" borderId="28" xfId="0" applyFont="1" applyFill="1" applyBorder="1" applyAlignment="1">
      <alignment horizontal="center" vertical="center"/>
    </xf>
    <xf numFmtId="0" fontId="0" fillId="15" borderId="28" xfId="0" applyFill="1" applyBorder="1" applyAlignment="1">
      <alignment horizontal="center" vertical="center"/>
    </xf>
    <xf numFmtId="0" fontId="0" fillId="15" borderId="28" xfId="0" applyNumberFormat="1" applyFont="1" applyFill="1" applyBorder="1" applyAlignment="1">
      <alignment horizontal="center" vertical="center"/>
    </xf>
    <xf numFmtId="176" fontId="0" fillId="15" borderId="28" xfId="1" applyNumberFormat="1" applyFont="1" applyFill="1" applyBorder="1" applyAlignment="1">
      <alignment horizontal="center" vertical="center"/>
    </xf>
    <xf numFmtId="41" fontId="0" fillId="15" borderId="28" xfId="1" applyFont="1" applyFill="1" applyBorder="1" applyAlignment="1">
      <alignment horizontal="center" vertical="center"/>
    </xf>
    <xf numFmtId="0" fontId="9" fillId="15" borderId="12" xfId="0" applyFont="1" applyFill="1" applyBorder="1" applyAlignment="1">
      <alignment horizontal="center" vertical="center"/>
    </xf>
    <xf numFmtId="0" fontId="9" fillId="15" borderId="12" xfId="0" applyNumberFormat="1" applyFont="1" applyFill="1" applyBorder="1" applyAlignment="1">
      <alignment horizontal="center" vertical="center"/>
    </xf>
    <xf numFmtId="176" fontId="9" fillId="15" borderId="12" xfId="1" applyNumberFormat="1" applyFont="1" applyFill="1" applyBorder="1" applyAlignment="1">
      <alignment horizontal="center" vertical="center"/>
    </xf>
    <xf numFmtId="41" fontId="9" fillId="15" borderId="12" xfId="1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15" borderId="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3" xfId="0" applyFont="1" applyFill="1" applyBorder="1" applyAlignment="1">
      <alignment horizontal="center" vertical="center"/>
    </xf>
    <xf numFmtId="0" fontId="0" fillId="15" borderId="0" xfId="0" applyFill="1">
      <alignment vertical="center"/>
    </xf>
    <xf numFmtId="0" fontId="7" fillId="15" borderId="26" xfId="0" applyFont="1" applyFill="1" applyBorder="1" applyAlignment="1">
      <alignment horizontal="center" vertical="center"/>
    </xf>
    <xf numFmtId="0" fontId="7" fillId="15" borderId="17" xfId="0" applyFont="1" applyFill="1" applyBorder="1" applyAlignment="1">
      <alignment horizontal="center" vertical="center"/>
    </xf>
    <xf numFmtId="0" fontId="8" fillId="15" borderId="17" xfId="0" applyNumberFormat="1" applyFont="1" applyFill="1" applyBorder="1" applyAlignment="1">
      <alignment horizontal="center" vertical="center"/>
    </xf>
    <xf numFmtId="176" fontId="8" fillId="15" borderId="17" xfId="1" applyNumberFormat="1" applyFont="1" applyFill="1" applyBorder="1" applyAlignment="1">
      <alignment horizontal="center" vertical="center"/>
    </xf>
    <xf numFmtId="41" fontId="8" fillId="15" borderId="17" xfId="1" applyFont="1" applyFill="1" applyBorder="1" applyAlignment="1">
      <alignment horizontal="center" vertical="center"/>
    </xf>
    <xf numFmtId="41" fontId="8" fillId="15" borderId="27" xfId="1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center" vertical="center"/>
    </xf>
    <xf numFmtId="0" fontId="3" fillId="15" borderId="12" xfId="0" applyNumberFormat="1" applyFont="1" applyFill="1" applyBorder="1" applyAlignment="1">
      <alignment horizontal="center" vertical="center"/>
    </xf>
    <xf numFmtId="176" fontId="3" fillId="15" borderId="12" xfId="1" applyNumberFormat="1" applyFont="1" applyFill="1" applyBorder="1" applyAlignment="1">
      <alignment horizontal="center" vertical="center"/>
    </xf>
    <xf numFmtId="41" fontId="3" fillId="15" borderId="12" xfId="1" applyFont="1" applyFill="1" applyBorder="1" applyAlignment="1">
      <alignment horizontal="center" vertical="center"/>
    </xf>
    <xf numFmtId="0" fontId="3" fillId="15" borderId="0" xfId="0" applyFont="1" applyFill="1">
      <alignment vertical="center"/>
    </xf>
    <xf numFmtId="0" fontId="73" fillId="15" borderId="0" xfId="0" applyFont="1" applyFill="1">
      <alignment vertical="center"/>
    </xf>
    <xf numFmtId="14" fontId="49" fillId="0" borderId="12" xfId="0" applyNumberFormat="1" applyFont="1" applyFill="1" applyBorder="1" applyAlignment="1">
      <alignment horizontal="center" vertical="center"/>
    </xf>
    <xf numFmtId="180" fontId="49" fillId="0" borderId="12" xfId="1" applyNumberFormat="1" applyFont="1" applyFill="1" applyBorder="1" applyAlignment="1">
      <alignment horizontal="center" vertical="center"/>
    </xf>
    <xf numFmtId="0" fontId="7" fillId="15" borderId="12" xfId="0" applyFont="1" applyFill="1" applyBorder="1" applyAlignment="1">
      <alignment horizontal="center" vertical="center"/>
    </xf>
    <xf numFmtId="0" fontId="8" fillId="15" borderId="12" xfId="0" applyNumberFormat="1" applyFont="1" applyFill="1" applyBorder="1" applyAlignment="1">
      <alignment horizontal="center" vertical="center"/>
    </xf>
    <xf numFmtId="176" fontId="8" fillId="15" borderId="12" xfId="1" applyNumberFormat="1" applyFont="1" applyFill="1" applyBorder="1" applyAlignment="1">
      <alignment horizontal="center" vertical="center"/>
    </xf>
    <xf numFmtId="41" fontId="8" fillId="15" borderId="12" xfId="1" applyFont="1" applyFill="1" applyBorder="1" applyAlignment="1">
      <alignment horizontal="center" vertical="center"/>
    </xf>
    <xf numFmtId="180" fontId="49" fillId="0" borderId="12" xfId="6" applyNumberFormat="1" applyFont="1" applyFill="1" applyBorder="1" applyAlignment="1">
      <alignment horizontal="center" vertical="center"/>
    </xf>
    <xf numFmtId="0" fontId="72" fillId="0" borderId="12" xfId="0" applyFont="1" applyFill="1" applyBorder="1" applyAlignment="1">
      <alignment horizontal="center" vertical="center"/>
    </xf>
    <xf numFmtId="0" fontId="84" fillId="0" borderId="12" xfId="0" applyFont="1" applyFill="1" applyBorder="1" applyAlignment="1">
      <alignment horizontal="center" vertical="center"/>
    </xf>
    <xf numFmtId="0" fontId="84" fillId="0" borderId="12" xfId="0" applyFont="1" applyFill="1" applyBorder="1">
      <alignment vertical="center"/>
    </xf>
    <xf numFmtId="0" fontId="7" fillId="15" borderId="23" xfId="0" applyFont="1" applyFill="1" applyBorder="1" applyAlignment="1">
      <alignment horizontal="center" vertical="center"/>
    </xf>
    <xf numFmtId="0" fontId="7" fillId="15" borderId="24" xfId="0" applyFont="1" applyFill="1" applyBorder="1" applyAlignment="1">
      <alignment horizontal="center" vertical="center"/>
    </xf>
    <xf numFmtId="0" fontId="7" fillId="15" borderId="24" xfId="0" applyNumberFormat="1" applyFont="1" applyFill="1" applyBorder="1" applyAlignment="1">
      <alignment horizontal="center" vertical="center"/>
    </xf>
    <xf numFmtId="176" fontId="7" fillId="15" borderId="24" xfId="1" applyNumberFormat="1" applyFont="1" applyFill="1" applyBorder="1" applyAlignment="1">
      <alignment horizontal="center" vertical="center"/>
    </xf>
    <xf numFmtId="41" fontId="7" fillId="15" borderId="24" xfId="1" applyFont="1" applyFill="1" applyBorder="1" applyAlignment="1">
      <alignment horizontal="center" vertical="center"/>
    </xf>
    <xf numFmtId="41" fontId="7" fillId="15" borderId="25" xfId="1" applyFont="1" applyFill="1" applyBorder="1" applyAlignment="1">
      <alignment horizontal="center" vertical="center"/>
    </xf>
    <xf numFmtId="41" fontId="7" fillId="15" borderId="3" xfId="1" applyFont="1" applyFill="1" applyBorder="1" applyAlignment="1">
      <alignment horizontal="center" vertical="center"/>
    </xf>
    <xf numFmtId="0" fontId="6" fillId="15" borderId="45" xfId="0" applyFont="1" applyFill="1" applyBorder="1" applyAlignment="1">
      <alignment horizontal="center" vertical="center"/>
    </xf>
    <xf numFmtId="0" fontId="6" fillId="15" borderId="39" xfId="0" applyFont="1" applyFill="1" applyBorder="1" applyAlignment="1">
      <alignment horizontal="center" vertical="center"/>
    </xf>
    <xf numFmtId="0" fontId="6" fillId="15" borderId="10" xfId="0" applyFont="1" applyFill="1" applyBorder="1" applyAlignment="1">
      <alignment horizontal="center" vertical="center"/>
    </xf>
    <xf numFmtId="0" fontId="6" fillId="15" borderId="10" xfId="0" applyNumberFormat="1" applyFont="1" applyFill="1" applyBorder="1" applyAlignment="1">
      <alignment horizontal="center" vertical="center"/>
    </xf>
    <xf numFmtId="176" fontId="6" fillId="15" borderId="10" xfId="1" applyNumberFormat="1" applyFont="1" applyFill="1" applyBorder="1" applyAlignment="1">
      <alignment horizontal="center" vertical="center"/>
    </xf>
    <xf numFmtId="41" fontId="6" fillId="15" borderId="10" xfId="1" applyFont="1" applyFill="1" applyBorder="1" applyAlignment="1">
      <alignment horizontal="center" vertical="center"/>
    </xf>
    <xf numFmtId="41" fontId="6" fillId="15" borderId="22" xfId="1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76" fillId="5" borderId="12" xfId="0" applyFont="1" applyFill="1" applyBorder="1" applyAlignment="1">
      <alignment horizontal="center" vertical="center"/>
    </xf>
    <xf numFmtId="0" fontId="77" fillId="5" borderId="12" xfId="0" applyNumberFormat="1" applyFont="1" applyFill="1" applyBorder="1" applyAlignment="1">
      <alignment horizontal="center" vertical="center"/>
    </xf>
    <xf numFmtId="176" fontId="77" fillId="5" borderId="12" xfId="4" applyNumberFormat="1" applyFont="1" applyFill="1" applyBorder="1" applyAlignment="1">
      <alignment horizontal="center" vertical="center"/>
    </xf>
    <xf numFmtId="178" fontId="77" fillId="5" borderId="12" xfId="4" applyFont="1" applyFill="1" applyBorder="1" applyAlignment="1">
      <alignment horizontal="center" vertical="center"/>
    </xf>
    <xf numFmtId="0" fontId="78" fillId="0" borderId="0" xfId="0" applyFont="1" applyFill="1" applyAlignment="1">
      <alignment horizontal="center" vertical="center"/>
    </xf>
    <xf numFmtId="0" fontId="76" fillId="15" borderId="12" xfId="0" applyFont="1" applyFill="1" applyBorder="1" applyAlignment="1">
      <alignment horizontal="center" vertical="center"/>
    </xf>
    <xf numFmtId="0" fontId="77" fillId="15" borderId="12" xfId="0" applyNumberFormat="1" applyFont="1" applyFill="1" applyBorder="1" applyAlignment="1">
      <alignment horizontal="center" vertical="center"/>
    </xf>
    <xf numFmtId="176" fontId="77" fillId="15" borderId="12" xfId="4" applyNumberFormat="1" applyFont="1" applyFill="1" applyBorder="1" applyAlignment="1">
      <alignment horizontal="center" vertical="center"/>
    </xf>
    <xf numFmtId="178" fontId="77" fillId="15" borderId="12" xfId="4" applyFont="1" applyFill="1" applyBorder="1" applyAlignment="1">
      <alignment horizontal="center" vertical="center"/>
    </xf>
    <xf numFmtId="0" fontId="83" fillId="0" borderId="12" xfId="0" applyFont="1" applyBorder="1" applyAlignment="1">
      <alignment horizontal="center" vertical="center"/>
    </xf>
    <xf numFmtId="0" fontId="6" fillId="15" borderId="12" xfId="0" applyFont="1" applyFill="1" applyBorder="1" applyAlignment="1">
      <alignment horizontal="center" vertical="center"/>
    </xf>
    <xf numFmtId="0" fontId="6" fillId="15" borderId="12" xfId="0" applyNumberFormat="1" applyFont="1" applyFill="1" applyBorder="1" applyAlignment="1">
      <alignment horizontal="center" vertical="center"/>
    </xf>
    <xf numFmtId="176" fontId="6" fillId="15" borderId="12" xfId="1" applyNumberFormat="1" applyFont="1" applyFill="1" applyBorder="1" applyAlignment="1">
      <alignment horizontal="center" vertical="center"/>
    </xf>
    <xf numFmtId="41" fontId="6" fillId="15" borderId="12" xfId="1" applyFont="1" applyFill="1" applyBorder="1" applyAlignment="1">
      <alignment horizontal="center" vertical="center"/>
    </xf>
    <xf numFmtId="0" fontId="67" fillId="0" borderId="42" xfId="0" applyFont="1" applyFill="1" applyBorder="1" applyAlignment="1">
      <alignment horizontal="center" vertical="center"/>
    </xf>
    <xf numFmtId="0" fontId="26" fillId="5" borderId="12" xfId="0" applyFont="1" applyFill="1" applyBorder="1" applyAlignment="1">
      <alignment horizontal="center" vertical="center"/>
    </xf>
    <xf numFmtId="0" fontId="26" fillId="5" borderId="12" xfId="0" applyNumberFormat="1" applyFont="1" applyFill="1" applyBorder="1" applyAlignment="1">
      <alignment horizontal="center" vertical="center"/>
    </xf>
    <xf numFmtId="176" fontId="26" fillId="5" borderId="12" xfId="1" applyNumberFormat="1" applyFont="1" applyFill="1" applyBorder="1" applyAlignment="1">
      <alignment horizontal="center" vertical="center"/>
    </xf>
    <xf numFmtId="41" fontId="26" fillId="5" borderId="12" xfId="1" applyFont="1" applyFill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0" fontId="6" fillId="15" borderId="23" xfId="0" applyFont="1" applyFill="1" applyBorder="1" applyAlignment="1">
      <alignment horizontal="center" vertical="center"/>
    </xf>
    <xf numFmtId="0" fontId="6" fillId="15" borderId="24" xfId="0" applyFont="1" applyFill="1" applyBorder="1" applyAlignment="1">
      <alignment horizontal="center" vertical="center"/>
    </xf>
    <xf numFmtId="0" fontId="6" fillId="15" borderId="24" xfId="0" applyNumberFormat="1" applyFont="1" applyFill="1" applyBorder="1" applyAlignment="1">
      <alignment horizontal="center" vertical="center"/>
    </xf>
    <xf numFmtId="176" fontId="6" fillId="15" borderId="24" xfId="1" applyNumberFormat="1" applyFont="1" applyFill="1" applyBorder="1" applyAlignment="1">
      <alignment horizontal="center" vertical="center"/>
    </xf>
    <xf numFmtId="41" fontId="6" fillId="15" borderId="24" xfId="1" applyFont="1" applyFill="1" applyBorder="1" applyAlignment="1">
      <alignment horizontal="center" vertical="center"/>
    </xf>
    <xf numFmtId="41" fontId="6" fillId="15" borderId="25" xfId="1" applyFont="1" applyFill="1" applyBorder="1" applyAlignment="1">
      <alignment horizontal="center" vertical="center"/>
    </xf>
    <xf numFmtId="176" fontId="3" fillId="0" borderId="12" xfId="1" applyNumberFormat="1" applyFont="1" applyFill="1" applyBorder="1" applyAlignment="1">
      <alignment vertical="center"/>
    </xf>
    <xf numFmtId="0" fontId="53" fillId="0" borderId="48" xfId="0" applyFont="1" applyBorder="1" applyAlignment="1">
      <alignment horizontal="center" vertical="center"/>
    </xf>
    <xf numFmtId="176" fontId="10" fillId="0" borderId="12" xfId="6" applyNumberFormat="1" applyFont="1" applyFill="1" applyBorder="1" applyAlignment="1">
      <alignment vertical="center"/>
    </xf>
    <xf numFmtId="49" fontId="10" fillId="0" borderId="12" xfId="6" applyNumberFormat="1" applyFont="1" applyFill="1" applyBorder="1" applyAlignment="1">
      <alignment horizontal="center" vertical="center"/>
    </xf>
    <xf numFmtId="49" fontId="10" fillId="0" borderId="12" xfId="2" applyNumberFormat="1" applyFont="1" applyFill="1" applyBorder="1" applyAlignment="1">
      <alignment horizontal="center" vertical="center"/>
    </xf>
    <xf numFmtId="14" fontId="10" fillId="0" borderId="12" xfId="2" applyNumberFormat="1" applyFont="1" applyFill="1" applyBorder="1" applyAlignment="1">
      <alignment horizontal="left" vertical="center"/>
    </xf>
    <xf numFmtId="0" fontId="3" fillId="0" borderId="35" xfId="0" applyFont="1" applyFill="1" applyBorder="1" applyAlignment="1">
      <alignment vertical="center"/>
    </xf>
    <xf numFmtId="49" fontId="3" fillId="0" borderId="12" xfId="2" applyNumberFormat="1" applyFont="1" applyFill="1" applyBorder="1" applyAlignment="1">
      <alignment horizontal="center" vertical="center"/>
    </xf>
    <xf numFmtId="14" fontId="3" fillId="0" borderId="12" xfId="2" applyNumberFormat="1" applyFont="1" applyFill="1" applyBorder="1" applyAlignment="1">
      <alignment horizontal="left" vertical="center"/>
    </xf>
    <xf numFmtId="14" fontId="3" fillId="0" borderId="12" xfId="2" applyNumberFormat="1" applyFont="1" applyFill="1" applyBorder="1" applyAlignment="1">
      <alignment horizontal="left" vertical="center" wrapText="1"/>
    </xf>
    <xf numFmtId="0" fontId="6" fillId="15" borderId="51" xfId="0" applyFont="1" applyFill="1" applyBorder="1" applyAlignment="1">
      <alignment horizontal="center" vertical="center"/>
    </xf>
    <xf numFmtId="0" fontId="10" fillId="0" borderId="46" xfId="2" applyFont="1" applyFill="1" applyBorder="1" applyAlignment="1">
      <alignment horizontal="center" vertical="center"/>
    </xf>
    <xf numFmtId="0" fontId="10" fillId="0" borderId="46" xfId="6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6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3" fillId="3" borderId="0" xfId="0" applyNumberFormat="1" applyFont="1" applyFill="1" applyBorder="1" applyAlignment="1">
      <alignment horizontal="center" vertical="center"/>
    </xf>
    <xf numFmtId="176" fontId="3" fillId="3" borderId="0" xfId="1" applyNumberFormat="1" applyFont="1" applyFill="1" applyBorder="1" applyAlignment="1">
      <alignment horizontal="center" vertical="center"/>
    </xf>
    <xf numFmtId="41" fontId="3" fillId="3" borderId="0" xfId="1" applyFont="1" applyFill="1" applyBorder="1" applyAlignment="1">
      <alignment horizontal="center" vertical="center"/>
    </xf>
    <xf numFmtId="0" fontId="26" fillId="15" borderId="12" xfId="0" applyFont="1" applyFill="1" applyBorder="1" applyAlignment="1">
      <alignment horizontal="center" vertical="center"/>
    </xf>
    <xf numFmtId="0" fontId="26" fillId="15" borderId="12" xfId="0" applyFont="1" applyFill="1" applyBorder="1" applyAlignment="1">
      <alignment vertical="center"/>
    </xf>
    <xf numFmtId="0" fontId="26" fillId="15" borderId="12" xfId="0" applyNumberFormat="1" applyFont="1" applyFill="1" applyBorder="1" applyAlignment="1">
      <alignment horizontal="center" vertical="center"/>
    </xf>
    <xf numFmtId="176" fontId="26" fillId="15" borderId="12" xfId="1" applyNumberFormat="1" applyFont="1" applyFill="1" applyBorder="1" applyAlignment="1">
      <alignment horizontal="center" vertical="center"/>
    </xf>
    <xf numFmtId="41" fontId="26" fillId="15" borderId="12" xfId="1" applyFont="1" applyFill="1" applyBorder="1" applyAlignment="1">
      <alignment horizontal="center" vertical="center"/>
    </xf>
    <xf numFmtId="49" fontId="21" fillId="0" borderId="12" xfId="0" applyNumberFormat="1" applyFont="1" applyFill="1" applyBorder="1" applyAlignment="1">
      <alignment horizontal="center" vertical="center"/>
    </xf>
    <xf numFmtId="0" fontId="53" fillId="0" borderId="38" xfId="0" applyFont="1" applyFill="1" applyBorder="1" applyAlignment="1">
      <alignment horizontal="center" vertical="center"/>
    </xf>
    <xf numFmtId="0" fontId="6" fillId="15" borderId="0" xfId="0" applyFont="1" applyFill="1" applyBorder="1" applyAlignment="1">
      <alignment horizontal="center" vertical="center"/>
    </xf>
    <xf numFmtId="0" fontId="86" fillId="0" borderId="12" xfId="2" applyFont="1" applyFill="1" applyBorder="1" applyAlignment="1">
      <alignment horizontal="center"/>
    </xf>
    <xf numFmtId="14" fontId="3" fillId="0" borderId="12" xfId="0" applyNumberFormat="1" applyFont="1" applyFill="1" applyBorder="1" applyAlignment="1">
      <alignment horizontal="center" vertical="center"/>
    </xf>
    <xf numFmtId="0" fontId="3" fillId="0" borderId="12" xfId="0" applyFont="1" applyBorder="1">
      <alignment vertical="center"/>
    </xf>
    <xf numFmtId="14" fontId="3" fillId="0" borderId="12" xfId="0" quotePrefix="1" applyNumberFormat="1" applyFont="1" applyFill="1" applyBorder="1" applyAlignment="1">
      <alignment horizontal="center" vertical="center"/>
    </xf>
    <xf numFmtId="0" fontId="18" fillId="15" borderId="24" xfId="0" applyNumberFormat="1" applyFont="1" applyFill="1" applyBorder="1" applyAlignment="1">
      <alignment horizontal="center" vertical="center"/>
    </xf>
    <xf numFmtId="176" fontId="18" fillId="15" borderId="24" xfId="1" applyNumberFormat="1" applyFont="1" applyFill="1" applyBorder="1" applyAlignment="1">
      <alignment horizontal="center" vertical="center"/>
    </xf>
    <xf numFmtId="41" fontId="18" fillId="15" borderId="25" xfId="1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vertical="center" wrapText="1"/>
    </xf>
    <xf numFmtId="0" fontId="16" fillId="0" borderId="12" xfId="2" applyFont="1" applyFill="1" applyBorder="1" applyAlignment="1">
      <alignment vertical="center"/>
    </xf>
    <xf numFmtId="0" fontId="67" fillId="0" borderId="12" xfId="0" applyFont="1" applyFill="1" applyBorder="1" applyAlignment="1">
      <alignment horizontal="center" vertical="center"/>
    </xf>
    <xf numFmtId="0" fontId="16" fillId="0" borderId="12" xfId="6" applyFont="1" applyFill="1" applyBorder="1" applyAlignment="1">
      <alignment vertical="center" wrapText="1"/>
    </xf>
    <xf numFmtId="0" fontId="26" fillId="15" borderId="12" xfId="0" applyFont="1" applyFill="1" applyBorder="1" applyAlignment="1">
      <alignment horizontal="center" vertical="center" wrapText="1"/>
    </xf>
    <xf numFmtId="0" fontId="16" fillId="15" borderId="12" xfId="6" applyFont="1" applyFill="1" applyBorder="1" applyAlignment="1">
      <alignment horizontal="center" vertical="center"/>
    </xf>
    <xf numFmtId="0" fontId="16" fillId="15" borderId="14" xfId="6" applyFont="1" applyFill="1" applyBorder="1" applyAlignment="1">
      <alignment horizontal="center" vertical="center"/>
    </xf>
    <xf numFmtId="0" fontId="16" fillId="15" borderId="14" xfId="6" applyFont="1" applyFill="1" applyBorder="1" applyAlignment="1">
      <alignment vertical="center" wrapText="1"/>
    </xf>
    <xf numFmtId="0" fontId="16" fillId="15" borderId="14" xfId="6" applyFont="1" applyFill="1" applyBorder="1" applyAlignment="1">
      <alignment vertical="center"/>
    </xf>
    <xf numFmtId="2" fontId="16" fillId="15" borderId="12" xfId="6" applyNumberFormat="1" applyFont="1" applyFill="1" applyBorder="1" applyAlignment="1">
      <alignment horizontal="center" vertical="center"/>
    </xf>
    <xf numFmtId="0" fontId="16" fillId="15" borderId="12" xfId="6" applyFont="1" applyFill="1" applyBorder="1" applyAlignment="1">
      <alignment horizontal="right" vertical="center"/>
    </xf>
    <xf numFmtId="41" fontId="16" fillId="15" borderId="12" xfId="6" applyNumberFormat="1" applyFont="1" applyFill="1" applyBorder="1" applyAlignment="1">
      <alignment horizontal="right" vertical="center"/>
    </xf>
    <xf numFmtId="0" fontId="3" fillId="15" borderId="50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41" fontId="6" fillId="15" borderId="0" xfId="1" applyFont="1" applyFill="1" applyAlignment="1">
      <alignment horizontal="center" vertical="center"/>
    </xf>
    <xf numFmtId="0" fontId="87" fillId="0" borderId="12" xfId="0" applyFont="1" applyFill="1" applyBorder="1" applyAlignment="1">
      <alignment horizontal="center" vertical="center"/>
    </xf>
    <xf numFmtId="0" fontId="49" fillId="0" borderId="38" xfId="6" applyFont="1" applyFill="1" applyBorder="1">
      <alignment vertical="center"/>
    </xf>
    <xf numFmtId="0" fontId="3" fillId="0" borderId="47" xfId="0" applyFont="1" applyBorder="1">
      <alignment vertical="center"/>
    </xf>
    <xf numFmtId="0" fontId="0" fillId="0" borderId="34" xfId="0" applyFill="1" applyBorder="1" applyAlignment="1">
      <alignment horizontal="center" vertical="center"/>
    </xf>
    <xf numFmtId="0" fontId="16" fillId="0" borderId="12" xfId="2" applyNumberFormat="1" applyFont="1" applyFill="1" applyBorder="1" applyAlignment="1">
      <alignment horizontal="center"/>
    </xf>
    <xf numFmtId="0" fontId="81" fillId="16" borderId="52" xfId="0" applyFont="1" applyFill="1" applyBorder="1" applyAlignment="1">
      <alignment horizontal="center" vertical="center"/>
    </xf>
    <xf numFmtId="0" fontId="79" fillId="16" borderId="52" xfId="0" applyFont="1" applyFill="1" applyBorder="1" applyAlignment="1">
      <alignment horizontal="center" vertical="center"/>
    </xf>
    <xf numFmtId="0" fontId="72" fillId="0" borderId="12" xfId="0" quotePrefix="1" applyFont="1" applyFill="1" applyBorder="1" applyAlignment="1">
      <alignment horizontal="center" vertical="center"/>
    </xf>
    <xf numFmtId="3" fontId="10" fillId="0" borderId="12" xfId="0" applyNumberFormat="1" applyFont="1" applyFill="1" applyBorder="1" applyAlignment="1">
      <alignment horizontal="center" vertical="center"/>
    </xf>
    <xf numFmtId="0" fontId="53" fillId="0" borderId="48" xfId="0" applyFont="1" applyBorder="1" applyAlignment="1">
      <alignment vertical="center"/>
    </xf>
    <xf numFmtId="0" fontId="10" fillId="0" borderId="12" xfId="2" applyNumberFormat="1" applyFont="1" applyFill="1" applyBorder="1" applyAlignment="1">
      <alignment horizontal="center"/>
    </xf>
    <xf numFmtId="0" fontId="10" fillId="0" borderId="12" xfId="6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2" fontId="10" fillId="0" borderId="0" xfId="0" applyNumberFormat="1" applyFont="1" applyFill="1" applyBorder="1" applyAlignment="1">
      <alignment horizontal="center" vertical="center"/>
    </xf>
    <xf numFmtId="41" fontId="10" fillId="0" borderId="0" xfId="1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3" fillId="6" borderId="47" xfId="0" applyFont="1" applyFill="1" applyBorder="1">
      <alignment vertical="center"/>
    </xf>
    <xf numFmtId="0" fontId="68" fillId="0" borderId="12" xfId="0" applyFont="1" applyFill="1" applyBorder="1">
      <alignment vertical="center"/>
    </xf>
    <xf numFmtId="0" fontId="3" fillId="5" borderId="45" xfId="5" applyFont="1" applyFill="1" applyBorder="1" applyAlignment="1">
      <alignment horizontal="center" vertical="center"/>
    </xf>
    <xf numFmtId="0" fontId="3" fillId="5" borderId="46" xfId="2" applyFont="1" applyFill="1" applyBorder="1" applyAlignment="1">
      <alignment horizontal="center"/>
    </xf>
    <xf numFmtId="0" fontId="3" fillId="5" borderId="12" xfId="2" applyFont="1" applyFill="1" applyBorder="1" applyAlignment="1">
      <alignment horizontal="center"/>
    </xf>
    <xf numFmtId="0" fontId="53" fillId="5" borderId="42" xfId="0" applyFont="1" applyFill="1" applyBorder="1" applyAlignment="1">
      <alignment horizontal="center" vertical="center"/>
    </xf>
    <xf numFmtId="14" fontId="3" fillId="5" borderId="12" xfId="2" applyNumberFormat="1" applyFont="1" applyFill="1" applyBorder="1" applyAlignment="1">
      <alignment horizontal="center" vertical="center"/>
    </xf>
    <xf numFmtId="2" fontId="3" fillId="5" borderId="12" xfId="0" applyNumberFormat="1" applyFont="1" applyFill="1" applyBorder="1" applyAlignment="1">
      <alignment horizontal="center" vertical="center"/>
    </xf>
    <xf numFmtId="176" fontId="3" fillId="5" borderId="12" xfId="1" applyNumberFormat="1" applyFont="1" applyFill="1" applyBorder="1" applyAlignment="1">
      <alignment horizontal="center" vertical="center"/>
    </xf>
    <xf numFmtId="41" fontId="3" fillId="5" borderId="12" xfId="1" applyFont="1" applyFill="1" applyBorder="1" applyAlignment="1">
      <alignment horizontal="center" vertical="center"/>
    </xf>
    <xf numFmtId="0" fontId="3" fillId="0" borderId="47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3" fillId="0" borderId="53" xfId="5" applyFont="1" applyFill="1" applyBorder="1" applyAlignment="1">
      <alignment horizontal="center" vertical="center"/>
    </xf>
    <xf numFmtId="0" fontId="3" fillId="0" borderId="53" xfId="2" quotePrefix="1" applyFont="1" applyFill="1" applyBorder="1" applyAlignment="1">
      <alignment horizontal="center"/>
    </xf>
    <xf numFmtId="0" fontId="3" fillId="0" borderId="53" xfId="2" applyFont="1" applyFill="1" applyBorder="1" applyAlignment="1">
      <alignment horizontal="center"/>
    </xf>
    <xf numFmtId="14" fontId="3" fillId="0" borderId="53" xfId="2" applyNumberFormat="1" applyFont="1" applyFill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2" fontId="3" fillId="0" borderId="53" xfId="0" applyNumberFormat="1" applyFont="1" applyFill="1" applyBorder="1" applyAlignment="1">
      <alignment horizontal="center" vertical="center"/>
    </xf>
    <xf numFmtId="176" fontId="3" fillId="0" borderId="53" xfId="1" applyNumberFormat="1" applyFont="1" applyFill="1" applyBorder="1" applyAlignment="1">
      <alignment horizontal="center" vertical="center"/>
    </xf>
    <xf numFmtId="41" fontId="3" fillId="0" borderId="53" xfId="1" applyFont="1" applyFill="1" applyBorder="1" applyAlignment="1">
      <alignment horizontal="center" vertical="center"/>
    </xf>
    <xf numFmtId="0" fontId="10" fillId="0" borderId="12" xfId="6" applyFont="1" applyFill="1" applyBorder="1" applyAlignment="1">
      <alignment horizontal="left" vertical="center"/>
    </xf>
    <xf numFmtId="14" fontId="10" fillId="6" borderId="12" xfId="2" applyNumberFormat="1" applyFont="1" applyFill="1" applyBorder="1" applyAlignment="1">
      <alignment horizontal="center" vertical="center"/>
    </xf>
    <xf numFmtId="0" fontId="10" fillId="6" borderId="12" xfId="2" applyFont="1" applyFill="1" applyBorder="1" applyAlignment="1">
      <alignment horizontal="center" vertical="center"/>
    </xf>
    <xf numFmtId="0" fontId="88" fillId="0" borderId="48" xfId="0" applyFont="1" applyBorder="1" applyAlignment="1">
      <alignment horizontal="center" vertical="center"/>
    </xf>
    <xf numFmtId="0" fontId="40" fillId="10" borderId="48" xfId="5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0" fillId="10" borderId="12" xfId="5" applyBorder="1" applyAlignment="1">
      <alignment horizontal="center" vertical="center"/>
    </xf>
    <xf numFmtId="0" fontId="40" fillId="10" borderId="31" xfId="5" applyBorder="1" applyAlignment="1">
      <alignment horizontal="center"/>
    </xf>
    <xf numFmtId="0" fontId="40" fillId="10" borderId="12" xfId="5" applyBorder="1" applyAlignment="1">
      <alignment horizontal="center"/>
    </xf>
    <xf numFmtId="0" fontId="40" fillId="10" borderId="12" xfId="5" applyNumberFormat="1" applyBorder="1" applyAlignment="1">
      <alignment horizontal="center" vertical="center"/>
    </xf>
    <xf numFmtId="0" fontId="40" fillId="10" borderId="5" xfId="5" applyBorder="1" applyAlignment="1">
      <alignment horizontal="center"/>
    </xf>
    <xf numFmtId="0" fontId="40" fillId="10" borderId="14" xfId="5" applyNumberFormat="1" applyBorder="1" applyAlignment="1">
      <alignment horizontal="center" vertical="center"/>
    </xf>
    <xf numFmtId="0" fontId="40" fillId="10" borderId="14" xfId="5" applyNumberFormat="1" applyBorder="1" applyAlignment="1">
      <alignment horizontal="left" vertical="center"/>
    </xf>
    <xf numFmtId="176" fontId="40" fillId="10" borderId="12" xfId="5" applyNumberFormat="1" applyBorder="1">
      <alignment vertical="center"/>
    </xf>
    <xf numFmtId="41" fontId="40" fillId="10" borderId="12" xfId="5" applyNumberFormat="1" applyBorder="1" applyAlignment="1">
      <alignment horizontal="center" vertical="center"/>
    </xf>
    <xf numFmtId="41" fontId="40" fillId="10" borderId="13" xfId="5" applyNumberFormat="1" applyBorder="1" applyAlignment="1">
      <alignment horizontal="center" vertical="center"/>
    </xf>
    <xf numFmtId="41" fontId="40" fillId="10" borderId="14" xfId="5" applyNumberFormat="1" applyBorder="1" applyAlignment="1">
      <alignment horizontal="center" vertical="center"/>
    </xf>
    <xf numFmtId="0" fontId="40" fillId="10" borderId="0" xfId="5">
      <alignment vertical="center"/>
    </xf>
    <xf numFmtId="0" fontId="40" fillId="10" borderId="38" xfId="5" applyBorder="1" applyAlignment="1">
      <alignment horizontal="center"/>
    </xf>
    <xf numFmtId="0" fontId="40" fillId="10" borderId="21" xfId="5" applyNumberFormat="1" applyBorder="1" applyAlignment="1">
      <alignment horizontal="center" vertical="center"/>
    </xf>
    <xf numFmtId="4" fontId="40" fillId="10" borderId="14" xfId="5" applyNumberFormat="1" applyBorder="1" applyAlignment="1">
      <alignment vertical="center"/>
    </xf>
    <xf numFmtId="0" fontId="40" fillId="10" borderId="12" xfId="5" applyBorder="1">
      <alignment vertical="center"/>
    </xf>
    <xf numFmtId="176" fontId="40" fillId="10" borderId="12" xfId="5" applyNumberFormat="1" applyBorder="1" applyAlignment="1">
      <alignment horizontal="center" vertical="center"/>
    </xf>
    <xf numFmtId="0" fontId="40" fillId="10" borderId="5" xfId="5" applyNumberFormat="1" applyBorder="1" applyAlignment="1">
      <alignment horizontal="center" vertical="center"/>
    </xf>
    <xf numFmtId="0" fontId="40" fillId="10" borderId="5" xfId="5" applyNumberFormat="1" applyBorder="1" applyAlignment="1">
      <alignment horizontal="left" vertical="center"/>
    </xf>
    <xf numFmtId="24" fontId="40" fillId="10" borderId="12" xfId="5" applyNumberFormat="1" applyBorder="1" applyAlignment="1">
      <alignment horizontal="center" vertical="center"/>
    </xf>
    <xf numFmtId="0" fontId="40" fillId="10" borderId="0" xfId="5" applyBorder="1" applyAlignment="1">
      <alignment horizontal="center" vertical="center"/>
    </xf>
    <xf numFmtId="0" fontId="40" fillId="10" borderId="47" xfId="5" applyBorder="1">
      <alignment vertical="center"/>
    </xf>
    <xf numFmtId="0" fontId="40" fillId="10" borderId="0" xfId="5" applyBorder="1">
      <alignment vertical="center"/>
    </xf>
    <xf numFmtId="14" fontId="49" fillId="0" borderId="12" xfId="6" quotePrefix="1" applyNumberFormat="1" applyFont="1" applyFill="1" applyBorder="1" applyAlignment="1">
      <alignment horizontal="center" vertical="center"/>
    </xf>
    <xf numFmtId="41" fontId="32" fillId="0" borderId="12" xfId="1" applyFont="1" applyFill="1" applyBorder="1" applyAlignment="1">
      <alignment horizontal="center" vertical="center"/>
    </xf>
    <xf numFmtId="0" fontId="10" fillId="0" borderId="12" xfId="6" applyFont="1" applyFill="1" applyBorder="1" applyAlignment="1">
      <alignment horizontal="left" vertical="center"/>
    </xf>
    <xf numFmtId="0" fontId="10" fillId="0" borderId="12" xfId="5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15" borderId="2" xfId="0" applyFont="1" applyFill="1" applyBorder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10" fillId="0" borderId="6" xfId="6" applyFont="1" applyFill="1" applyBorder="1" applyAlignment="1">
      <alignment horizontal="left" vertical="center"/>
    </xf>
    <xf numFmtId="0" fontId="10" fillId="0" borderId="29" xfId="6" applyFont="1" applyFill="1" applyBorder="1" applyAlignment="1">
      <alignment horizontal="left" vertical="center"/>
    </xf>
    <xf numFmtId="0" fontId="10" fillId="0" borderId="30" xfId="6" applyFont="1" applyFill="1" applyBorder="1" applyAlignment="1">
      <alignment horizontal="left" vertical="center"/>
    </xf>
    <xf numFmtId="41" fontId="28" fillId="0" borderId="12" xfId="1" applyFont="1" applyFill="1" applyBorder="1" applyAlignment="1">
      <alignment horizontal="center" vertical="center" wrapText="1"/>
    </xf>
    <xf numFmtId="0" fontId="29" fillId="0" borderId="17" xfId="0" applyFont="1" applyFill="1" applyBorder="1" applyAlignment="1">
      <alignment horizontal="center" vertical="center" wrapText="1"/>
    </xf>
    <xf numFmtId="0" fontId="29" fillId="0" borderId="5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41" fontId="28" fillId="0" borderId="17" xfId="1" applyFont="1" applyFill="1" applyBorder="1" applyAlignment="1">
      <alignment horizontal="center" vertical="center" wrapText="1"/>
    </xf>
    <xf numFmtId="41" fontId="28" fillId="0" borderId="5" xfId="1" applyFont="1" applyFill="1" applyBorder="1" applyAlignment="1">
      <alignment horizontal="center" vertical="center" wrapText="1"/>
    </xf>
    <xf numFmtId="0" fontId="28" fillId="0" borderId="17" xfId="0" applyFont="1" applyFill="1" applyBorder="1" applyAlignment="1">
      <alignment horizontal="center" vertical="center" wrapText="1"/>
    </xf>
    <xf numFmtId="0" fontId="28" fillId="0" borderId="5" xfId="0" applyFont="1" applyFill="1" applyBorder="1" applyAlignment="1">
      <alignment horizontal="center" vertical="center" wrapText="1"/>
    </xf>
    <xf numFmtId="0" fontId="28" fillId="2" borderId="12" xfId="0" applyFont="1" applyFill="1" applyBorder="1" applyAlignment="1">
      <alignment horizontal="center" vertical="center"/>
    </xf>
    <xf numFmtId="0" fontId="28" fillId="4" borderId="35" xfId="0" applyFont="1" applyFill="1" applyBorder="1" applyAlignment="1">
      <alignment horizontal="center" vertical="center"/>
    </xf>
    <xf numFmtId="0" fontId="28" fillId="5" borderId="17" xfId="0" applyFont="1" applyFill="1" applyBorder="1" applyAlignment="1">
      <alignment horizontal="center" vertical="center" wrapText="1"/>
    </xf>
    <xf numFmtId="0" fontId="28" fillId="5" borderId="5" xfId="0" applyFont="1" applyFill="1" applyBorder="1" applyAlignment="1">
      <alignment horizontal="center" vertical="center" wrapText="1"/>
    </xf>
    <xf numFmtId="0" fontId="10" fillId="0" borderId="14" xfId="6" applyFont="1" applyFill="1" applyBorder="1" applyAlignment="1">
      <alignment vertical="center"/>
    </xf>
    <xf numFmtId="0" fontId="10" fillId="0" borderId="47" xfId="6" applyFont="1" applyFill="1" applyBorder="1" applyAlignment="1">
      <alignment vertical="center"/>
    </xf>
    <xf numFmtId="0" fontId="10" fillId="0" borderId="31" xfId="6" applyFont="1" applyFill="1" applyBorder="1" applyAlignment="1">
      <alignment vertical="center"/>
    </xf>
  </cellXfs>
  <cellStyles count="9">
    <cellStyle name="경고문" xfId="7" builtinId="11"/>
    <cellStyle name="보통" xfId="6" builtinId="28"/>
    <cellStyle name="쉼표 [0]" xfId="1" builtinId="6"/>
    <cellStyle name="쉼표 [0] 2" xfId="3" xr:uid="{00000000-0005-0000-0000-000003000000}"/>
    <cellStyle name="쉼표 [0] 3" xfId="4" xr:uid="{00000000-0005-0000-0000-000004000000}"/>
    <cellStyle name="좋음" xfId="5" builtinId="26"/>
    <cellStyle name="표준" xfId="0" builtinId="0"/>
    <cellStyle name="표준 2" xfId="2" xr:uid="{00000000-0005-0000-0000-000007000000}"/>
    <cellStyle name="하이퍼링크" xfId="8" builtinId="8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globalai3@hdfund.co.kr" TargetMode="External"/><Relationship Id="rId1" Type="http://schemas.openxmlformats.org/officeDocument/2006/relationships/hyperlink" Target="mailto:yhjin@hdfund.co.kr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52"/>
  <sheetViews>
    <sheetView topLeftCell="A177" workbookViewId="0">
      <selection activeCell="D181" sqref="D181"/>
    </sheetView>
  </sheetViews>
  <sheetFormatPr defaultRowHeight="16.5"/>
  <cols>
    <col min="1" max="1" width="5.25" bestFit="1" customWidth="1"/>
    <col min="2" max="2" width="12.5" style="237" customWidth="1"/>
    <col min="3" max="3" width="13.25" bestFit="1" customWidth="1"/>
    <col min="4" max="4" width="10.25" bestFit="1" customWidth="1"/>
    <col min="5" max="5" width="11.5" bestFit="1" customWidth="1"/>
    <col min="6" max="6" width="15.125" bestFit="1" customWidth="1"/>
    <col min="7" max="7" width="10.25" bestFit="1" customWidth="1"/>
    <col min="8" max="8" width="24.25" hidden="1" customWidth="1"/>
    <col min="9" max="9" width="21.75" hidden="1" customWidth="1"/>
    <col min="10" max="10" width="82.375" style="328" bestFit="1" customWidth="1"/>
  </cols>
  <sheetData>
    <row r="1" spans="1:10" s="237" customFormat="1" ht="17.25">
      <c r="A1" s="237" t="s">
        <v>1648</v>
      </c>
      <c r="B1" s="237" t="s">
        <v>1649</v>
      </c>
      <c r="C1" s="238" t="s">
        <v>0</v>
      </c>
      <c r="D1" s="238" t="s">
        <v>1</v>
      </c>
      <c r="E1" s="238" t="s">
        <v>17</v>
      </c>
      <c r="F1" s="238" t="s">
        <v>2</v>
      </c>
      <c r="G1" s="238" t="s">
        <v>3</v>
      </c>
      <c r="H1" s="238" t="s">
        <v>35</v>
      </c>
      <c r="I1" s="238" t="s">
        <v>35</v>
      </c>
      <c r="J1" s="238" t="s">
        <v>5</v>
      </c>
    </row>
    <row r="2" spans="1:10" ht="17.25">
      <c r="A2">
        <v>1</v>
      </c>
      <c r="B2" s="237">
        <f>D2</f>
        <v>28019</v>
      </c>
      <c r="C2" s="239" t="s">
        <v>79</v>
      </c>
      <c r="D2" s="239">
        <v>28019</v>
      </c>
      <c r="E2" s="241" t="s">
        <v>42</v>
      </c>
      <c r="F2" s="239" t="s">
        <v>10</v>
      </c>
      <c r="G2" s="241" t="s">
        <v>84</v>
      </c>
      <c r="H2" s="259" t="s">
        <v>80</v>
      </c>
      <c r="I2" s="249"/>
      <c r="J2" s="257" t="s">
        <v>1460</v>
      </c>
    </row>
    <row r="3" spans="1:10" ht="17.25">
      <c r="A3">
        <v>2</v>
      </c>
      <c r="B3" s="237">
        <f t="shared" ref="B3:B67" si="0">D3</f>
        <v>28024</v>
      </c>
      <c r="C3" s="239" t="s">
        <v>79</v>
      </c>
      <c r="D3" s="239">
        <v>28024</v>
      </c>
      <c r="E3" s="239" t="s">
        <v>42</v>
      </c>
      <c r="F3" s="239" t="s">
        <v>10</v>
      </c>
      <c r="G3" s="241" t="s">
        <v>23</v>
      </c>
      <c r="H3" s="256" t="s">
        <v>80</v>
      </c>
      <c r="I3" s="249"/>
      <c r="J3" s="264" t="s">
        <v>1468</v>
      </c>
    </row>
    <row r="4" spans="1:10" ht="17.25">
      <c r="A4">
        <v>3</v>
      </c>
      <c r="B4" s="237">
        <f t="shared" si="0"/>
        <v>28025</v>
      </c>
      <c r="C4" s="239" t="s">
        <v>79</v>
      </c>
      <c r="D4" s="239">
        <v>28025</v>
      </c>
      <c r="E4" s="239" t="s">
        <v>42</v>
      </c>
      <c r="F4" s="239" t="s">
        <v>10</v>
      </c>
      <c r="G4" s="241" t="s">
        <v>23</v>
      </c>
      <c r="H4" s="256" t="s">
        <v>80</v>
      </c>
      <c r="I4" s="249"/>
      <c r="J4" s="257" t="s">
        <v>1469</v>
      </c>
    </row>
    <row r="5" spans="1:10" ht="17.25">
      <c r="A5">
        <v>4</v>
      </c>
      <c r="B5" s="237">
        <f t="shared" si="0"/>
        <v>28032</v>
      </c>
      <c r="C5" s="245" t="s">
        <v>79</v>
      </c>
      <c r="D5" s="245">
        <v>28032</v>
      </c>
      <c r="E5" s="245" t="s">
        <v>42</v>
      </c>
      <c r="F5" s="245" t="s">
        <v>10</v>
      </c>
      <c r="G5" s="247" t="s">
        <v>23</v>
      </c>
      <c r="H5" s="265" t="s">
        <v>80</v>
      </c>
      <c r="I5" s="249"/>
      <c r="J5" s="249" t="s">
        <v>1461</v>
      </c>
    </row>
    <row r="6" spans="1:10" ht="17.25">
      <c r="A6">
        <v>5</v>
      </c>
      <c r="B6" s="237">
        <f t="shared" si="0"/>
        <v>28033</v>
      </c>
      <c r="C6" s="239" t="s">
        <v>79</v>
      </c>
      <c r="D6" s="239">
        <v>28033</v>
      </c>
      <c r="E6" s="239" t="s">
        <v>42</v>
      </c>
      <c r="F6" s="239" t="s">
        <v>10</v>
      </c>
      <c r="G6" s="241" t="s">
        <v>28</v>
      </c>
      <c r="H6" s="256" t="s">
        <v>80</v>
      </c>
      <c r="I6" s="249"/>
      <c r="J6" s="264" t="s">
        <v>1467</v>
      </c>
    </row>
    <row r="7" spans="1:10" ht="17.25">
      <c r="A7">
        <v>6</v>
      </c>
      <c r="B7" s="237">
        <f t="shared" si="0"/>
        <v>28035</v>
      </c>
      <c r="C7" s="245" t="s">
        <v>79</v>
      </c>
      <c r="D7" s="245">
        <v>28035</v>
      </c>
      <c r="E7" s="246" t="s">
        <v>42</v>
      </c>
      <c r="F7" s="245" t="s">
        <v>10</v>
      </c>
      <c r="G7" s="247" t="s">
        <v>23</v>
      </c>
      <c r="H7" s="265" t="s">
        <v>81</v>
      </c>
      <c r="I7" s="249"/>
      <c r="J7" s="248" t="s">
        <v>1462</v>
      </c>
    </row>
    <row r="8" spans="1:10" ht="17.25">
      <c r="A8">
        <v>7</v>
      </c>
      <c r="B8" s="237">
        <f t="shared" si="0"/>
        <v>28036</v>
      </c>
      <c r="C8" s="245" t="s">
        <v>79</v>
      </c>
      <c r="D8" s="245">
        <v>28036</v>
      </c>
      <c r="E8" s="245" t="s">
        <v>42</v>
      </c>
      <c r="F8" s="245" t="s">
        <v>10</v>
      </c>
      <c r="G8" s="246" t="s">
        <v>23</v>
      </c>
      <c r="H8" s="248" t="s">
        <v>81</v>
      </c>
      <c r="I8" s="249"/>
      <c r="J8" s="249" t="s">
        <v>1456</v>
      </c>
    </row>
    <row r="9" spans="1:10" ht="17.25">
      <c r="A9">
        <v>8</v>
      </c>
      <c r="B9" s="237">
        <f t="shared" si="0"/>
        <v>28041</v>
      </c>
      <c r="C9" s="245" t="s">
        <v>79</v>
      </c>
      <c r="D9" s="245">
        <v>28041</v>
      </c>
      <c r="E9" s="246" t="s">
        <v>42</v>
      </c>
      <c r="F9" s="245" t="s">
        <v>10</v>
      </c>
      <c r="G9" s="246" t="s">
        <v>23</v>
      </c>
      <c r="H9" s="248" t="s">
        <v>81</v>
      </c>
      <c r="I9" s="249"/>
      <c r="J9" s="249" t="s">
        <v>1458</v>
      </c>
    </row>
    <row r="10" spans="1:10" ht="17.25">
      <c r="A10">
        <v>9</v>
      </c>
      <c r="B10" s="237">
        <f t="shared" si="0"/>
        <v>30202</v>
      </c>
      <c r="C10" s="245" t="s">
        <v>79</v>
      </c>
      <c r="D10" s="245">
        <v>30202</v>
      </c>
      <c r="E10" s="246" t="s">
        <v>42</v>
      </c>
      <c r="F10" s="245" t="s">
        <v>10</v>
      </c>
      <c r="G10" s="247" t="s">
        <v>23</v>
      </c>
      <c r="H10" s="265" t="s">
        <v>81</v>
      </c>
      <c r="I10" s="249"/>
      <c r="J10" s="249" t="s">
        <v>1463</v>
      </c>
    </row>
    <row r="11" spans="1:10" ht="17.25">
      <c r="A11">
        <v>10</v>
      </c>
      <c r="B11" s="237">
        <f t="shared" si="0"/>
        <v>36601</v>
      </c>
      <c r="C11" s="245" t="s">
        <v>79</v>
      </c>
      <c r="D11" s="245">
        <v>36601</v>
      </c>
      <c r="E11" s="245" t="s">
        <v>42</v>
      </c>
      <c r="F11" s="245" t="s">
        <v>10</v>
      </c>
      <c r="G11" s="247" t="s">
        <v>58</v>
      </c>
      <c r="H11" s="265" t="s">
        <v>1426</v>
      </c>
      <c r="I11" s="249"/>
      <c r="J11" s="249" t="s">
        <v>1427</v>
      </c>
    </row>
    <row r="12" spans="1:10" ht="17.25">
      <c r="A12">
        <v>11</v>
      </c>
      <c r="B12" s="237">
        <f t="shared" si="0"/>
        <v>66001</v>
      </c>
      <c r="C12" s="245" t="s">
        <v>79</v>
      </c>
      <c r="D12" s="245">
        <v>66001</v>
      </c>
      <c r="E12" s="246" t="s">
        <v>42</v>
      </c>
      <c r="F12" s="245" t="s">
        <v>10</v>
      </c>
      <c r="G12" s="247" t="s">
        <v>23</v>
      </c>
      <c r="H12" s="265" t="s">
        <v>81</v>
      </c>
      <c r="I12" s="249"/>
      <c r="J12" s="249" t="s">
        <v>1464</v>
      </c>
    </row>
    <row r="13" spans="1:10" ht="17.25">
      <c r="A13">
        <v>12</v>
      </c>
      <c r="B13" s="237">
        <f t="shared" si="0"/>
        <v>66301</v>
      </c>
      <c r="C13" s="239" t="s">
        <v>79</v>
      </c>
      <c r="D13" s="239">
        <v>66301</v>
      </c>
      <c r="E13" s="239" t="s">
        <v>42</v>
      </c>
      <c r="F13" s="239" t="s">
        <v>10</v>
      </c>
      <c r="G13" s="239" t="s">
        <v>23</v>
      </c>
      <c r="H13" s="256" t="s">
        <v>80</v>
      </c>
      <c r="I13" s="249"/>
      <c r="J13" s="256" t="s">
        <v>1453</v>
      </c>
    </row>
    <row r="14" spans="1:10" ht="17.25">
      <c r="A14">
        <v>13</v>
      </c>
      <c r="B14" s="237">
        <f t="shared" si="0"/>
        <v>66311</v>
      </c>
      <c r="C14" s="245" t="s">
        <v>79</v>
      </c>
      <c r="D14" s="245">
        <v>66311</v>
      </c>
      <c r="E14" s="245" t="s">
        <v>42</v>
      </c>
      <c r="F14" s="245" t="s">
        <v>10</v>
      </c>
      <c r="G14" s="247" t="s">
        <v>23</v>
      </c>
      <c r="H14" s="265" t="s">
        <v>81</v>
      </c>
      <c r="I14" s="249"/>
      <c r="J14" s="249" t="s">
        <v>1465</v>
      </c>
    </row>
    <row r="15" spans="1:10" ht="17.25">
      <c r="A15">
        <v>14</v>
      </c>
      <c r="B15" s="237">
        <f t="shared" si="0"/>
        <v>66361</v>
      </c>
      <c r="C15" s="239" t="s">
        <v>79</v>
      </c>
      <c r="D15" s="239">
        <v>66361</v>
      </c>
      <c r="E15" s="242" t="s">
        <v>42</v>
      </c>
      <c r="F15" s="239" t="s">
        <v>10</v>
      </c>
      <c r="G15" s="244" t="s">
        <v>84</v>
      </c>
      <c r="H15" s="259" t="s">
        <v>80</v>
      </c>
      <c r="I15" s="249"/>
      <c r="J15" s="258" t="s">
        <v>1466</v>
      </c>
    </row>
    <row r="16" spans="1:10" ht="17.25">
      <c r="A16">
        <v>15</v>
      </c>
      <c r="B16" s="237">
        <f t="shared" si="0"/>
        <v>66381</v>
      </c>
      <c r="C16" s="245" t="s">
        <v>79</v>
      </c>
      <c r="D16" s="245">
        <v>66381</v>
      </c>
      <c r="E16" s="245" t="s">
        <v>42</v>
      </c>
      <c r="F16" s="245" t="s">
        <v>10</v>
      </c>
      <c r="G16" s="246" t="s">
        <v>23</v>
      </c>
      <c r="H16" s="248" t="s">
        <v>81</v>
      </c>
      <c r="I16" s="249"/>
      <c r="J16" s="249" t="s">
        <v>1457</v>
      </c>
    </row>
    <row r="17" spans="1:10" ht="17.25">
      <c r="A17">
        <v>16</v>
      </c>
      <c r="B17" s="237">
        <f t="shared" si="0"/>
        <v>66391</v>
      </c>
      <c r="C17" s="239" t="s">
        <v>79</v>
      </c>
      <c r="D17" s="239">
        <v>66391</v>
      </c>
      <c r="E17" s="241" t="s">
        <v>42</v>
      </c>
      <c r="F17" s="239" t="s">
        <v>10</v>
      </c>
      <c r="G17" s="241" t="s">
        <v>23</v>
      </c>
      <c r="H17" s="256" t="s">
        <v>81</v>
      </c>
      <c r="I17" s="249"/>
      <c r="J17" s="257" t="s">
        <v>1455</v>
      </c>
    </row>
    <row r="18" spans="1:10" ht="17.25">
      <c r="A18">
        <v>17</v>
      </c>
      <c r="B18" s="237">
        <f t="shared" si="0"/>
        <v>66431</v>
      </c>
      <c r="C18" s="239" t="s">
        <v>79</v>
      </c>
      <c r="D18" s="239">
        <v>66431</v>
      </c>
      <c r="E18" s="241" t="s">
        <v>42</v>
      </c>
      <c r="F18" s="239" t="s">
        <v>10</v>
      </c>
      <c r="G18" s="241" t="s">
        <v>23</v>
      </c>
      <c r="H18" s="256" t="s">
        <v>81</v>
      </c>
      <c r="I18" s="249"/>
      <c r="J18" s="264" t="s">
        <v>1402</v>
      </c>
    </row>
    <row r="19" spans="1:10" ht="17.25">
      <c r="A19">
        <v>18</v>
      </c>
      <c r="B19" s="237">
        <f t="shared" si="0"/>
        <v>66441</v>
      </c>
      <c r="C19" s="245" t="s">
        <v>79</v>
      </c>
      <c r="D19" s="245">
        <v>66441</v>
      </c>
      <c r="E19" s="245" t="s">
        <v>42</v>
      </c>
      <c r="F19" s="245" t="s">
        <v>10</v>
      </c>
      <c r="G19" s="247" t="s">
        <v>23</v>
      </c>
      <c r="H19" s="265" t="s">
        <v>81</v>
      </c>
      <c r="I19" s="249"/>
      <c r="J19" s="253" t="s">
        <v>82</v>
      </c>
    </row>
    <row r="20" spans="1:10" ht="17.25">
      <c r="A20">
        <v>19</v>
      </c>
      <c r="B20" s="237">
        <f t="shared" si="0"/>
        <v>66451</v>
      </c>
      <c r="C20" s="245" t="s">
        <v>79</v>
      </c>
      <c r="D20" s="245">
        <v>66451</v>
      </c>
      <c r="E20" s="245" t="s">
        <v>42</v>
      </c>
      <c r="F20" s="245" t="s">
        <v>10</v>
      </c>
      <c r="G20" s="247" t="s">
        <v>28</v>
      </c>
      <c r="H20" s="265" t="s">
        <v>80</v>
      </c>
      <c r="I20" s="249"/>
      <c r="J20" s="249" t="s">
        <v>85</v>
      </c>
    </row>
    <row r="21" spans="1:10" ht="17.25">
      <c r="A21">
        <v>20</v>
      </c>
      <c r="B21" s="237">
        <f t="shared" si="0"/>
        <v>66471</v>
      </c>
      <c r="C21" s="245" t="s">
        <v>79</v>
      </c>
      <c r="D21" s="245">
        <v>66471</v>
      </c>
      <c r="E21" s="245" t="s">
        <v>42</v>
      </c>
      <c r="F21" s="245" t="s">
        <v>10</v>
      </c>
      <c r="G21" s="247" t="s">
        <v>49</v>
      </c>
      <c r="H21" s="265" t="s">
        <v>81</v>
      </c>
      <c r="I21" s="249"/>
      <c r="J21" s="249" t="s">
        <v>86</v>
      </c>
    </row>
    <row r="22" spans="1:10" ht="17.25">
      <c r="A22">
        <v>21</v>
      </c>
      <c r="B22" s="237">
        <f t="shared" si="0"/>
        <v>66481</v>
      </c>
      <c r="C22" s="245" t="s">
        <v>79</v>
      </c>
      <c r="D22" s="245">
        <v>66481</v>
      </c>
      <c r="E22" s="245" t="s">
        <v>42</v>
      </c>
      <c r="F22" s="245" t="s">
        <v>10</v>
      </c>
      <c r="G22" s="247" t="s">
        <v>49</v>
      </c>
      <c r="H22" s="265" t="s">
        <v>81</v>
      </c>
      <c r="I22" s="249"/>
      <c r="J22" s="249" t="s">
        <v>87</v>
      </c>
    </row>
    <row r="23" spans="1:10" ht="17.25">
      <c r="A23">
        <v>22</v>
      </c>
      <c r="B23" s="237">
        <f t="shared" si="0"/>
        <v>66482</v>
      </c>
      <c r="C23" s="245" t="s">
        <v>79</v>
      </c>
      <c r="D23" s="245">
        <v>66482</v>
      </c>
      <c r="E23" s="245" t="s">
        <v>42</v>
      </c>
      <c r="F23" s="245" t="s">
        <v>10</v>
      </c>
      <c r="G23" s="247" t="s">
        <v>49</v>
      </c>
      <c r="H23" s="248" t="s">
        <v>81</v>
      </c>
      <c r="I23" s="249"/>
      <c r="J23" s="249" t="s">
        <v>88</v>
      </c>
    </row>
    <row r="24" spans="1:10" ht="17.25">
      <c r="A24">
        <v>23</v>
      </c>
      <c r="B24" s="237">
        <f t="shared" si="0"/>
        <v>66491</v>
      </c>
      <c r="C24" s="245" t="s">
        <v>79</v>
      </c>
      <c r="D24" s="245">
        <v>66491</v>
      </c>
      <c r="E24" s="245" t="s">
        <v>42</v>
      </c>
      <c r="F24" s="245" t="s">
        <v>10</v>
      </c>
      <c r="G24" s="247" t="s">
        <v>83</v>
      </c>
      <c r="H24" s="248" t="s">
        <v>81</v>
      </c>
      <c r="I24" s="249"/>
      <c r="J24" s="249" t="s">
        <v>89</v>
      </c>
    </row>
    <row r="25" spans="1:10" ht="17.25">
      <c r="A25">
        <v>24</v>
      </c>
      <c r="B25" s="237">
        <f t="shared" si="0"/>
        <v>66492</v>
      </c>
      <c r="C25" s="239" t="s">
        <v>79</v>
      </c>
      <c r="D25" s="239">
        <v>66492</v>
      </c>
      <c r="E25" s="241" t="s">
        <v>42</v>
      </c>
      <c r="F25" s="239" t="s">
        <v>10</v>
      </c>
      <c r="G25" s="241" t="s">
        <v>83</v>
      </c>
      <c r="H25" s="256" t="s">
        <v>81</v>
      </c>
      <c r="I25" s="249"/>
      <c r="J25" s="257" t="s">
        <v>1459</v>
      </c>
    </row>
    <row r="26" spans="1:10" ht="17.25">
      <c r="A26">
        <v>25</v>
      </c>
      <c r="B26" s="237">
        <f t="shared" si="0"/>
        <v>66501</v>
      </c>
      <c r="C26" s="245" t="s">
        <v>79</v>
      </c>
      <c r="D26" s="245">
        <v>66501</v>
      </c>
      <c r="E26" s="245" t="s">
        <v>42</v>
      </c>
      <c r="F26" s="245" t="s">
        <v>10</v>
      </c>
      <c r="G26" s="247" t="s">
        <v>73</v>
      </c>
      <c r="H26" s="265" t="s">
        <v>1398</v>
      </c>
      <c r="I26" s="249"/>
      <c r="J26" s="249" t="s">
        <v>1400</v>
      </c>
    </row>
    <row r="27" spans="1:10" ht="17.25">
      <c r="A27">
        <v>26</v>
      </c>
      <c r="B27" s="237">
        <f t="shared" si="0"/>
        <v>67101</v>
      </c>
      <c r="C27" s="239" t="s">
        <v>79</v>
      </c>
      <c r="D27" s="239">
        <v>67101</v>
      </c>
      <c r="E27" s="239" t="s">
        <v>42</v>
      </c>
      <c r="F27" s="239" t="s">
        <v>10</v>
      </c>
      <c r="G27" s="241" t="s">
        <v>23</v>
      </c>
      <c r="H27" s="256" t="s">
        <v>81</v>
      </c>
      <c r="I27" s="249"/>
      <c r="J27" s="257" t="s">
        <v>1454</v>
      </c>
    </row>
    <row r="28" spans="1:10" ht="17.25">
      <c r="A28">
        <v>27</v>
      </c>
      <c r="B28" s="237">
        <f t="shared" si="0"/>
        <v>67201</v>
      </c>
      <c r="C28" s="245" t="s">
        <v>79</v>
      </c>
      <c r="D28" s="245">
        <v>67201</v>
      </c>
      <c r="E28" s="246" t="s">
        <v>42</v>
      </c>
      <c r="F28" s="245" t="s">
        <v>10</v>
      </c>
      <c r="G28" s="246" t="s">
        <v>73</v>
      </c>
      <c r="H28" s="265" t="s">
        <v>829</v>
      </c>
      <c r="I28" s="249"/>
      <c r="J28" s="249" t="s">
        <v>830</v>
      </c>
    </row>
    <row r="29" spans="1:10" ht="17.25">
      <c r="A29">
        <v>28</v>
      </c>
      <c r="B29" s="237" t="str">
        <f t="shared" si="0"/>
        <v>18E4</v>
      </c>
      <c r="C29" s="266" t="s">
        <v>1403</v>
      </c>
      <c r="D29" s="267" t="s">
        <v>1411</v>
      </c>
      <c r="E29" s="266" t="s">
        <v>19</v>
      </c>
      <c r="F29" s="268"/>
      <c r="G29" s="269" t="s">
        <v>29</v>
      </c>
      <c r="H29" s="268"/>
      <c r="I29" s="268"/>
      <c r="J29" s="270" t="s">
        <v>1417</v>
      </c>
    </row>
    <row r="30" spans="1:10" ht="17.25">
      <c r="A30">
        <v>29</v>
      </c>
      <c r="B30" s="237" t="str">
        <f t="shared" si="0"/>
        <v>189G</v>
      </c>
      <c r="C30" s="266" t="s">
        <v>1403</v>
      </c>
      <c r="D30" s="266" t="s">
        <v>1410</v>
      </c>
      <c r="E30" s="266" t="s">
        <v>19</v>
      </c>
      <c r="F30" s="268"/>
      <c r="G30" s="269" t="s">
        <v>29</v>
      </c>
      <c r="H30" s="268"/>
      <c r="I30" s="268"/>
      <c r="J30" s="270" t="s">
        <v>1416</v>
      </c>
    </row>
    <row r="31" spans="1:10" ht="17.25">
      <c r="A31">
        <v>30</v>
      </c>
      <c r="B31" s="237" t="str">
        <f t="shared" si="0"/>
        <v>189I</v>
      </c>
      <c r="C31" s="266" t="s">
        <v>1403</v>
      </c>
      <c r="D31" s="266" t="s">
        <v>1409</v>
      </c>
      <c r="E31" s="266" t="s">
        <v>19</v>
      </c>
      <c r="F31" s="268"/>
      <c r="G31" s="269" t="s">
        <v>29</v>
      </c>
      <c r="H31" s="268"/>
      <c r="I31" s="268"/>
      <c r="J31" s="270" t="s">
        <v>1415</v>
      </c>
    </row>
    <row r="32" spans="1:10" ht="17.25">
      <c r="A32">
        <v>31</v>
      </c>
      <c r="B32" s="237" t="str">
        <f t="shared" si="0"/>
        <v>18F7</v>
      </c>
      <c r="C32" s="271" t="s">
        <v>1403</v>
      </c>
      <c r="D32" s="271" t="s">
        <v>1405</v>
      </c>
      <c r="E32" s="271" t="s">
        <v>19</v>
      </c>
      <c r="F32" s="268"/>
      <c r="G32" s="271" t="s">
        <v>29</v>
      </c>
      <c r="H32" s="268"/>
      <c r="I32" s="268"/>
      <c r="J32" s="272" t="s">
        <v>1407</v>
      </c>
    </row>
    <row r="33" spans="1:10" ht="17.25">
      <c r="A33">
        <v>32</v>
      </c>
      <c r="B33" s="237" t="str">
        <f t="shared" si="0"/>
        <v>18I7</v>
      </c>
      <c r="C33" s="271" t="s">
        <v>1403</v>
      </c>
      <c r="D33" s="271" t="s">
        <v>1408</v>
      </c>
      <c r="E33" s="271" t="s">
        <v>19</v>
      </c>
      <c r="F33" s="268"/>
      <c r="G33" s="273" t="s">
        <v>27</v>
      </c>
      <c r="H33" s="268"/>
      <c r="I33" s="268"/>
      <c r="J33" s="268" t="s">
        <v>1414</v>
      </c>
    </row>
    <row r="34" spans="1:10" ht="17.25">
      <c r="A34">
        <v>33</v>
      </c>
      <c r="B34" s="237" t="str">
        <f t="shared" si="0"/>
        <v>18S1</v>
      </c>
      <c r="C34" s="271" t="s">
        <v>1403</v>
      </c>
      <c r="D34" s="274" t="s">
        <v>1446</v>
      </c>
      <c r="E34" s="271" t="s">
        <v>19</v>
      </c>
      <c r="F34" s="268"/>
      <c r="G34" s="273" t="s">
        <v>58</v>
      </c>
      <c r="H34" s="268"/>
      <c r="I34" s="268"/>
      <c r="J34" s="275" t="s">
        <v>1447</v>
      </c>
    </row>
    <row r="35" spans="1:10" ht="17.25">
      <c r="A35">
        <v>34</v>
      </c>
      <c r="B35" s="237" t="str">
        <f t="shared" si="0"/>
        <v>18S6</v>
      </c>
      <c r="C35" s="271" t="s">
        <v>1403</v>
      </c>
      <c r="D35" s="274" t="s">
        <v>1483</v>
      </c>
      <c r="E35" s="271" t="s">
        <v>19</v>
      </c>
      <c r="F35" s="268"/>
      <c r="G35" s="273" t="s">
        <v>73</v>
      </c>
      <c r="H35" s="268"/>
      <c r="I35" s="268"/>
      <c r="J35" s="275" t="s">
        <v>1485</v>
      </c>
    </row>
    <row r="36" spans="1:10" ht="17.25">
      <c r="A36">
        <v>35</v>
      </c>
      <c r="B36" s="237" t="str">
        <f t="shared" si="0"/>
        <v>18S7</v>
      </c>
      <c r="C36" s="266" t="s">
        <v>1403</v>
      </c>
      <c r="D36" s="267" t="s">
        <v>1484</v>
      </c>
      <c r="E36" s="266" t="s">
        <v>19</v>
      </c>
      <c r="F36" s="268"/>
      <c r="G36" s="269" t="s">
        <v>73</v>
      </c>
      <c r="H36" s="268"/>
      <c r="I36" s="268"/>
      <c r="J36" s="270" t="s">
        <v>1486</v>
      </c>
    </row>
    <row r="37" spans="1:10" ht="17.25">
      <c r="A37">
        <v>36</v>
      </c>
      <c r="B37" s="237" t="str">
        <f t="shared" si="0"/>
        <v>18S8</v>
      </c>
      <c r="C37" s="271" t="s">
        <v>1403</v>
      </c>
      <c r="D37" s="274" t="s">
        <v>1489</v>
      </c>
      <c r="E37" s="271" t="s">
        <v>19</v>
      </c>
      <c r="F37" s="268"/>
      <c r="G37" s="273" t="s">
        <v>73</v>
      </c>
      <c r="H37" s="268"/>
      <c r="I37" s="268"/>
      <c r="J37" s="275" t="s">
        <v>1488</v>
      </c>
    </row>
    <row r="38" spans="1:10" ht="17.25">
      <c r="A38">
        <v>37</v>
      </c>
      <c r="B38" s="237" t="str">
        <f t="shared" ref="B38" si="1">D38</f>
        <v>18U8</v>
      </c>
      <c r="C38" s="271" t="s">
        <v>1403</v>
      </c>
      <c r="D38" s="274" t="s">
        <v>1793</v>
      </c>
      <c r="E38" s="271" t="s">
        <v>19</v>
      </c>
      <c r="F38" s="268"/>
      <c r="G38" s="273" t="s">
        <v>58</v>
      </c>
      <c r="H38" s="268"/>
      <c r="I38" s="268"/>
      <c r="J38" s="275" t="s">
        <v>1790</v>
      </c>
    </row>
    <row r="39" spans="1:10" ht="17.25">
      <c r="A39">
        <v>38</v>
      </c>
      <c r="B39" s="237">
        <f t="shared" si="0"/>
        <v>35100</v>
      </c>
      <c r="C39" s="276" t="s">
        <v>648</v>
      </c>
      <c r="D39" s="276">
        <v>35100</v>
      </c>
      <c r="E39" s="276" t="s">
        <v>37</v>
      </c>
      <c r="F39" s="276" t="s">
        <v>10</v>
      </c>
      <c r="G39" s="276" t="s">
        <v>23</v>
      </c>
      <c r="H39" s="277" t="s">
        <v>650</v>
      </c>
      <c r="I39" s="278"/>
      <c r="J39" s="279" t="s">
        <v>651</v>
      </c>
    </row>
    <row r="40" spans="1:10" ht="17.25">
      <c r="A40">
        <v>39</v>
      </c>
      <c r="B40" s="237">
        <f t="shared" si="0"/>
        <v>35101</v>
      </c>
      <c r="C40" s="280" t="s">
        <v>648</v>
      </c>
      <c r="D40" s="280">
        <v>35101</v>
      </c>
      <c r="E40" s="280" t="s">
        <v>37</v>
      </c>
      <c r="F40" s="280" t="s">
        <v>10</v>
      </c>
      <c r="G40" s="281" t="s">
        <v>28</v>
      </c>
      <c r="H40" s="282" t="s">
        <v>650</v>
      </c>
      <c r="I40" s="278"/>
      <c r="J40" s="283" t="s">
        <v>652</v>
      </c>
    </row>
    <row r="41" spans="1:10" ht="17.25">
      <c r="A41">
        <v>40</v>
      </c>
      <c r="B41" s="237">
        <f t="shared" si="0"/>
        <v>35201</v>
      </c>
      <c r="C41" s="280" t="s">
        <v>648</v>
      </c>
      <c r="D41" s="280">
        <v>35201</v>
      </c>
      <c r="E41" s="280" t="s">
        <v>37</v>
      </c>
      <c r="F41" s="280" t="s">
        <v>10</v>
      </c>
      <c r="G41" s="281" t="s">
        <v>28</v>
      </c>
      <c r="H41" s="282" t="s">
        <v>650</v>
      </c>
      <c r="I41" s="278"/>
      <c r="J41" s="283" t="s">
        <v>653</v>
      </c>
    </row>
    <row r="42" spans="1:10" ht="17.25">
      <c r="A42">
        <v>41</v>
      </c>
      <c r="B42" s="237">
        <f t="shared" si="0"/>
        <v>35310</v>
      </c>
      <c r="C42" s="280" t="s">
        <v>648</v>
      </c>
      <c r="D42" s="280">
        <v>35310</v>
      </c>
      <c r="E42" s="280" t="s">
        <v>37</v>
      </c>
      <c r="F42" s="280" t="s">
        <v>10</v>
      </c>
      <c r="G42" s="281" t="s">
        <v>165</v>
      </c>
      <c r="H42" s="282" t="s">
        <v>650</v>
      </c>
      <c r="I42" s="278"/>
      <c r="J42" s="283" t="s">
        <v>654</v>
      </c>
    </row>
    <row r="43" spans="1:10" ht="17.25">
      <c r="A43">
        <v>42</v>
      </c>
      <c r="B43" s="237">
        <f t="shared" si="0"/>
        <v>35600</v>
      </c>
      <c r="C43" s="276" t="s">
        <v>648</v>
      </c>
      <c r="D43" s="276">
        <v>35600</v>
      </c>
      <c r="E43" s="276" t="s">
        <v>37</v>
      </c>
      <c r="F43" s="276" t="s">
        <v>10</v>
      </c>
      <c r="G43" s="276" t="s">
        <v>241</v>
      </c>
      <c r="H43" s="277" t="s">
        <v>650</v>
      </c>
      <c r="I43" s="278"/>
      <c r="J43" s="279" t="s">
        <v>655</v>
      </c>
    </row>
    <row r="44" spans="1:10" ht="17.25">
      <c r="A44">
        <v>43</v>
      </c>
      <c r="B44" s="237">
        <f t="shared" si="0"/>
        <v>35601</v>
      </c>
      <c r="C44" s="280" t="s">
        <v>648</v>
      </c>
      <c r="D44" s="282">
        <v>35601</v>
      </c>
      <c r="E44" s="280" t="s">
        <v>37</v>
      </c>
      <c r="F44" s="280" t="s">
        <v>10</v>
      </c>
      <c r="G44" s="281" t="s">
        <v>165</v>
      </c>
      <c r="H44" s="282" t="s">
        <v>650</v>
      </c>
      <c r="I44" s="278"/>
      <c r="J44" s="283" t="s">
        <v>656</v>
      </c>
    </row>
    <row r="45" spans="1:10" ht="17.25">
      <c r="A45">
        <v>44</v>
      </c>
      <c r="B45" s="237">
        <f t="shared" si="0"/>
        <v>35701</v>
      </c>
      <c r="C45" s="280" t="s">
        <v>648</v>
      </c>
      <c r="D45" s="282">
        <v>35701</v>
      </c>
      <c r="E45" s="280" t="s">
        <v>37</v>
      </c>
      <c r="F45" s="280" t="s">
        <v>10</v>
      </c>
      <c r="G45" s="281" t="s">
        <v>165</v>
      </c>
      <c r="H45" s="282" t="s">
        <v>650</v>
      </c>
      <c r="I45" s="278"/>
      <c r="J45" s="283" t="s">
        <v>657</v>
      </c>
    </row>
    <row r="46" spans="1:10" ht="17.25">
      <c r="A46">
        <v>45</v>
      </c>
      <c r="B46" s="237">
        <f t="shared" si="0"/>
        <v>39100</v>
      </c>
      <c r="C46" s="276" t="s">
        <v>648</v>
      </c>
      <c r="D46" s="276">
        <v>39100</v>
      </c>
      <c r="E46" s="276" t="s">
        <v>37</v>
      </c>
      <c r="F46" s="276" t="s">
        <v>10</v>
      </c>
      <c r="G46" s="284" t="s">
        <v>58</v>
      </c>
      <c r="H46" s="277" t="s">
        <v>650</v>
      </c>
      <c r="I46" s="278"/>
      <c r="J46" s="279" t="s">
        <v>658</v>
      </c>
    </row>
    <row r="47" spans="1:10" ht="17.25">
      <c r="A47">
        <v>46</v>
      </c>
      <c r="B47" s="237">
        <f t="shared" si="0"/>
        <v>40631</v>
      </c>
      <c r="C47" s="276" t="s">
        <v>648</v>
      </c>
      <c r="D47" s="276">
        <v>40631</v>
      </c>
      <c r="E47" s="276" t="s">
        <v>37</v>
      </c>
      <c r="F47" s="276" t="s">
        <v>10</v>
      </c>
      <c r="G47" s="276" t="s">
        <v>31</v>
      </c>
      <c r="H47" s="277" t="s">
        <v>650</v>
      </c>
      <c r="I47" s="278"/>
      <c r="J47" s="279" t="s">
        <v>659</v>
      </c>
    </row>
    <row r="48" spans="1:10" ht="17.25">
      <c r="A48">
        <v>47</v>
      </c>
      <c r="B48" s="237">
        <f t="shared" si="0"/>
        <v>40641</v>
      </c>
      <c r="C48" s="280" t="s">
        <v>648</v>
      </c>
      <c r="D48" s="285">
        <v>40641</v>
      </c>
      <c r="E48" s="280" t="s">
        <v>37</v>
      </c>
      <c r="F48" s="280" t="s">
        <v>10</v>
      </c>
      <c r="G48" s="286" t="s">
        <v>23</v>
      </c>
      <c r="H48" s="282" t="s">
        <v>650</v>
      </c>
      <c r="I48" s="278"/>
      <c r="J48" s="283" t="s">
        <v>660</v>
      </c>
    </row>
    <row r="49" spans="1:10" ht="17.25">
      <c r="A49">
        <v>48</v>
      </c>
      <c r="B49" s="237">
        <f t="shared" si="0"/>
        <v>42402</v>
      </c>
      <c r="C49" s="276" t="s">
        <v>648</v>
      </c>
      <c r="D49" s="287">
        <v>42402</v>
      </c>
      <c r="E49" s="276" t="s">
        <v>37</v>
      </c>
      <c r="F49" s="276" t="s">
        <v>10</v>
      </c>
      <c r="G49" s="288" t="s">
        <v>30</v>
      </c>
      <c r="H49" s="277" t="s">
        <v>650</v>
      </c>
      <c r="I49" s="278"/>
      <c r="J49" s="279" t="s">
        <v>661</v>
      </c>
    </row>
    <row r="50" spans="1:10" ht="17.25">
      <c r="A50">
        <v>49</v>
      </c>
      <c r="B50" s="237">
        <f t="shared" si="0"/>
        <v>42411</v>
      </c>
      <c r="C50" s="276" t="s">
        <v>648</v>
      </c>
      <c r="D50" s="287">
        <v>42411</v>
      </c>
      <c r="E50" s="276" t="s">
        <v>37</v>
      </c>
      <c r="F50" s="276" t="s">
        <v>10</v>
      </c>
      <c r="G50" s="288" t="s">
        <v>30</v>
      </c>
      <c r="H50" s="277" t="s">
        <v>650</v>
      </c>
      <c r="I50" s="278"/>
      <c r="J50" s="279" t="s">
        <v>662</v>
      </c>
    </row>
    <row r="51" spans="1:10" ht="17.25">
      <c r="A51">
        <v>50</v>
      </c>
      <c r="B51" s="237">
        <f t="shared" si="0"/>
        <v>42701</v>
      </c>
      <c r="C51" s="276" t="s">
        <v>648</v>
      </c>
      <c r="D51" s="276">
        <v>42701</v>
      </c>
      <c r="E51" s="276" t="s">
        <v>37</v>
      </c>
      <c r="F51" s="276" t="s">
        <v>10</v>
      </c>
      <c r="G51" s="276" t="s">
        <v>30</v>
      </c>
      <c r="H51" s="277" t="s">
        <v>650</v>
      </c>
      <c r="I51" s="278"/>
      <c r="J51" s="279" t="s">
        <v>663</v>
      </c>
    </row>
    <row r="52" spans="1:10" ht="17.25">
      <c r="A52">
        <v>51</v>
      </c>
      <c r="B52" s="237">
        <f t="shared" si="0"/>
        <v>42710</v>
      </c>
      <c r="C52" s="280" t="s">
        <v>648</v>
      </c>
      <c r="D52" s="282">
        <v>42710</v>
      </c>
      <c r="E52" s="280" t="s">
        <v>37</v>
      </c>
      <c r="F52" s="280" t="s">
        <v>10</v>
      </c>
      <c r="G52" s="281" t="s">
        <v>30</v>
      </c>
      <c r="H52" s="282" t="s">
        <v>650</v>
      </c>
      <c r="I52" s="278"/>
      <c r="J52" s="283" t="s">
        <v>664</v>
      </c>
    </row>
    <row r="53" spans="1:10" ht="17.25">
      <c r="A53">
        <v>52</v>
      </c>
      <c r="B53" s="237">
        <f t="shared" si="0"/>
        <v>42750</v>
      </c>
      <c r="C53" s="280" t="s">
        <v>648</v>
      </c>
      <c r="D53" s="280">
        <v>42750</v>
      </c>
      <c r="E53" s="280" t="s">
        <v>37</v>
      </c>
      <c r="F53" s="280" t="s">
        <v>10</v>
      </c>
      <c r="G53" s="281" t="s">
        <v>58</v>
      </c>
      <c r="H53" s="282" t="s">
        <v>650</v>
      </c>
      <c r="I53" s="278"/>
      <c r="J53" s="283" t="s">
        <v>665</v>
      </c>
    </row>
    <row r="54" spans="1:10" ht="17.25">
      <c r="A54">
        <v>53</v>
      </c>
      <c r="B54" s="237">
        <f t="shared" si="0"/>
        <v>43900</v>
      </c>
      <c r="C54" s="280" t="s">
        <v>648</v>
      </c>
      <c r="D54" s="280">
        <v>43900</v>
      </c>
      <c r="E54" s="280" t="s">
        <v>37</v>
      </c>
      <c r="F54" s="280" t="s">
        <v>10</v>
      </c>
      <c r="G54" s="281" t="s">
        <v>149</v>
      </c>
      <c r="H54" s="282" t="s">
        <v>650</v>
      </c>
      <c r="I54" s="278"/>
      <c r="J54" s="283" t="s">
        <v>666</v>
      </c>
    </row>
    <row r="55" spans="1:10" ht="17.25">
      <c r="A55">
        <v>54</v>
      </c>
      <c r="B55" s="237">
        <f t="shared" si="0"/>
        <v>61101</v>
      </c>
      <c r="C55" s="276" t="s">
        <v>648</v>
      </c>
      <c r="D55" s="276">
        <v>61101</v>
      </c>
      <c r="E55" s="276" t="s">
        <v>42</v>
      </c>
      <c r="F55" s="276" t="s">
        <v>10</v>
      </c>
      <c r="G55" s="276" t="s">
        <v>31</v>
      </c>
      <c r="H55" s="277" t="s">
        <v>650</v>
      </c>
      <c r="I55" s="278"/>
      <c r="J55" s="279" t="s">
        <v>668</v>
      </c>
    </row>
    <row r="56" spans="1:10" ht="17.25">
      <c r="A56">
        <v>55</v>
      </c>
      <c r="B56" s="237">
        <f t="shared" si="0"/>
        <v>62000</v>
      </c>
      <c r="C56" s="276" t="s">
        <v>648</v>
      </c>
      <c r="D56" s="276">
        <v>62000</v>
      </c>
      <c r="E56" s="276" t="s">
        <v>37</v>
      </c>
      <c r="F56" s="276" t="s">
        <v>10</v>
      </c>
      <c r="G56" s="276" t="s">
        <v>31</v>
      </c>
      <c r="H56" s="277" t="s">
        <v>650</v>
      </c>
      <c r="I56" s="278"/>
      <c r="J56" s="279" t="s">
        <v>669</v>
      </c>
    </row>
    <row r="57" spans="1:10" ht="17.25">
      <c r="A57">
        <v>56</v>
      </c>
      <c r="B57" s="237">
        <f t="shared" si="0"/>
        <v>62001</v>
      </c>
      <c r="C57" s="280" t="s">
        <v>648</v>
      </c>
      <c r="D57" s="280">
        <v>62001</v>
      </c>
      <c r="E57" s="280" t="s">
        <v>37</v>
      </c>
      <c r="F57" s="280" t="s">
        <v>10</v>
      </c>
      <c r="G57" s="280" t="s">
        <v>31</v>
      </c>
      <c r="H57" s="282" t="s">
        <v>650</v>
      </c>
      <c r="I57" s="278"/>
      <c r="J57" s="283" t="s">
        <v>670</v>
      </c>
    </row>
    <row r="58" spans="1:10" ht="17.25">
      <c r="A58">
        <v>57</v>
      </c>
      <c r="B58" s="237">
        <f t="shared" si="0"/>
        <v>62002</v>
      </c>
      <c r="C58" s="280" t="s">
        <v>648</v>
      </c>
      <c r="D58" s="280">
        <v>62002</v>
      </c>
      <c r="E58" s="280" t="s">
        <v>37</v>
      </c>
      <c r="F58" s="280" t="s">
        <v>10</v>
      </c>
      <c r="G58" s="280" t="s">
        <v>31</v>
      </c>
      <c r="H58" s="282" t="s">
        <v>650</v>
      </c>
      <c r="I58" s="278"/>
      <c r="J58" s="283" t="s">
        <v>671</v>
      </c>
    </row>
    <row r="59" spans="1:10" ht="17.25">
      <c r="A59">
        <v>58</v>
      </c>
      <c r="B59" s="237">
        <f t="shared" si="0"/>
        <v>62003</v>
      </c>
      <c r="C59" s="280" t="s">
        <v>648</v>
      </c>
      <c r="D59" s="280">
        <v>62003</v>
      </c>
      <c r="E59" s="280" t="s">
        <v>37</v>
      </c>
      <c r="F59" s="280" t="s">
        <v>10</v>
      </c>
      <c r="G59" s="280" t="s">
        <v>31</v>
      </c>
      <c r="H59" s="282" t="s">
        <v>650</v>
      </c>
      <c r="I59" s="278"/>
      <c r="J59" s="283" t="s">
        <v>672</v>
      </c>
    </row>
    <row r="60" spans="1:10" ht="17.25">
      <c r="A60">
        <v>59</v>
      </c>
      <c r="B60" s="237">
        <f t="shared" si="0"/>
        <v>63101</v>
      </c>
      <c r="C60" s="280" t="s">
        <v>648</v>
      </c>
      <c r="D60" s="280">
        <v>63101</v>
      </c>
      <c r="E60" s="280" t="s">
        <v>37</v>
      </c>
      <c r="F60" s="280" t="s">
        <v>10</v>
      </c>
      <c r="G60" s="280" t="s">
        <v>31</v>
      </c>
      <c r="H60" s="282" t="s">
        <v>650</v>
      </c>
      <c r="I60" s="278"/>
      <c r="J60" s="283" t="s">
        <v>673</v>
      </c>
    </row>
    <row r="61" spans="1:10" ht="17.25">
      <c r="A61">
        <v>60</v>
      </c>
      <c r="B61" s="237">
        <f t="shared" si="0"/>
        <v>63301</v>
      </c>
      <c r="C61" s="276" t="s">
        <v>648</v>
      </c>
      <c r="D61" s="276">
        <v>63301</v>
      </c>
      <c r="E61" s="276" t="s">
        <v>37</v>
      </c>
      <c r="F61" s="276" t="s">
        <v>10</v>
      </c>
      <c r="G61" s="276" t="s">
        <v>31</v>
      </c>
      <c r="H61" s="277" t="s">
        <v>650</v>
      </c>
      <c r="I61" s="278"/>
      <c r="J61" s="279" t="s">
        <v>674</v>
      </c>
    </row>
    <row r="62" spans="1:10" ht="17.25">
      <c r="A62">
        <v>61</v>
      </c>
      <c r="B62" s="237">
        <f t="shared" si="0"/>
        <v>63311</v>
      </c>
      <c r="C62" s="280" t="s">
        <v>648</v>
      </c>
      <c r="D62" s="280">
        <v>63311</v>
      </c>
      <c r="E62" s="280" t="s">
        <v>37</v>
      </c>
      <c r="F62" s="280" t="s">
        <v>10</v>
      </c>
      <c r="G62" s="280" t="s">
        <v>31</v>
      </c>
      <c r="H62" s="282" t="s">
        <v>650</v>
      </c>
      <c r="I62" s="278"/>
      <c r="J62" s="283" t="s">
        <v>675</v>
      </c>
    </row>
    <row r="63" spans="1:10" ht="17.25">
      <c r="A63">
        <v>62</v>
      </c>
      <c r="B63" s="237">
        <f t="shared" si="0"/>
        <v>63501</v>
      </c>
      <c r="C63" s="276" t="s">
        <v>648</v>
      </c>
      <c r="D63" s="276">
        <v>63501</v>
      </c>
      <c r="E63" s="276" t="s">
        <v>37</v>
      </c>
      <c r="F63" s="276" t="s">
        <v>10</v>
      </c>
      <c r="G63" s="276" t="s">
        <v>31</v>
      </c>
      <c r="H63" s="277" t="s">
        <v>650</v>
      </c>
      <c r="I63" s="278"/>
      <c r="J63" s="279" t="s">
        <v>676</v>
      </c>
    </row>
    <row r="64" spans="1:10" ht="17.25">
      <c r="A64">
        <v>63</v>
      </c>
      <c r="B64" s="237">
        <f t="shared" si="0"/>
        <v>63511</v>
      </c>
      <c r="C64" s="276" t="s">
        <v>648</v>
      </c>
      <c r="D64" s="276">
        <v>63511</v>
      </c>
      <c r="E64" s="276" t="s">
        <v>37</v>
      </c>
      <c r="F64" s="276" t="s">
        <v>10</v>
      </c>
      <c r="G64" s="276" t="s">
        <v>31</v>
      </c>
      <c r="H64" s="277" t="s">
        <v>650</v>
      </c>
      <c r="I64" s="278"/>
      <c r="J64" s="279" t="s">
        <v>677</v>
      </c>
    </row>
    <row r="65" spans="1:10" ht="17.25">
      <c r="A65">
        <v>64</v>
      </c>
      <c r="B65" s="237">
        <f t="shared" si="0"/>
        <v>63531</v>
      </c>
      <c r="C65" s="276" t="s">
        <v>648</v>
      </c>
      <c r="D65" s="276">
        <v>63531</v>
      </c>
      <c r="E65" s="276" t="s">
        <v>37</v>
      </c>
      <c r="F65" s="276" t="s">
        <v>10</v>
      </c>
      <c r="G65" s="276" t="s">
        <v>31</v>
      </c>
      <c r="H65" s="277" t="s">
        <v>650</v>
      </c>
      <c r="I65" s="278"/>
      <c r="J65" s="279" t="s">
        <v>678</v>
      </c>
    </row>
    <row r="66" spans="1:10" ht="17.25">
      <c r="A66">
        <v>65</v>
      </c>
      <c r="B66" s="237">
        <f t="shared" si="0"/>
        <v>63650</v>
      </c>
      <c r="C66" s="276" t="s">
        <v>648</v>
      </c>
      <c r="D66" s="276">
        <v>63650</v>
      </c>
      <c r="E66" s="276" t="s">
        <v>37</v>
      </c>
      <c r="F66" s="276" t="s">
        <v>10</v>
      </c>
      <c r="G66" s="276" t="s">
        <v>23</v>
      </c>
      <c r="H66" s="277" t="s">
        <v>650</v>
      </c>
      <c r="I66" s="278"/>
      <c r="J66" s="279" t="s">
        <v>679</v>
      </c>
    </row>
    <row r="67" spans="1:10" ht="17.25">
      <c r="A67">
        <v>66</v>
      </c>
      <c r="B67" s="237">
        <f t="shared" si="0"/>
        <v>63751</v>
      </c>
      <c r="C67" s="280" t="s">
        <v>648</v>
      </c>
      <c r="D67" s="280">
        <v>63751</v>
      </c>
      <c r="E67" s="280" t="s">
        <v>37</v>
      </c>
      <c r="F67" s="280" t="s">
        <v>10</v>
      </c>
      <c r="G67" s="280" t="s">
        <v>23</v>
      </c>
      <c r="H67" s="282" t="s">
        <v>650</v>
      </c>
      <c r="I67" s="278"/>
      <c r="J67" s="283" t="s">
        <v>680</v>
      </c>
    </row>
    <row r="68" spans="1:10" ht="17.25">
      <c r="A68">
        <v>67</v>
      </c>
      <c r="B68" s="237">
        <f t="shared" ref="B68:B131" si="2">D68</f>
        <v>64301</v>
      </c>
      <c r="C68" s="280" t="s">
        <v>648</v>
      </c>
      <c r="D68" s="285">
        <v>64301</v>
      </c>
      <c r="E68" s="280" t="s">
        <v>37</v>
      </c>
      <c r="F68" s="280" t="s">
        <v>10</v>
      </c>
      <c r="G68" s="289" t="s">
        <v>28</v>
      </c>
      <c r="H68" s="282" t="s">
        <v>650</v>
      </c>
      <c r="I68" s="278"/>
      <c r="J68" s="283" t="s">
        <v>681</v>
      </c>
    </row>
    <row r="69" spans="1:10" ht="17.25">
      <c r="A69">
        <v>68</v>
      </c>
      <c r="B69" s="237">
        <f t="shared" si="2"/>
        <v>65101</v>
      </c>
      <c r="C69" s="280" t="s">
        <v>648</v>
      </c>
      <c r="D69" s="280">
        <v>65101</v>
      </c>
      <c r="E69" s="280" t="s">
        <v>37</v>
      </c>
      <c r="F69" s="280" t="s">
        <v>10</v>
      </c>
      <c r="G69" s="280" t="s">
        <v>23</v>
      </c>
      <c r="H69" s="282" t="s">
        <v>650</v>
      </c>
      <c r="I69" s="278"/>
      <c r="J69" s="283" t="s">
        <v>682</v>
      </c>
    </row>
    <row r="70" spans="1:10" ht="17.25">
      <c r="A70">
        <v>69</v>
      </c>
      <c r="B70" s="237">
        <f t="shared" si="2"/>
        <v>65201</v>
      </c>
      <c r="C70" s="280" t="s">
        <v>648</v>
      </c>
      <c r="D70" s="280">
        <v>65201</v>
      </c>
      <c r="E70" s="280" t="s">
        <v>37</v>
      </c>
      <c r="F70" s="280" t="s">
        <v>10</v>
      </c>
      <c r="G70" s="280" t="s">
        <v>23</v>
      </c>
      <c r="H70" s="282" t="s">
        <v>650</v>
      </c>
      <c r="I70" s="278"/>
      <c r="J70" s="283" t="s">
        <v>683</v>
      </c>
    </row>
    <row r="71" spans="1:10" ht="17.25">
      <c r="A71">
        <v>70</v>
      </c>
      <c r="B71" s="237">
        <f t="shared" si="2"/>
        <v>67001</v>
      </c>
      <c r="C71" s="276" t="s">
        <v>648</v>
      </c>
      <c r="D71" s="276">
        <v>67001</v>
      </c>
      <c r="E71" s="276" t="s">
        <v>37</v>
      </c>
      <c r="F71" s="276" t="s">
        <v>10</v>
      </c>
      <c r="G71" s="276" t="s">
        <v>49</v>
      </c>
      <c r="H71" s="277" t="s">
        <v>650</v>
      </c>
      <c r="I71" s="278"/>
      <c r="J71" s="279" t="s">
        <v>684</v>
      </c>
    </row>
    <row r="72" spans="1:10" ht="17.25">
      <c r="A72">
        <v>71</v>
      </c>
      <c r="B72" s="237">
        <f t="shared" si="2"/>
        <v>67101</v>
      </c>
      <c r="C72" s="280" t="s">
        <v>648</v>
      </c>
      <c r="D72" s="280">
        <v>67101</v>
      </c>
      <c r="E72" s="280" t="s">
        <v>37</v>
      </c>
      <c r="F72" s="280" t="s">
        <v>10</v>
      </c>
      <c r="G72" s="280" t="s">
        <v>49</v>
      </c>
      <c r="H72" s="282" t="s">
        <v>650</v>
      </c>
      <c r="I72" s="278"/>
      <c r="J72" s="283" t="s">
        <v>685</v>
      </c>
    </row>
    <row r="73" spans="1:10" ht="17.25">
      <c r="A73">
        <v>72</v>
      </c>
      <c r="B73" s="237">
        <f t="shared" si="2"/>
        <v>67301</v>
      </c>
      <c r="C73" s="276" t="s">
        <v>648</v>
      </c>
      <c r="D73" s="276">
        <v>67301</v>
      </c>
      <c r="E73" s="276" t="s">
        <v>37</v>
      </c>
      <c r="F73" s="276" t="s">
        <v>10</v>
      </c>
      <c r="G73" s="276" t="s">
        <v>49</v>
      </c>
      <c r="H73" s="277" t="s">
        <v>650</v>
      </c>
      <c r="I73" s="278"/>
      <c r="J73" s="279" t="s">
        <v>686</v>
      </c>
    </row>
    <row r="74" spans="1:10" ht="17.25">
      <c r="A74">
        <v>73</v>
      </c>
      <c r="B74" s="237">
        <f t="shared" si="2"/>
        <v>68100</v>
      </c>
      <c r="C74" s="276" t="s">
        <v>648</v>
      </c>
      <c r="D74" s="287">
        <v>68100</v>
      </c>
      <c r="E74" s="276" t="s">
        <v>37</v>
      </c>
      <c r="F74" s="276" t="s">
        <v>10</v>
      </c>
      <c r="G74" s="276" t="s">
        <v>31</v>
      </c>
      <c r="H74" s="277" t="s">
        <v>650</v>
      </c>
      <c r="I74" s="278"/>
      <c r="J74" s="279" t="s">
        <v>687</v>
      </c>
    </row>
    <row r="75" spans="1:10" ht="17.25">
      <c r="A75">
        <v>74</v>
      </c>
      <c r="B75" s="237">
        <f t="shared" si="2"/>
        <v>68101</v>
      </c>
      <c r="C75" s="280" t="s">
        <v>648</v>
      </c>
      <c r="D75" s="280">
        <v>68101</v>
      </c>
      <c r="E75" s="280" t="s">
        <v>37</v>
      </c>
      <c r="F75" s="280" t="s">
        <v>10</v>
      </c>
      <c r="G75" s="280" t="s">
        <v>31</v>
      </c>
      <c r="H75" s="282" t="s">
        <v>650</v>
      </c>
      <c r="I75" s="278"/>
      <c r="J75" s="283" t="s">
        <v>688</v>
      </c>
    </row>
    <row r="76" spans="1:10" ht="17.25">
      <c r="A76">
        <v>75</v>
      </c>
      <c r="B76" s="237">
        <f t="shared" si="2"/>
        <v>68201</v>
      </c>
      <c r="C76" s="280" t="s">
        <v>648</v>
      </c>
      <c r="D76" s="280">
        <v>68201</v>
      </c>
      <c r="E76" s="280" t="s">
        <v>37</v>
      </c>
      <c r="F76" s="280" t="s">
        <v>10</v>
      </c>
      <c r="G76" s="280" t="s">
        <v>58</v>
      </c>
      <c r="H76" s="282" t="s">
        <v>650</v>
      </c>
      <c r="I76" s="278"/>
      <c r="J76" s="283" t="s">
        <v>1502</v>
      </c>
    </row>
    <row r="77" spans="1:10" ht="17.25">
      <c r="A77">
        <v>76</v>
      </c>
      <c r="B77" s="237">
        <f t="shared" si="2"/>
        <v>68301</v>
      </c>
      <c r="C77" s="276" t="s">
        <v>648</v>
      </c>
      <c r="D77" s="276">
        <v>68301</v>
      </c>
      <c r="E77" s="276" t="s">
        <v>37</v>
      </c>
      <c r="F77" s="276" t="s">
        <v>10</v>
      </c>
      <c r="G77" s="276" t="s">
        <v>58</v>
      </c>
      <c r="H77" s="277" t="s">
        <v>650</v>
      </c>
      <c r="I77" s="278"/>
      <c r="J77" s="279" t="s">
        <v>1503</v>
      </c>
    </row>
    <row r="78" spans="1:10" ht="17.25">
      <c r="A78">
        <v>77</v>
      </c>
      <c r="B78" s="237">
        <f t="shared" si="2"/>
        <v>69201</v>
      </c>
      <c r="C78" s="276" t="s">
        <v>1500</v>
      </c>
      <c r="D78" s="276">
        <v>69201</v>
      </c>
      <c r="E78" s="276" t="s">
        <v>37</v>
      </c>
      <c r="F78" s="276" t="s">
        <v>34</v>
      </c>
      <c r="G78" s="276" t="s">
        <v>31</v>
      </c>
      <c r="H78" s="277" t="s">
        <v>38</v>
      </c>
      <c r="I78" s="278"/>
      <c r="J78" s="279" t="s">
        <v>689</v>
      </c>
    </row>
    <row r="79" spans="1:10" ht="17.25">
      <c r="A79">
        <v>78</v>
      </c>
      <c r="B79" s="237">
        <f t="shared" si="2"/>
        <v>95364</v>
      </c>
      <c r="C79" s="290" t="s">
        <v>14</v>
      </c>
      <c r="D79" s="290">
        <v>95364</v>
      </c>
      <c r="E79" s="290" t="s">
        <v>19</v>
      </c>
      <c r="F79" s="290" t="s">
        <v>10</v>
      </c>
      <c r="G79" s="290" t="s">
        <v>15</v>
      </c>
      <c r="H79" s="291" t="s">
        <v>20</v>
      </c>
      <c r="I79" s="292"/>
      <c r="J79" s="291" t="s">
        <v>16</v>
      </c>
    </row>
    <row r="80" spans="1:10" ht="17.25">
      <c r="A80">
        <v>79</v>
      </c>
      <c r="B80" s="237">
        <f t="shared" si="2"/>
        <v>95389</v>
      </c>
      <c r="C80" s="290" t="s">
        <v>14</v>
      </c>
      <c r="D80" s="290">
        <v>95389</v>
      </c>
      <c r="E80" s="290" t="s">
        <v>19</v>
      </c>
      <c r="F80" s="290" t="s">
        <v>10</v>
      </c>
      <c r="G80" s="290" t="s">
        <v>15</v>
      </c>
      <c r="H80" s="291" t="s">
        <v>20</v>
      </c>
      <c r="I80" s="292"/>
      <c r="J80" s="291" t="s">
        <v>12</v>
      </c>
    </row>
    <row r="81" spans="1:10" ht="17.25">
      <c r="A81">
        <v>80</v>
      </c>
      <c r="B81" s="237">
        <f t="shared" si="2"/>
        <v>12251</v>
      </c>
      <c r="C81" s="250" t="s">
        <v>1324</v>
      </c>
      <c r="D81" s="250">
        <v>12251</v>
      </c>
      <c r="E81" s="250" t="s">
        <v>37</v>
      </c>
      <c r="F81" s="245" t="s">
        <v>34</v>
      </c>
      <c r="G81" s="250" t="s">
        <v>49</v>
      </c>
      <c r="H81" s="245" t="s">
        <v>592</v>
      </c>
      <c r="I81" s="250" t="s">
        <v>580</v>
      </c>
      <c r="J81" s="251" t="s">
        <v>581</v>
      </c>
    </row>
    <row r="82" spans="1:10" ht="17.25">
      <c r="A82">
        <v>81</v>
      </c>
      <c r="B82" s="237">
        <f t="shared" si="2"/>
        <v>12284</v>
      </c>
      <c r="C82" s="250" t="s">
        <v>1324</v>
      </c>
      <c r="D82" s="250">
        <v>12284</v>
      </c>
      <c r="E82" s="250" t="s">
        <v>37</v>
      </c>
      <c r="F82" s="245" t="s">
        <v>34</v>
      </c>
      <c r="G82" s="250" t="s">
        <v>49</v>
      </c>
      <c r="H82" s="245" t="s">
        <v>592</v>
      </c>
      <c r="I82" s="250" t="s">
        <v>577</v>
      </c>
      <c r="J82" s="251" t="s">
        <v>578</v>
      </c>
    </row>
    <row r="83" spans="1:10" ht="17.25">
      <c r="A83">
        <v>82</v>
      </c>
      <c r="B83" s="237">
        <f t="shared" si="2"/>
        <v>12315</v>
      </c>
      <c r="C83" s="250" t="s">
        <v>1324</v>
      </c>
      <c r="D83" s="250">
        <v>12315</v>
      </c>
      <c r="E83" s="250" t="s">
        <v>37</v>
      </c>
      <c r="F83" s="245" t="s">
        <v>34</v>
      </c>
      <c r="G83" s="250" t="s">
        <v>49</v>
      </c>
      <c r="H83" s="245" t="s">
        <v>592</v>
      </c>
      <c r="I83" s="250" t="s">
        <v>575</v>
      </c>
      <c r="J83" s="251" t="s">
        <v>588</v>
      </c>
    </row>
    <row r="84" spans="1:10" ht="17.25">
      <c r="A84">
        <v>83</v>
      </c>
      <c r="B84" s="237">
        <f t="shared" si="2"/>
        <v>12321</v>
      </c>
      <c r="C84" s="250" t="s">
        <v>1324</v>
      </c>
      <c r="D84" s="250">
        <v>12321</v>
      </c>
      <c r="E84" s="250" t="s">
        <v>37</v>
      </c>
      <c r="F84" s="245" t="s">
        <v>34</v>
      </c>
      <c r="G84" s="250" t="s">
        <v>49</v>
      </c>
      <c r="H84" s="245" t="s">
        <v>592</v>
      </c>
      <c r="I84" s="250" t="s">
        <v>575</v>
      </c>
      <c r="J84" s="251" t="s">
        <v>587</v>
      </c>
    </row>
    <row r="85" spans="1:10" ht="17.25">
      <c r="A85">
        <v>84</v>
      </c>
      <c r="B85" s="237">
        <f t="shared" si="2"/>
        <v>12328</v>
      </c>
      <c r="C85" s="250" t="s">
        <v>1324</v>
      </c>
      <c r="D85" s="250">
        <v>12328</v>
      </c>
      <c r="E85" s="250" t="s">
        <v>37</v>
      </c>
      <c r="F85" s="245" t="s">
        <v>34</v>
      </c>
      <c r="G85" s="250" t="s">
        <v>49</v>
      </c>
      <c r="H85" s="245" t="s">
        <v>592</v>
      </c>
      <c r="I85" s="250" t="s">
        <v>575</v>
      </c>
      <c r="J85" s="251" t="s">
        <v>589</v>
      </c>
    </row>
    <row r="86" spans="1:10" ht="17.25">
      <c r="A86">
        <v>85</v>
      </c>
      <c r="B86" s="237">
        <f t="shared" si="2"/>
        <v>12393</v>
      </c>
      <c r="C86" s="250" t="s">
        <v>1324</v>
      </c>
      <c r="D86" s="250">
        <v>12393</v>
      </c>
      <c r="E86" s="250" t="s">
        <v>33</v>
      </c>
      <c r="F86" s="245" t="s">
        <v>10</v>
      </c>
      <c r="G86" s="250" t="s">
        <v>29</v>
      </c>
      <c r="H86" s="245" t="s">
        <v>318</v>
      </c>
      <c r="I86" s="250" t="s">
        <v>303</v>
      </c>
      <c r="J86" s="251" t="s">
        <v>1327</v>
      </c>
    </row>
    <row r="87" spans="1:10" ht="17.25">
      <c r="A87">
        <v>86</v>
      </c>
      <c r="B87" s="237">
        <f t="shared" si="2"/>
        <v>12427</v>
      </c>
      <c r="C87" s="250" t="s">
        <v>1324</v>
      </c>
      <c r="D87" s="250">
        <v>12427</v>
      </c>
      <c r="E87" s="250" t="s">
        <v>42</v>
      </c>
      <c r="F87" s="245" t="s">
        <v>34</v>
      </c>
      <c r="G87" s="250" t="s">
        <v>49</v>
      </c>
      <c r="H87" s="245" t="s">
        <v>592</v>
      </c>
      <c r="I87" s="250" t="s">
        <v>580</v>
      </c>
      <c r="J87" s="251" t="s">
        <v>582</v>
      </c>
    </row>
    <row r="88" spans="1:10" ht="17.25">
      <c r="A88">
        <v>87</v>
      </c>
      <c r="B88" s="237">
        <f t="shared" si="2"/>
        <v>12433</v>
      </c>
      <c r="C88" s="250" t="s">
        <v>1324</v>
      </c>
      <c r="D88" s="250">
        <v>12433</v>
      </c>
      <c r="E88" s="250" t="s">
        <v>42</v>
      </c>
      <c r="F88" s="245" t="s">
        <v>34</v>
      </c>
      <c r="G88" s="250" t="s">
        <v>83</v>
      </c>
      <c r="H88" s="245" t="s">
        <v>592</v>
      </c>
      <c r="I88" s="250" t="s">
        <v>575</v>
      </c>
      <c r="J88" s="251" t="s">
        <v>576</v>
      </c>
    </row>
    <row r="89" spans="1:10" ht="17.25">
      <c r="A89">
        <v>88</v>
      </c>
      <c r="B89" s="237">
        <f t="shared" si="2"/>
        <v>12470</v>
      </c>
      <c r="C89" s="250" t="s">
        <v>1324</v>
      </c>
      <c r="D89" s="250">
        <v>12470</v>
      </c>
      <c r="E89" s="250" t="s">
        <v>42</v>
      </c>
      <c r="F89" s="245" t="s">
        <v>34</v>
      </c>
      <c r="G89" s="250" t="s">
        <v>83</v>
      </c>
      <c r="H89" s="245" t="s">
        <v>592</v>
      </c>
      <c r="I89" s="250" t="s">
        <v>1451</v>
      </c>
      <c r="J89" s="251" t="s">
        <v>583</v>
      </c>
    </row>
    <row r="90" spans="1:10" ht="17.25">
      <c r="A90">
        <v>89</v>
      </c>
      <c r="B90" s="237">
        <f t="shared" si="2"/>
        <v>12526</v>
      </c>
      <c r="C90" s="250" t="s">
        <v>1324</v>
      </c>
      <c r="D90" s="250">
        <v>12526</v>
      </c>
      <c r="E90" s="250" t="s">
        <v>33</v>
      </c>
      <c r="F90" s="245" t="s">
        <v>34</v>
      </c>
      <c r="G90" s="250" t="s">
        <v>28</v>
      </c>
      <c r="H90" s="245" t="s">
        <v>592</v>
      </c>
      <c r="I90" s="250" t="s">
        <v>1451</v>
      </c>
      <c r="J90" s="251" t="s">
        <v>1331</v>
      </c>
    </row>
    <row r="91" spans="1:10" ht="17.25">
      <c r="A91">
        <v>90</v>
      </c>
      <c r="B91" s="237">
        <f t="shared" si="2"/>
        <v>12574</v>
      </c>
      <c r="C91" s="250" t="s">
        <v>1324</v>
      </c>
      <c r="D91" s="250">
        <v>12574</v>
      </c>
      <c r="E91" s="250" t="s">
        <v>33</v>
      </c>
      <c r="F91" s="245" t="s">
        <v>34</v>
      </c>
      <c r="G91" s="250" t="s">
        <v>868</v>
      </c>
      <c r="H91" s="245" t="s">
        <v>796</v>
      </c>
      <c r="I91" s="250" t="s">
        <v>1451</v>
      </c>
      <c r="J91" s="251" t="s">
        <v>1332</v>
      </c>
    </row>
    <row r="92" spans="1:10" ht="17.25">
      <c r="A92">
        <v>91</v>
      </c>
      <c r="B92" s="237">
        <f t="shared" si="2"/>
        <v>12591</v>
      </c>
      <c r="C92" s="250" t="s">
        <v>1324</v>
      </c>
      <c r="D92" s="250">
        <v>12591</v>
      </c>
      <c r="E92" s="250" t="s">
        <v>274</v>
      </c>
      <c r="F92" s="245" t="s">
        <v>34</v>
      </c>
      <c r="G92" s="250" t="s">
        <v>868</v>
      </c>
      <c r="H92" s="245" t="s">
        <v>796</v>
      </c>
      <c r="I92" s="250" t="s">
        <v>1451</v>
      </c>
      <c r="J92" s="251" t="s">
        <v>1333</v>
      </c>
    </row>
    <row r="93" spans="1:10" ht="17.25">
      <c r="A93">
        <v>92</v>
      </c>
      <c r="B93" s="237">
        <f t="shared" si="2"/>
        <v>13416</v>
      </c>
      <c r="C93" s="245" t="s">
        <v>1324</v>
      </c>
      <c r="D93" s="245">
        <v>13416</v>
      </c>
      <c r="E93" s="245" t="s">
        <v>33</v>
      </c>
      <c r="F93" s="245" t="s">
        <v>10</v>
      </c>
      <c r="G93" s="245" t="s">
        <v>29</v>
      </c>
      <c r="H93" s="245" t="s">
        <v>318</v>
      </c>
      <c r="I93" s="250" t="s">
        <v>303</v>
      </c>
      <c r="J93" s="251" t="s">
        <v>1326</v>
      </c>
    </row>
    <row r="94" spans="1:10" ht="17.25">
      <c r="A94">
        <v>93</v>
      </c>
      <c r="B94" s="237">
        <f t="shared" si="2"/>
        <v>13470</v>
      </c>
      <c r="C94" s="250" t="s">
        <v>1324</v>
      </c>
      <c r="D94" s="250">
        <v>13470</v>
      </c>
      <c r="E94" s="250" t="s">
        <v>33</v>
      </c>
      <c r="F94" s="245" t="s">
        <v>34</v>
      </c>
      <c r="G94" s="250" t="s">
        <v>29</v>
      </c>
      <c r="H94" s="245" t="s">
        <v>796</v>
      </c>
      <c r="I94" s="250" t="s">
        <v>1451</v>
      </c>
      <c r="J94" s="251" t="s">
        <v>835</v>
      </c>
    </row>
    <row r="95" spans="1:10" ht="17.25">
      <c r="A95">
        <v>94</v>
      </c>
      <c r="B95" s="237">
        <f t="shared" si="2"/>
        <v>13490</v>
      </c>
      <c r="C95" s="250" t="s">
        <v>1324</v>
      </c>
      <c r="D95" s="250">
        <v>13490</v>
      </c>
      <c r="E95" s="250" t="s">
        <v>33</v>
      </c>
      <c r="F95" s="245" t="s">
        <v>10</v>
      </c>
      <c r="G95" s="250" t="s">
        <v>165</v>
      </c>
      <c r="H95" s="245" t="s">
        <v>796</v>
      </c>
      <c r="I95" s="250" t="s">
        <v>1451</v>
      </c>
      <c r="J95" s="251" t="s">
        <v>1452</v>
      </c>
    </row>
    <row r="96" spans="1:10" ht="17.25">
      <c r="A96">
        <v>95</v>
      </c>
      <c r="B96" s="237">
        <f t="shared" si="2"/>
        <v>14493</v>
      </c>
      <c r="C96" s="250" t="s">
        <v>1324</v>
      </c>
      <c r="D96" s="250">
        <v>14493</v>
      </c>
      <c r="E96" s="250" t="s">
        <v>33</v>
      </c>
      <c r="F96" s="245" t="s">
        <v>34</v>
      </c>
      <c r="G96" s="250" t="s">
        <v>29</v>
      </c>
      <c r="H96" s="245" t="s">
        <v>592</v>
      </c>
      <c r="I96" s="250"/>
      <c r="J96" s="251" t="s">
        <v>1329</v>
      </c>
    </row>
    <row r="97" spans="1:10" ht="17.25">
      <c r="A97">
        <v>96</v>
      </c>
      <c r="B97" s="237">
        <f t="shared" si="2"/>
        <v>14891</v>
      </c>
      <c r="C97" s="250" t="s">
        <v>1324</v>
      </c>
      <c r="D97" s="250">
        <v>14891</v>
      </c>
      <c r="E97" s="250" t="s">
        <v>274</v>
      </c>
      <c r="F97" s="245" t="s">
        <v>34</v>
      </c>
      <c r="G97" s="250" t="s">
        <v>29</v>
      </c>
      <c r="H97" s="245" t="s">
        <v>796</v>
      </c>
      <c r="I97" s="250"/>
      <c r="J97" s="251" t="s">
        <v>1334</v>
      </c>
    </row>
    <row r="98" spans="1:10" ht="17.25">
      <c r="A98">
        <v>97</v>
      </c>
      <c r="B98" s="237">
        <f t="shared" si="2"/>
        <v>14892</v>
      </c>
      <c r="C98" s="250" t="s">
        <v>1324</v>
      </c>
      <c r="D98" s="250">
        <v>14892</v>
      </c>
      <c r="E98" s="250" t="s">
        <v>274</v>
      </c>
      <c r="F98" s="245" t="s">
        <v>34</v>
      </c>
      <c r="G98" s="250" t="s">
        <v>29</v>
      </c>
      <c r="H98" s="245" t="s">
        <v>796</v>
      </c>
      <c r="I98" s="250"/>
      <c r="J98" s="251" t="s">
        <v>1335</v>
      </c>
    </row>
    <row r="99" spans="1:10" ht="17.25">
      <c r="A99">
        <v>98</v>
      </c>
      <c r="B99" s="237" t="str">
        <f t="shared" si="2"/>
        <v>1C051</v>
      </c>
      <c r="C99" s="250" t="s">
        <v>1324</v>
      </c>
      <c r="D99" s="250" t="s">
        <v>1436</v>
      </c>
      <c r="E99" s="250" t="s">
        <v>19</v>
      </c>
      <c r="F99" s="245" t="s">
        <v>10</v>
      </c>
      <c r="G99" s="250" t="s">
        <v>27</v>
      </c>
      <c r="H99" s="245" t="s">
        <v>1432</v>
      </c>
      <c r="I99" s="250" t="s">
        <v>1433</v>
      </c>
      <c r="J99" s="251" t="s">
        <v>1438</v>
      </c>
    </row>
    <row r="100" spans="1:10" ht="17.25">
      <c r="A100">
        <v>99</v>
      </c>
      <c r="B100" s="237" t="str">
        <f t="shared" si="2"/>
        <v>1C078</v>
      </c>
      <c r="C100" s="250" t="s">
        <v>1324</v>
      </c>
      <c r="D100" s="250" t="s">
        <v>585</v>
      </c>
      <c r="E100" s="250" t="s">
        <v>42</v>
      </c>
      <c r="F100" s="245" t="s">
        <v>34</v>
      </c>
      <c r="G100" s="250" t="s">
        <v>83</v>
      </c>
      <c r="H100" s="245" t="s">
        <v>592</v>
      </c>
      <c r="I100" s="250" t="s">
        <v>575</v>
      </c>
      <c r="J100" s="251" t="s">
        <v>1328</v>
      </c>
    </row>
    <row r="101" spans="1:10" ht="17.25">
      <c r="A101">
        <v>100</v>
      </c>
      <c r="B101" s="237" t="str">
        <f t="shared" si="2"/>
        <v>1C078</v>
      </c>
      <c r="C101" s="250" t="s">
        <v>1324</v>
      </c>
      <c r="D101" s="250" t="s">
        <v>310</v>
      </c>
      <c r="E101" s="250" t="s">
        <v>19</v>
      </c>
      <c r="F101" s="245" t="s">
        <v>10</v>
      </c>
      <c r="G101" s="250" t="s">
        <v>27</v>
      </c>
      <c r="H101" s="245" t="s">
        <v>1432</v>
      </c>
      <c r="I101" s="250" t="s">
        <v>1433</v>
      </c>
      <c r="J101" s="251" t="s">
        <v>1437</v>
      </c>
    </row>
    <row r="102" spans="1:10" ht="17.25">
      <c r="A102">
        <v>101</v>
      </c>
      <c r="B102" s="237" t="str">
        <f t="shared" si="2"/>
        <v>1C109</v>
      </c>
      <c r="C102" s="250" t="s">
        <v>1324</v>
      </c>
      <c r="D102" s="250" t="s">
        <v>584</v>
      </c>
      <c r="E102" s="250" t="s">
        <v>42</v>
      </c>
      <c r="F102" s="245" t="s">
        <v>34</v>
      </c>
      <c r="G102" s="250" t="s">
        <v>83</v>
      </c>
      <c r="H102" s="245" t="s">
        <v>592</v>
      </c>
      <c r="I102" s="250" t="s">
        <v>575</v>
      </c>
      <c r="J102" s="251" t="s">
        <v>586</v>
      </c>
    </row>
    <row r="103" spans="1:10" ht="17.25">
      <c r="A103">
        <v>102</v>
      </c>
      <c r="B103" s="237" t="str">
        <f t="shared" si="2"/>
        <v>1C400</v>
      </c>
      <c r="C103" s="245" t="s">
        <v>1324</v>
      </c>
      <c r="D103" s="245" t="s">
        <v>1292</v>
      </c>
      <c r="E103" s="245" t="s">
        <v>274</v>
      </c>
      <c r="F103" s="245" t="s">
        <v>34</v>
      </c>
      <c r="G103" s="245" t="s">
        <v>165</v>
      </c>
      <c r="H103" s="245" t="s">
        <v>796</v>
      </c>
      <c r="I103" s="250"/>
      <c r="J103" s="251" t="s">
        <v>1556</v>
      </c>
    </row>
    <row r="104" spans="1:10" ht="17.25">
      <c r="A104">
        <v>103</v>
      </c>
      <c r="B104" s="237" t="str">
        <f t="shared" si="2"/>
        <v>1C548</v>
      </c>
      <c r="C104" s="245" t="s">
        <v>1324</v>
      </c>
      <c r="D104" s="245" t="s">
        <v>313</v>
      </c>
      <c r="E104" s="245" t="s">
        <v>19</v>
      </c>
      <c r="F104" s="245" t="s">
        <v>34</v>
      </c>
      <c r="G104" s="245" t="s">
        <v>165</v>
      </c>
      <c r="H104" s="245" t="s">
        <v>318</v>
      </c>
      <c r="I104" s="250" t="s">
        <v>307</v>
      </c>
      <c r="J104" s="251" t="s">
        <v>312</v>
      </c>
    </row>
    <row r="105" spans="1:10" ht="17.25">
      <c r="A105">
        <v>104</v>
      </c>
      <c r="B105" s="237" t="str">
        <f t="shared" si="2"/>
        <v>1C611</v>
      </c>
      <c r="C105" s="245" t="s">
        <v>1324</v>
      </c>
      <c r="D105" s="245" t="s">
        <v>309</v>
      </c>
      <c r="E105" s="245" t="s">
        <v>19</v>
      </c>
      <c r="F105" s="245" t="s">
        <v>10</v>
      </c>
      <c r="G105" s="245" t="s">
        <v>165</v>
      </c>
      <c r="H105" s="245" t="s">
        <v>318</v>
      </c>
      <c r="I105" s="250" t="s">
        <v>307</v>
      </c>
      <c r="J105" s="251" t="s">
        <v>306</v>
      </c>
    </row>
    <row r="106" spans="1:10" ht="17.25">
      <c r="A106">
        <v>105</v>
      </c>
      <c r="B106" s="237" t="str">
        <f t="shared" si="2"/>
        <v>1C677</v>
      </c>
      <c r="C106" s="250" t="s">
        <v>1324</v>
      </c>
      <c r="D106" s="250" t="s">
        <v>1473</v>
      </c>
      <c r="E106" s="250" t="s">
        <v>19</v>
      </c>
      <c r="F106" s="245" t="s">
        <v>10</v>
      </c>
      <c r="G106" s="250" t="s">
        <v>27</v>
      </c>
      <c r="H106" s="245" t="s">
        <v>1432</v>
      </c>
      <c r="I106" s="250" t="s">
        <v>1580</v>
      </c>
      <c r="J106" s="251" t="s">
        <v>1474</v>
      </c>
    </row>
    <row r="107" spans="1:10" ht="17.25">
      <c r="A107">
        <v>106</v>
      </c>
      <c r="B107" s="237" t="str">
        <f t="shared" si="2"/>
        <v>1C695</v>
      </c>
      <c r="C107" s="245" t="s">
        <v>1324</v>
      </c>
      <c r="D107" s="245" t="s">
        <v>1301</v>
      </c>
      <c r="E107" s="245" t="s">
        <v>274</v>
      </c>
      <c r="F107" s="245" t="s">
        <v>34</v>
      </c>
      <c r="G107" s="245" t="s">
        <v>27</v>
      </c>
      <c r="H107" s="245" t="s">
        <v>796</v>
      </c>
      <c r="I107" s="250"/>
      <c r="J107" s="251" t="s">
        <v>1557</v>
      </c>
    </row>
    <row r="108" spans="1:10" ht="17.25">
      <c r="A108">
        <v>107</v>
      </c>
      <c r="B108" s="237">
        <f t="shared" si="2"/>
        <v>220004</v>
      </c>
      <c r="C108" s="271" t="s">
        <v>36</v>
      </c>
      <c r="D108" s="271">
        <v>220004</v>
      </c>
      <c r="E108" s="271" t="s">
        <v>37</v>
      </c>
      <c r="F108" s="271" t="s">
        <v>10</v>
      </c>
      <c r="G108" s="271" t="s">
        <v>31</v>
      </c>
      <c r="H108" s="272" t="s">
        <v>38</v>
      </c>
      <c r="I108" s="268"/>
      <c r="J108" s="275" t="s">
        <v>39</v>
      </c>
    </row>
    <row r="109" spans="1:10" ht="17.25">
      <c r="A109">
        <v>108</v>
      </c>
      <c r="B109" s="237">
        <f t="shared" si="2"/>
        <v>260012</v>
      </c>
      <c r="C109" s="271" t="s">
        <v>36</v>
      </c>
      <c r="D109" s="271">
        <v>260012</v>
      </c>
      <c r="E109" s="271" t="s">
        <v>33</v>
      </c>
      <c r="F109" s="271" t="s">
        <v>10</v>
      </c>
      <c r="G109" s="271" t="s">
        <v>28</v>
      </c>
      <c r="H109" s="272" t="s">
        <v>38</v>
      </c>
      <c r="I109" s="268"/>
      <c r="J109" s="272" t="s">
        <v>40</v>
      </c>
    </row>
    <row r="110" spans="1:10" ht="17.25">
      <c r="A110">
        <v>109</v>
      </c>
      <c r="B110" s="237">
        <f t="shared" si="2"/>
        <v>260451</v>
      </c>
      <c r="C110" s="271" t="s">
        <v>36</v>
      </c>
      <c r="D110" s="271">
        <v>260451</v>
      </c>
      <c r="E110" s="271" t="s">
        <v>37</v>
      </c>
      <c r="F110" s="271" t="s">
        <v>10</v>
      </c>
      <c r="G110" s="293" t="s">
        <v>28</v>
      </c>
      <c r="H110" s="272" t="s">
        <v>38</v>
      </c>
      <c r="I110" s="268"/>
      <c r="J110" s="268" t="s">
        <v>41</v>
      </c>
    </row>
    <row r="111" spans="1:10" ht="17.25">
      <c r="A111">
        <v>110</v>
      </c>
      <c r="B111" s="237">
        <f t="shared" si="2"/>
        <v>280031</v>
      </c>
      <c r="C111" s="271" t="s">
        <v>36</v>
      </c>
      <c r="D111" s="271">
        <v>280031</v>
      </c>
      <c r="E111" s="271" t="s">
        <v>42</v>
      </c>
      <c r="F111" s="271" t="s">
        <v>10</v>
      </c>
      <c r="G111" s="293" t="s">
        <v>27</v>
      </c>
      <c r="H111" s="272" t="s">
        <v>38</v>
      </c>
      <c r="I111" s="268"/>
      <c r="J111" s="268" t="s">
        <v>43</v>
      </c>
    </row>
    <row r="112" spans="1:10" ht="17.25">
      <c r="A112">
        <v>111</v>
      </c>
      <c r="B112" s="237">
        <f t="shared" si="2"/>
        <v>280150</v>
      </c>
      <c r="C112" s="271" t="s">
        <v>36</v>
      </c>
      <c r="D112" s="271">
        <v>280150</v>
      </c>
      <c r="E112" s="271" t="s">
        <v>42</v>
      </c>
      <c r="F112" s="271" t="s">
        <v>10</v>
      </c>
      <c r="G112" s="293" t="s">
        <v>27</v>
      </c>
      <c r="H112" s="272" t="s">
        <v>38</v>
      </c>
      <c r="I112" s="268"/>
      <c r="J112" s="268" t="s">
        <v>44</v>
      </c>
    </row>
    <row r="113" spans="1:10" ht="17.25">
      <c r="A113">
        <v>112</v>
      </c>
      <c r="B113" s="237">
        <f t="shared" si="2"/>
        <v>280151</v>
      </c>
      <c r="C113" s="271" t="s">
        <v>36</v>
      </c>
      <c r="D113" s="271">
        <v>280151</v>
      </c>
      <c r="E113" s="271" t="s">
        <v>42</v>
      </c>
      <c r="F113" s="271" t="s">
        <v>10</v>
      </c>
      <c r="G113" s="293" t="s">
        <v>27</v>
      </c>
      <c r="H113" s="272" t="s">
        <v>38</v>
      </c>
      <c r="I113" s="268"/>
      <c r="J113" s="268" t="s">
        <v>45</v>
      </c>
    </row>
    <row r="114" spans="1:10" ht="17.25">
      <c r="A114">
        <v>113</v>
      </c>
      <c r="B114" s="237">
        <f t="shared" si="2"/>
        <v>280165</v>
      </c>
      <c r="C114" s="271" t="s">
        <v>36</v>
      </c>
      <c r="D114" s="271">
        <v>280165</v>
      </c>
      <c r="E114" s="273" t="s">
        <v>42</v>
      </c>
      <c r="F114" s="271" t="s">
        <v>10</v>
      </c>
      <c r="G114" s="293" t="s">
        <v>27</v>
      </c>
      <c r="H114" s="272" t="s">
        <v>38</v>
      </c>
      <c r="I114" s="268"/>
      <c r="J114" s="268" t="s">
        <v>46</v>
      </c>
    </row>
    <row r="115" spans="1:10" ht="17.25">
      <c r="A115">
        <v>114</v>
      </c>
      <c r="B115" s="237">
        <f t="shared" si="2"/>
        <v>280168</v>
      </c>
      <c r="C115" s="271" t="s">
        <v>36</v>
      </c>
      <c r="D115" s="271">
        <v>280168</v>
      </c>
      <c r="E115" s="271" t="s">
        <v>42</v>
      </c>
      <c r="F115" s="271" t="s">
        <v>10</v>
      </c>
      <c r="G115" s="293" t="s">
        <v>31</v>
      </c>
      <c r="H115" s="272" t="s">
        <v>38</v>
      </c>
      <c r="I115" s="268"/>
      <c r="J115" s="275" t="s">
        <v>51</v>
      </c>
    </row>
    <row r="116" spans="1:10" ht="17.25">
      <c r="A116">
        <v>115</v>
      </c>
      <c r="B116" s="237">
        <f t="shared" si="2"/>
        <v>280300</v>
      </c>
      <c r="C116" s="271" t="s">
        <v>36</v>
      </c>
      <c r="D116" s="271">
        <v>280300</v>
      </c>
      <c r="E116" s="294" t="s">
        <v>37</v>
      </c>
      <c r="F116" s="271" t="s">
        <v>10</v>
      </c>
      <c r="G116" s="293" t="s">
        <v>28</v>
      </c>
      <c r="H116" s="272" t="s">
        <v>38</v>
      </c>
      <c r="I116" s="268"/>
      <c r="J116" s="295" t="s">
        <v>52</v>
      </c>
    </row>
    <row r="117" spans="1:10" ht="17.25">
      <c r="A117">
        <v>116</v>
      </c>
      <c r="B117" s="237">
        <f t="shared" si="2"/>
        <v>280301</v>
      </c>
      <c r="C117" s="271" t="s">
        <v>36</v>
      </c>
      <c r="D117" s="271">
        <v>280301</v>
      </c>
      <c r="E117" s="271" t="s">
        <v>33</v>
      </c>
      <c r="F117" s="271" t="s">
        <v>10</v>
      </c>
      <c r="G117" s="293" t="s">
        <v>28</v>
      </c>
      <c r="H117" s="272" t="s">
        <v>38</v>
      </c>
      <c r="I117" s="268"/>
      <c r="J117" s="268" t="s">
        <v>47</v>
      </c>
    </row>
    <row r="118" spans="1:10" ht="17.25">
      <c r="A118">
        <v>117</v>
      </c>
      <c r="B118" s="237" t="str">
        <f t="shared" si="2"/>
        <v>23G150</v>
      </c>
      <c r="C118" s="271" t="s">
        <v>36</v>
      </c>
      <c r="D118" s="271" t="s">
        <v>53</v>
      </c>
      <c r="E118" s="271" t="s">
        <v>37</v>
      </c>
      <c r="F118" s="271" t="s">
        <v>10</v>
      </c>
      <c r="G118" s="293" t="s">
        <v>28</v>
      </c>
      <c r="H118" s="272" t="s">
        <v>38</v>
      </c>
      <c r="I118" s="268"/>
      <c r="J118" s="268" t="s">
        <v>54</v>
      </c>
    </row>
    <row r="119" spans="1:10" ht="17.25">
      <c r="A119">
        <v>118</v>
      </c>
      <c r="B119" s="237" t="str">
        <f t="shared" si="2"/>
        <v>23G401</v>
      </c>
      <c r="C119" s="271" t="s">
        <v>36</v>
      </c>
      <c r="D119" s="271" t="s">
        <v>48</v>
      </c>
      <c r="E119" s="271" t="s">
        <v>33</v>
      </c>
      <c r="F119" s="271" t="s">
        <v>10</v>
      </c>
      <c r="G119" s="271" t="s">
        <v>29</v>
      </c>
      <c r="H119" s="272" t="s">
        <v>38</v>
      </c>
      <c r="I119" s="268"/>
      <c r="J119" s="272" t="s">
        <v>50</v>
      </c>
    </row>
    <row r="120" spans="1:10" ht="17.25">
      <c r="A120">
        <v>119</v>
      </c>
      <c r="B120" s="237">
        <f t="shared" si="2"/>
        <v>107603</v>
      </c>
      <c r="C120" s="276" t="s">
        <v>266</v>
      </c>
      <c r="D120" s="276">
        <v>107603</v>
      </c>
      <c r="E120" s="276" t="s">
        <v>274</v>
      </c>
      <c r="F120" s="276"/>
      <c r="G120" s="276" t="s">
        <v>49</v>
      </c>
      <c r="H120" s="296" t="s">
        <v>1609</v>
      </c>
      <c r="I120" s="296"/>
      <c r="J120" s="297" t="s">
        <v>1629</v>
      </c>
    </row>
    <row r="121" spans="1:10" ht="17.25">
      <c r="A121">
        <v>120</v>
      </c>
      <c r="B121" s="237">
        <f t="shared" si="2"/>
        <v>107606</v>
      </c>
      <c r="C121" s="276" t="s">
        <v>266</v>
      </c>
      <c r="D121" s="288">
        <v>107606</v>
      </c>
      <c r="E121" s="276" t="s">
        <v>274</v>
      </c>
      <c r="F121" s="276"/>
      <c r="G121" s="288" t="s">
        <v>49</v>
      </c>
      <c r="H121" s="296" t="s">
        <v>1609</v>
      </c>
      <c r="I121" s="296"/>
      <c r="J121" s="297" t="s">
        <v>1640</v>
      </c>
    </row>
    <row r="122" spans="1:10" ht="17.25">
      <c r="A122">
        <v>121</v>
      </c>
      <c r="B122" s="237">
        <f t="shared" si="2"/>
        <v>109972</v>
      </c>
      <c r="C122" s="276" t="s">
        <v>266</v>
      </c>
      <c r="D122" s="276">
        <v>109972</v>
      </c>
      <c r="E122" s="276" t="s">
        <v>274</v>
      </c>
      <c r="F122" s="276"/>
      <c r="G122" s="276" t="s">
        <v>277</v>
      </c>
      <c r="H122" s="296" t="s">
        <v>278</v>
      </c>
      <c r="I122" s="296"/>
      <c r="J122" s="296" t="s">
        <v>279</v>
      </c>
    </row>
    <row r="123" spans="1:10" ht="17.25">
      <c r="A123">
        <v>122</v>
      </c>
      <c r="B123" s="237">
        <f t="shared" si="2"/>
        <v>119956</v>
      </c>
      <c r="C123" s="276" t="s">
        <v>266</v>
      </c>
      <c r="D123" s="288">
        <v>119956</v>
      </c>
      <c r="E123" s="276" t="s">
        <v>274</v>
      </c>
      <c r="F123" s="276"/>
      <c r="G123" s="288" t="s">
        <v>49</v>
      </c>
      <c r="H123" s="296" t="s">
        <v>1609</v>
      </c>
      <c r="I123" s="296"/>
      <c r="J123" s="297" t="s">
        <v>1642</v>
      </c>
    </row>
    <row r="124" spans="1:10" ht="17.25">
      <c r="A124">
        <v>123</v>
      </c>
      <c r="B124" s="237">
        <f t="shared" si="2"/>
        <v>119962</v>
      </c>
      <c r="C124" s="276" t="s">
        <v>266</v>
      </c>
      <c r="D124" s="276">
        <v>119962</v>
      </c>
      <c r="E124" s="276" t="s">
        <v>274</v>
      </c>
      <c r="F124" s="276"/>
      <c r="G124" s="276" t="s">
        <v>277</v>
      </c>
      <c r="H124" s="296"/>
      <c r="I124" s="296"/>
      <c r="J124" s="296" t="s">
        <v>290</v>
      </c>
    </row>
    <row r="125" spans="1:10" ht="17.25">
      <c r="A125">
        <v>124</v>
      </c>
      <c r="B125" s="237">
        <f t="shared" si="2"/>
        <v>119982</v>
      </c>
      <c r="C125" s="276" t="s">
        <v>266</v>
      </c>
      <c r="D125" s="276">
        <v>119982</v>
      </c>
      <c r="E125" s="276" t="s">
        <v>274</v>
      </c>
      <c r="F125" s="276"/>
      <c r="G125" s="276" t="s">
        <v>149</v>
      </c>
      <c r="H125" s="296"/>
      <c r="I125" s="296"/>
      <c r="J125" s="296" t="s">
        <v>302</v>
      </c>
    </row>
    <row r="126" spans="1:10" ht="17.25">
      <c r="A126">
        <v>125</v>
      </c>
      <c r="B126" s="237">
        <f t="shared" si="2"/>
        <v>203002</v>
      </c>
      <c r="C126" s="276" t="s">
        <v>266</v>
      </c>
      <c r="D126" s="288">
        <v>203002</v>
      </c>
      <c r="E126" s="276" t="s">
        <v>33</v>
      </c>
      <c r="F126" s="276"/>
      <c r="G126" s="276" t="s">
        <v>269</v>
      </c>
      <c r="H126" s="296"/>
      <c r="I126" s="296"/>
      <c r="J126" s="296" t="s">
        <v>292</v>
      </c>
    </row>
    <row r="127" spans="1:10" ht="17.25">
      <c r="A127">
        <v>126</v>
      </c>
      <c r="B127" s="237">
        <f t="shared" si="2"/>
        <v>209960</v>
      </c>
      <c r="C127" s="276" t="s">
        <v>266</v>
      </c>
      <c r="D127" s="288">
        <v>209960</v>
      </c>
      <c r="E127" s="276" t="s">
        <v>33</v>
      </c>
      <c r="F127" s="276"/>
      <c r="G127" s="276" t="s">
        <v>269</v>
      </c>
      <c r="H127" s="296"/>
      <c r="I127" s="296"/>
      <c r="J127" s="296" t="s">
        <v>295</v>
      </c>
    </row>
    <row r="128" spans="1:10" ht="17.25">
      <c r="A128">
        <v>127</v>
      </c>
      <c r="B128" s="237">
        <f t="shared" si="2"/>
        <v>209990</v>
      </c>
      <c r="C128" s="276" t="s">
        <v>266</v>
      </c>
      <c r="D128" s="276">
        <v>209990</v>
      </c>
      <c r="E128" s="276" t="s">
        <v>33</v>
      </c>
      <c r="F128" s="276"/>
      <c r="G128" s="276" t="s">
        <v>269</v>
      </c>
      <c r="H128" s="296"/>
      <c r="I128" s="296"/>
      <c r="J128" s="296" t="s">
        <v>296</v>
      </c>
    </row>
    <row r="129" spans="1:10" ht="17.25">
      <c r="A129">
        <v>128</v>
      </c>
      <c r="B129" s="237">
        <f t="shared" si="2"/>
        <v>219913</v>
      </c>
      <c r="C129" s="276" t="s">
        <v>266</v>
      </c>
      <c r="D129" s="276">
        <v>219913</v>
      </c>
      <c r="E129" s="276" t="s">
        <v>274</v>
      </c>
      <c r="F129" s="276"/>
      <c r="G129" s="276" t="s">
        <v>277</v>
      </c>
      <c r="H129" s="296"/>
      <c r="I129" s="296"/>
      <c r="J129" s="296" t="s">
        <v>280</v>
      </c>
    </row>
    <row r="130" spans="1:10" ht="17.25">
      <c r="A130">
        <v>129</v>
      </c>
      <c r="B130" s="237">
        <f t="shared" si="2"/>
        <v>219940</v>
      </c>
      <c r="C130" s="276" t="s">
        <v>266</v>
      </c>
      <c r="D130" s="276">
        <v>219940</v>
      </c>
      <c r="E130" s="276" t="s">
        <v>33</v>
      </c>
      <c r="F130" s="276"/>
      <c r="G130" s="276" t="s">
        <v>149</v>
      </c>
      <c r="H130" s="296"/>
      <c r="I130" s="296"/>
      <c r="J130" s="296" t="s">
        <v>810</v>
      </c>
    </row>
    <row r="131" spans="1:10" ht="17.25">
      <c r="A131">
        <v>130</v>
      </c>
      <c r="B131" s="237">
        <f t="shared" si="2"/>
        <v>230964</v>
      </c>
      <c r="C131" s="276" t="s">
        <v>266</v>
      </c>
      <c r="D131" s="276">
        <v>230964</v>
      </c>
      <c r="E131" s="276" t="s">
        <v>33</v>
      </c>
      <c r="F131" s="276"/>
      <c r="G131" s="276" t="s">
        <v>269</v>
      </c>
      <c r="H131" s="296"/>
      <c r="I131" s="296"/>
      <c r="J131" s="296" t="s">
        <v>291</v>
      </c>
    </row>
    <row r="132" spans="1:10" ht="17.25">
      <c r="A132">
        <v>131</v>
      </c>
      <c r="B132" s="237">
        <f t="shared" ref="B132:B196" si="3">D132</f>
        <v>231903</v>
      </c>
      <c r="C132" s="276" t="s">
        <v>266</v>
      </c>
      <c r="D132" s="276">
        <v>231903</v>
      </c>
      <c r="E132" s="276" t="s">
        <v>274</v>
      </c>
      <c r="F132" s="276"/>
      <c r="G132" s="276" t="s">
        <v>277</v>
      </c>
      <c r="H132" s="296"/>
      <c r="I132" s="296"/>
      <c r="J132" s="296" t="s">
        <v>281</v>
      </c>
    </row>
    <row r="133" spans="1:10" ht="17.25">
      <c r="A133">
        <v>132</v>
      </c>
      <c r="B133" s="237">
        <f t="shared" si="3"/>
        <v>231904</v>
      </c>
      <c r="C133" s="276" t="s">
        <v>266</v>
      </c>
      <c r="D133" s="276">
        <v>231904</v>
      </c>
      <c r="E133" s="276" t="s">
        <v>274</v>
      </c>
      <c r="F133" s="276"/>
      <c r="G133" s="276" t="s">
        <v>287</v>
      </c>
      <c r="H133" s="296" t="s">
        <v>1592</v>
      </c>
      <c r="I133" s="296"/>
      <c r="J133" s="298" t="s">
        <v>1593</v>
      </c>
    </row>
    <row r="134" spans="1:10" ht="17.25">
      <c r="A134">
        <v>133</v>
      </c>
      <c r="B134" s="237">
        <f t="shared" si="3"/>
        <v>231911</v>
      </c>
      <c r="C134" s="276" t="s">
        <v>266</v>
      </c>
      <c r="D134" s="288">
        <v>231911</v>
      </c>
      <c r="E134" s="276" t="s">
        <v>274</v>
      </c>
      <c r="F134" s="276"/>
      <c r="G134" s="288" t="s">
        <v>1646</v>
      </c>
      <c r="H134" s="296" t="s">
        <v>1609</v>
      </c>
      <c r="I134" s="296"/>
      <c r="J134" s="297" t="s">
        <v>1631</v>
      </c>
    </row>
    <row r="135" spans="1:10" ht="17.25">
      <c r="A135">
        <v>134</v>
      </c>
      <c r="B135" s="237">
        <f t="shared" si="3"/>
        <v>231934</v>
      </c>
      <c r="C135" s="276" t="s">
        <v>266</v>
      </c>
      <c r="D135" s="288">
        <v>231934</v>
      </c>
      <c r="E135" s="276" t="s">
        <v>274</v>
      </c>
      <c r="F135" s="276"/>
      <c r="G135" s="288" t="s">
        <v>1646</v>
      </c>
      <c r="H135" s="296" t="s">
        <v>1609</v>
      </c>
      <c r="I135" s="296"/>
      <c r="J135" s="299" t="s">
        <v>1639</v>
      </c>
    </row>
    <row r="136" spans="1:10" ht="17.25">
      <c r="A136">
        <v>135</v>
      </c>
      <c r="B136" s="237">
        <f t="shared" si="3"/>
        <v>231935</v>
      </c>
      <c r="C136" s="276" t="s">
        <v>266</v>
      </c>
      <c r="D136" s="288">
        <v>231935</v>
      </c>
      <c r="E136" s="276" t="s">
        <v>274</v>
      </c>
      <c r="F136" s="276"/>
      <c r="G136" s="288" t="s">
        <v>1646</v>
      </c>
      <c r="H136" s="296" t="s">
        <v>1609</v>
      </c>
      <c r="I136" s="296"/>
      <c r="J136" s="297" t="s">
        <v>1645</v>
      </c>
    </row>
    <row r="137" spans="1:10" ht="17.25">
      <c r="A137">
        <v>136</v>
      </c>
      <c r="B137" s="237">
        <f t="shared" si="3"/>
        <v>231937</v>
      </c>
      <c r="C137" s="276" t="s">
        <v>266</v>
      </c>
      <c r="D137" s="276">
        <v>231937</v>
      </c>
      <c r="E137" s="276" t="s">
        <v>274</v>
      </c>
      <c r="F137" s="276"/>
      <c r="G137" s="276" t="s">
        <v>277</v>
      </c>
      <c r="H137" s="296"/>
      <c r="I137" s="296"/>
      <c r="J137" s="296" t="s">
        <v>283</v>
      </c>
    </row>
    <row r="138" spans="1:10" ht="17.25">
      <c r="A138">
        <v>137</v>
      </c>
      <c r="B138" s="237">
        <f t="shared" si="3"/>
        <v>231939</v>
      </c>
      <c r="C138" s="276" t="s">
        <v>266</v>
      </c>
      <c r="D138" s="276">
        <v>231939</v>
      </c>
      <c r="E138" s="276" t="s">
        <v>274</v>
      </c>
      <c r="F138" s="276"/>
      <c r="G138" s="276" t="s">
        <v>277</v>
      </c>
      <c r="H138" s="296"/>
      <c r="I138" s="296"/>
      <c r="J138" s="296" t="s">
        <v>284</v>
      </c>
    </row>
    <row r="139" spans="1:10" ht="17.25">
      <c r="A139">
        <v>138</v>
      </c>
      <c r="B139" s="237">
        <f t="shared" si="3"/>
        <v>231941</v>
      </c>
      <c r="C139" s="276" t="s">
        <v>266</v>
      </c>
      <c r="D139" s="276">
        <v>231941</v>
      </c>
      <c r="E139" s="276" t="s">
        <v>274</v>
      </c>
      <c r="F139" s="276"/>
      <c r="G139" s="276" t="s">
        <v>269</v>
      </c>
      <c r="H139" s="296"/>
      <c r="I139" s="296"/>
      <c r="J139" s="296" t="s">
        <v>282</v>
      </c>
    </row>
    <row r="140" spans="1:10" ht="17.25">
      <c r="A140">
        <v>139</v>
      </c>
      <c r="B140" s="237">
        <f t="shared" si="3"/>
        <v>231943</v>
      </c>
      <c r="C140" s="276" t="s">
        <v>266</v>
      </c>
      <c r="D140" s="288">
        <v>231943</v>
      </c>
      <c r="E140" s="276" t="s">
        <v>274</v>
      </c>
      <c r="F140" s="276"/>
      <c r="G140" s="288" t="s">
        <v>125</v>
      </c>
      <c r="H140" s="296" t="s">
        <v>1609</v>
      </c>
      <c r="I140" s="296"/>
      <c r="J140" s="297" t="s">
        <v>1643</v>
      </c>
    </row>
    <row r="141" spans="1:10" ht="17.25">
      <c r="A141">
        <v>140</v>
      </c>
      <c r="B141" s="237">
        <f t="shared" si="3"/>
        <v>231944</v>
      </c>
      <c r="C141" s="276" t="s">
        <v>266</v>
      </c>
      <c r="D141" s="276">
        <v>231944</v>
      </c>
      <c r="E141" s="276" t="s">
        <v>274</v>
      </c>
      <c r="F141" s="276"/>
      <c r="G141" s="276" t="s">
        <v>277</v>
      </c>
      <c r="H141" s="296"/>
      <c r="I141" s="296"/>
      <c r="J141" s="296" t="s">
        <v>285</v>
      </c>
    </row>
    <row r="142" spans="1:10" ht="17.25">
      <c r="A142">
        <v>141</v>
      </c>
      <c r="B142" s="237">
        <f t="shared" si="3"/>
        <v>231946</v>
      </c>
      <c r="C142" s="276" t="s">
        <v>266</v>
      </c>
      <c r="D142" s="276">
        <v>231946</v>
      </c>
      <c r="E142" s="276" t="s">
        <v>274</v>
      </c>
      <c r="F142" s="276" t="s">
        <v>233</v>
      </c>
      <c r="G142" s="276" t="s">
        <v>277</v>
      </c>
      <c r="H142" s="296"/>
      <c r="I142" s="296"/>
      <c r="J142" s="296" t="s">
        <v>286</v>
      </c>
    </row>
    <row r="143" spans="1:10" ht="17.25">
      <c r="A143">
        <v>142</v>
      </c>
      <c r="B143" s="237">
        <f t="shared" si="3"/>
        <v>231958</v>
      </c>
      <c r="C143" s="276" t="s">
        <v>266</v>
      </c>
      <c r="D143" s="276">
        <v>231958</v>
      </c>
      <c r="E143" s="276" t="s">
        <v>274</v>
      </c>
      <c r="F143" s="276"/>
      <c r="G143" s="276" t="s">
        <v>269</v>
      </c>
      <c r="H143" s="296"/>
      <c r="I143" s="296"/>
      <c r="J143" s="296" t="s">
        <v>289</v>
      </c>
    </row>
    <row r="144" spans="1:10" ht="17.25">
      <c r="A144">
        <v>143</v>
      </c>
      <c r="B144" s="237">
        <f t="shared" si="3"/>
        <v>231960</v>
      </c>
      <c r="C144" s="276" t="s">
        <v>266</v>
      </c>
      <c r="D144" s="276">
        <v>231960</v>
      </c>
      <c r="E144" s="276" t="s">
        <v>274</v>
      </c>
      <c r="F144" s="276"/>
      <c r="G144" s="276" t="s">
        <v>269</v>
      </c>
      <c r="H144" s="296" t="s">
        <v>275</v>
      </c>
      <c r="I144" s="296"/>
      <c r="J144" s="296" t="s">
        <v>276</v>
      </c>
    </row>
    <row r="145" spans="1:10" ht="17.25">
      <c r="A145">
        <v>144</v>
      </c>
      <c r="B145" s="237">
        <f t="shared" si="3"/>
        <v>232007</v>
      </c>
      <c r="C145" s="276" t="s">
        <v>266</v>
      </c>
      <c r="D145" s="276">
        <v>232007</v>
      </c>
      <c r="E145" s="276" t="s">
        <v>274</v>
      </c>
      <c r="F145" s="276"/>
      <c r="G145" s="276" t="s">
        <v>269</v>
      </c>
      <c r="H145" s="296"/>
      <c r="I145" s="296"/>
      <c r="J145" s="296" t="s">
        <v>763</v>
      </c>
    </row>
    <row r="146" spans="1:10" ht="17.25">
      <c r="A146">
        <v>145</v>
      </c>
      <c r="B146" s="237">
        <f t="shared" si="3"/>
        <v>232015</v>
      </c>
      <c r="C146" s="276" t="s">
        <v>266</v>
      </c>
      <c r="D146" s="276">
        <v>232015</v>
      </c>
      <c r="E146" s="276" t="s">
        <v>274</v>
      </c>
      <c r="F146" s="276"/>
      <c r="G146" s="276" t="s">
        <v>287</v>
      </c>
      <c r="H146" s="296"/>
      <c r="I146" s="296"/>
      <c r="J146" s="296" t="s">
        <v>846</v>
      </c>
    </row>
    <row r="147" spans="1:10" ht="17.25">
      <c r="A147">
        <v>146</v>
      </c>
      <c r="B147" s="237">
        <f t="shared" si="3"/>
        <v>232902</v>
      </c>
      <c r="C147" s="276" t="s">
        <v>266</v>
      </c>
      <c r="D147" s="276">
        <v>232902</v>
      </c>
      <c r="E147" s="276" t="s">
        <v>274</v>
      </c>
      <c r="F147" s="276"/>
      <c r="G147" s="276" t="s">
        <v>287</v>
      </c>
      <c r="H147" s="296"/>
      <c r="I147" s="296"/>
      <c r="J147" s="296" t="s">
        <v>288</v>
      </c>
    </row>
    <row r="148" spans="1:10" ht="17.25">
      <c r="A148">
        <v>147</v>
      </c>
      <c r="B148" s="237">
        <f t="shared" si="3"/>
        <v>232916</v>
      </c>
      <c r="C148" s="276" t="s">
        <v>266</v>
      </c>
      <c r="D148" s="276">
        <v>232916</v>
      </c>
      <c r="E148" s="276" t="s">
        <v>274</v>
      </c>
      <c r="F148" s="276"/>
      <c r="G148" s="276" t="s">
        <v>287</v>
      </c>
      <c r="H148" s="296"/>
      <c r="I148" s="296"/>
      <c r="J148" s="296" t="s">
        <v>301</v>
      </c>
    </row>
    <row r="149" spans="1:10" ht="17.25">
      <c r="A149">
        <v>148</v>
      </c>
      <c r="B149" s="237">
        <f t="shared" si="3"/>
        <v>232927</v>
      </c>
      <c r="C149" s="276" t="s">
        <v>266</v>
      </c>
      <c r="D149" s="276">
        <v>232927</v>
      </c>
      <c r="E149" s="276" t="s">
        <v>268</v>
      </c>
      <c r="F149" s="276"/>
      <c r="G149" s="276" t="s">
        <v>269</v>
      </c>
      <c r="H149" s="296" t="s">
        <v>272</v>
      </c>
      <c r="I149" s="296"/>
      <c r="J149" s="296" t="s">
        <v>273</v>
      </c>
    </row>
    <row r="150" spans="1:10" ht="17.25">
      <c r="A150">
        <v>149</v>
      </c>
      <c r="B150" s="237">
        <f t="shared" si="3"/>
        <v>232956</v>
      </c>
      <c r="C150" s="276" t="s">
        <v>266</v>
      </c>
      <c r="D150" s="276">
        <v>232956</v>
      </c>
      <c r="E150" s="276" t="s">
        <v>274</v>
      </c>
      <c r="F150" s="276"/>
      <c r="G150" s="276" t="s">
        <v>781</v>
      </c>
      <c r="H150" s="296"/>
      <c r="I150" s="296"/>
      <c r="J150" s="296" t="s">
        <v>782</v>
      </c>
    </row>
    <row r="151" spans="1:10" ht="17.25">
      <c r="A151">
        <v>150</v>
      </c>
      <c r="B151" s="237">
        <f t="shared" si="3"/>
        <v>232976</v>
      </c>
      <c r="C151" s="276" t="s">
        <v>266</v>
      </c>
      <c r="D151" s="288">
        <v>232976</v>
      </c>
      <c r="E151" s="276" t="s">
        <v>274</v>
      </c>
      <c r="F151" s="276"/>
      <c r="G151" s="288" t="s">
        <v>84</v>
      </c>
      <c r="H151" s="296" t="s">
        <v>1609</v>
      </c>
      <c r="I151" s="296"/>
      <c r="J151" s="300" t="s">
        <v>1635</v>
      </c>
    </row>
    <row r="152" spans="1:10" ht="17.25">
      <c r="A152">
        <v>151</v>
      </c>
      <c r="B152" s="237">
        <f t="shared" si="3"/>
        <v>232984</v>
      </c>
      <c r="C152" s="276" t="s">
        <v>266</v>
      </c>
      <c r="D152" s="288">
        <v>232984</v>
      </c>
      <c r="E152" s="276" t="s">
        <v>274</v>
      </c>
      <c r="F152" s="276"/>
      <c r="G152" s="288" t="s">
        <v>49</v>
      </c>
      <c r="H152" s="296" t="s">
        <v>1609</v>
      </c>
      <c r="I152" s="296"/>
      <c r="J152" s="297" t="s">
        <v>1630</v>
      </c>
    </row>
    <row r="153" spans="1:10" ht="17.25">
      <c r="A153">
        <v>152</v>
      </c>
      <c r="B153" s="237">
        <f t="shared" si="3"/>
        <v>232985</v>
      </c>
      <c r="C153" s="276" t="s">
        <v>266</v>
      </c>
      <c r="D153" s="288">
        <v>232985</v>
      </c>
      <c r="E153" s="276" t="s">
        <v>274</v>
      </c>
      <c r="F153" s="276"/>
      <c r="G153" s="288" t="s">
        <v>49</v>
      </c>
      <c r="H153" s="296" t="s">
        <v>1609</v>
      </c>
      <c r="I153" s="296"/>
      <c r="J153" s="297" t="s">
        <v>1644</v>
      </c>
    </row>
    <row r="154" spans="1:10" ht="17.25">
      <c r="A154">
        <v>153</v>
      </c>
      <c r="B154" s="237">
        <f t="shared" si="3"/>
        <v>232987</v>
      </c>
      <c r="C154" s="276" t="s">
        <v>266</v>
      </c>
      <c r="D154" s="288">
        <v>232987</v>
      </c>
      <c r="E154" s="276" t="s">
        <v>274</v>
      </c>
      <c r="F154" s="276"/>
      <c r="G154" s="288" t="s">
        <v>84</v>
      </c>
      <c r="H154" s="296" t="s">
        <v>1609</v>
      </c>
      <c r="I154" s="296"/>
      <c r="J154" s="297" t="s">
        <v>1636</v>
      </c>
    </row>
    <row r="155" spans="1:10" ht="17.25">
      <c r="A155">
        <v>154</v>
      </c>
      <c r="B155" s="237">
        <f t="shared" si="3"/>
        <v>233910</v>
      </c>
      <c r="C155" s="276" t="s">
        <v>266</v>
      </c>
      <c r="D155" s="276">
        <v>233910</v>
      </c>
      <c r="E155" s="276" t="s">
        <v>274</v>
      </c>
      <c r="F155" s="276"/>
      <c r="G155" s="276" t="s">
        <v>287</v>
      </c>
      <c r="H155" s="296"/>
      <c r="I155" s="296"/>
      <c r="J155" s="296" t="s">
        <v>1308</v>
      </c>
    </row>
    <row r="156" spans="1:10" ht="17.25">
      <c r="A156">
        <v>155</v>
      </c>
      <c r="B156" s="237">
        <f t="shared" si="3"/>
        <v>233912</v>
      </c>
      <c r="C156" s="276" t="s">
        <v>266</v>
      </c>
      <c r="D156" s="288">
        <v>233912</v>
      </c>
      <c r="E156" s="276" t="s">
        <v>274</v>
      </c>
      <c r="F156" s="276"/>
      <c r="G156" s="288" t="s">
        <v>49</v>
      </c>
      <c r="H156" s="296" t="s">
        <v>1609</v>
      </c>
      <c r="I156" s="296"/>
      <c r="J156" s="299" t="s">
        <v>1638</v>
      </c>
    </row>
    <row r="157" spans="1:10" ht="17.25">
      <c r="A157">
        <v>156</v>
      </c>
      <c r="B157" s="237">
        <f t="shared" si="3"/>
        <v>233916</v>
      </c>
      <c r="C157" s="276" t="s">
        <v>266</v>
      </c>
      <c r="D157" s="288">
        <v>233916</v>
      </c>
      <c r="E157" s="276" t="s">
        <v>274</v>
      </c>
      <c r="F157" s="276"/>
      <c r="G157" s="288" t="s">
        <v>84</v>
      </c>
      <c r="H157" s="296" t="s">
        <v>1609</v>
      </c>
      <c r="I157" s="296"/>
      <c r="J157" s="297" t="s">
        <v>1633</v>
      </c>
    </row>
    <row r="158" spans="1:10" ht="17.25">
      <c r="A158">
        <v>157</v>
      </c>
      <c r="B158" s="237">
        <f t="shared" si="3"/>
        <v>233917</v>
      </c>
      <c r="C158" s="276" t="s">
        <v>266</v>
      </c>
      <c r="D158" s="288">
        <v>233917</v>
      </c>
      <c r="E158" s="276" t="s">
        <v>274</v>
      </c>
      <c r="F158" s="276"/>
      <c r="G158" s="288" t="s">
        <v>1647</v>
      </c>
      <c r="H158" s="296" t="s">
        <v>1609</v>
      </c>
      <c r="I158" s="296"/>
      <c r="J158" s="297" t="s">
        <v>1632</v>
      </c>
    </row>
    <row r="159" spans="1:10" ht="17.25">
      <c r="A159">
        <v>158</v>
      </c>
      <c r="B159" s="237">
        <f t="shared" si="3"/>
        <v>233920</v>
      </c>
      <c r="C159" s="276" t="s">
        <v>266</v>
      </c>
      <c r="D159" s="276">
        <v>233920</v>
      </c>
      <c r="E159" s="276" t="s">
        <v>274</v>
      </c>
      <c r="F159" s="276"/>
      <c r="G159" s="276" t="s">
        <v>84</v>
      </c>
      <c r="H159" s="296" t="s">
        <v>1609</v>
      </c>
      <c r="I159" s="296"/>
      <c r="J159" s="300" t="s">
        <v>1634</v>
      </c>
    </row>
    <row r="160" spans="1:10" ht="17.25">
      <c r="A160">
        <v>159</v>
      </c>
      <c r="B160" s="237">
        <f t="shared" si="3"/>
        <v>233922</v>
      </c>
      <c r="C160" s="276" t="s">
        <v>266</v>
      </c>
      <c r="D160" s="276">
        <v>233922</v>
      </c>
      <c r="E160" s="276" t="s">
        <v>274</v>
      </c>
      <c r="F160" s="276"/>
      <c r="G160" s="276" t="s">
        <v>287</v>
      </c>
      <c r="H160" s="296"/>
      <c r="I160" s="296"/>
      <c r="J160" s="296" t="s">
        <v>1385</v>
      </c>
    </row>
    <row r="161" spans="1:10" ht="17.25">
      <c r="A161">
        <v>160</v>
      </c>
      <c r="B161" s="237">
        <f t="shared" si="3"/>
        <v>233927</v>
      </c>
      <c r="C161" s="276" t="s">
        <v>266</v>
      </c>
      <c r="D161" s="276">
        <v>233927</v>
      </c>
      <c r="E161" s="276" t="s">
        <v>274</v>
      </c>
      <c r="F161" s="276"/>
      <c r="G161" s="276" t="s">
        <v>58</v>
      </c>
      <c r="H161" s="296">
        <v>1</v>
      </c>
      <c r="I161" s="296"/>
      <c r="J161" s="296" t="s">
        <v>1322</v>
      </c>
    </row>
    <row r="162" spans="1:10" ht="17.25">
      <c r="A162">
        <v>161</v>
      </c>
      <c r="B162" s="237">
        <f t="shared" si="3"/>
        <v>233935</v>
      </c>
      <c r="C162" s="276" t="s">
        <v>266</v>
      </c>
      <c r="D162" s="288">
        <v>233935</v>
      </c>
      <c r="E162" s="276" t="s">
        <v>274</v>
      </c>
      <c r="F162" s="276"/>
      <c r="G162" s="288" t="s">
        <v>49</v>
      </c>
      <c r="H162" s="296" t="s">
        <v>1609</v>
      </c>
      <c r="I162" s="296"/>
      <c r="J162" s="297" t="s">
        <v>1641</v>
      </c>
    </row>
    <row r="163" spans="1:10" ht="17.25">
      <c r="A163">
        <v>162</v>
      </c>
      <c r="B163" s="237">
        <f t="shared" si="3"/>
        <v>233936</v>
      </c>
      <c r="C163" s="276" t="s">
        <v>266</v>
      </c>
      <c r="D163" s="276">
        <v>233936</v>
      </c>
      <c r="E163" s="276" t="s">
        <v>274</v>
      </c>
      <c r="F163" s="276"/>
      <c r="G163" s="276" t="s">
        <v>277</v>
      </c>
      <c r="H163" s="296" t="s">
        <v>1609</v>
      </c>
      <c r="I163" s="296"/>
      <c r="J163" s="296" t="s">
        <v>1611</v>
      </c>
    </row>
    <row r="164" spans="1:10" ht="17.25">
      <c r="A164">
        <v>163</v>
      </c>
      <c r="B164" s="237">
        <f t="shared" si="3"/>
        <v>233940</v>
      </c>
      <c r="C164" s="276" t="s">
        <v>266</v>
      </c>
      <c r="D164" s="288">
        <v>233940</v>
      </c>
      <c r="E164" s="276" t="s">
        <v>274</v>
      </c>
      <c r="F164" s="276"/>
      <c r="G164" s="288" t="s">
        <v>84</v>
      </c>
      <c r="H164" s="296" t="s">
        <v>1609</v>
      </c>
      <c r="I164" s="296"/>
      <c r="J164" s="297" t="s">
        <v>1637</v>
      </c>
    </row>
    <row r="165" spans="1:10" ht="17.25">
      <c r="A165">
        <v>164</v>
      </c>
      <c r="B165" s="237">
        <f t="shared" si="3"/>
        <v>233941</v>
      </c>
      <c r="C165" s="276" t="s">
        <v>266</v>
      </c>
      <c r="D165" s="276">
        <v>233941</v>
      </c>
      <c r="E165" s="276" t="s">
        <v>274</v>
      </c>
      <c r="F165" s="276"/>
      <c r="G165" s="276" t="s">
        <v>277</v>
      </c>
      <c r="H165" s="296" t="s">
        <v>1609</v>
      </c>
      <c r="I165" s="296"/>
      <c r="J165" s="296" t="s">
        <v>1610</v>
      </c>
    </row>
    <row r="166" spans="1:10" ht="17.25">
      <c r="A166">
        <v>165</v>
      </c>
      <c r="B166" s="237">
        <f t="shared" si="3"/>
        <v>233943</v>
      </c>
      <c r="C166" s="276" t="s">
        <v>266</v>
      </c>
      <c r="D166" s="276">
        <v>233943</v>
      </c>
      <c r="E166" s="276" t="s">
        <v>274</v>
      </c>
      <c r="F166" s="276"/>
      <c r="G166" s="276" t="s">
        <v>287</v>
      </c>
      <c r="H166" s="296" t="s">
        <v>1592</v>
      </c>
      <c r="I166" s="296"/>
      <c r="J166" s="296" t="s">
        <v>1600</v>
      </c>
    </row>
    <row r="167" spans="1:10" ht="17.25">
      <c r="A167">
        <v>166</v>
      </c>
      <c r="B167" s="237">
        <f t="shared" si="3"/>
        <v>233947</v>
      </c>
      <c r="C167" s="276" t="s">
        <v>266</v>
      </c>
      <c r="D167" s="276">
        <v>233947</v>
      </c>
      <c r="E167" s="276" t="s">
        <v>274</v>
      </c>
      <c r="F167" s="276"/>
      <c r="G167" s="276" t="s">
        <v>277</v>
      </c>
      <c r="H167" s="296"/>
      <c r="I167" s="296"/>
      <c r="J167" s="296" t="s">
        <v>1759</v>
      </c>
    </row>
    <row r="168" spans="1:10" ht="17.25">
      <c r="A168">
        <v>167</v>
      </c>
      <c r="B168" s="237" t="str">
        <f t="shared" si="3"/>
        <v>1M3000</v>
      </c>
      <c r="C168" s="276" t="s">
        <v>266</v>
      </c>
      <c r="D168" s="288" t="s">
        <v>293</v>
      </c>
      <c r="E168" s="276" t="s">
        <v>33</v>
      </c>
      <c r="F168" s="276"/>
      <c r="G168" s="276" t="s">
        <v>269</v>
      </c>
      <c r="H168" s="296"/>
      <c r="I168" s="296"/>
      <c r="J168" s="296" t="s">
        <v>294</v>
      </c>
    </row>
    <row r="169" spans="1:10" ht="17.25">
      <c r="A169">
        <v>168</v>
      </c>
      <c r="B169" s="237" t="str">
        <f t="shared" si="3"/>
        <v>1MI1600</v>
      </c>
      <c r="C169" s="276" t="s">
        <v>266</v>
      </c>
      <c r="D169" s="276" t="s">
        <v>267</v>
      </c>
      <c r="E169" s="276" t="s">
        <v>268</v>
      </c>
      <c r="F169" s="276"/>
      <c r="G169" s="276" t="s">
        <v>269</v>
      </c>
      <c r="H169" s="296" t="s">
        <v>270</v>
      </c>
      <c r="I169" s="296"/>
      <c r="J169" s="296" t="s">
        <v>271</v>
      </c>
    </row>
    <row r="170" spans="1:10" ht="17.25">
      <c r="A170">
        <v>169</v>
      </c>
      <c r="B170" s="237" t="str">
        <f t="shared" si="3"/>
        <v>2M9600</v>
      </c>
      <c r="C170" s="276" t="s">
        <v>266</v>
      </c>
      <c r="D170" s="276" t="s">
        <v>297</v>
      </c>
      <c r="E170" s="276" t="s">
        <v>33</v>
      </c>
      <c r="F170" s="276"/>
      <c r="G170" s="276" t="s">
        <v>269</v>
      </c>
      <c r="H170" s="296"/>
      <c r="I170" s="296"/>
      <c r="J170" s="296" t="s">
        <v>298</v>
      </c>
    </row>
    <row r="171" spans="1:10" ht="17.25">
      <c r="A171">
        <v>170</v>
      </c>
      <c r="B171" s="237" t="str">
        <f t="shared" si="3"/>
        <v>2MFB00</v>
      </c>
      <c r="C171" s="276" t="s">
        <v>266</v>
      </c>
      <c r="D171" s="276" t="s">
        <v>299</v>
      </c>
      <c r="E171" s="276" t="s">
        <v>33</v>
      </c>
      <c r="F171" s="276"/>
      <c r="G171" s="276" t="s">
        <v>269</v>
      </c>
      <c r="H171" s="296"/>
      <c r="I171" s="296"/>
      <c r="J171" s="296" t="s">
        <v>300</v>
      </c>
    </row>
    <row r="172" spans="1:10" ht="17.25">
      <c r="A172">
        <v>171</v>
      </c>
      <c r="B172" s="237" t="str">
        <f t="shared" si="3"/>
        <v>5S16</v>
      </c>
      <c r="C172" s="271" t="s">
        <v>594</v>
      </c>
      <c r="D172" s="271" t="s">
        <v>595</v>
      </c>
      <c r="E172" s="271" t="s">
        <v>42</v>
      </c>
      <c r="F172" s="271" t="s">
        <v>10</v>
      </c>
      <c r="G172" s="271" t="s">
        <v>27</v>
      </c>
      <c r="H172" s="254" t="s">
        <v>596</v>
      </c>
      <c r="I172" s="268"/>
      <c r="J172" s="275" t="s">
        <v>1493</v>
      </c>
    </row>
    <row r="173" spans="1:10" ht="17.25">
      <c r="A173">
        <v>172</v>
      </c>
      <c r="B173" s="237" t="str">
        <f t="shared" si="3"/>
        <v>5S27</v>
      </c>
      <c r="C173" s="271" t="s">
        <v>594</v>
      </c>
      <c r="D173" s="271" t="s">
        <v>598</v>
      </c>
      <c r="E173" s="271" t="s">
        <v>42</v>
      </c>
      <c r="F173" s="271" t="s">
        <v>10</v>
      </c>
      <c r="G173" s="271" t="s">
        <v>28</v>
      </c>
      <c r="H173" s="254" t="s">
        <v>599</v>
      </c>
      <c r="I173" s="268"/>
      <c r="J173" s="275" t="s">
        <v>1495</v>
      </c>
    </row>
    <row r="174" spans="1:10" ht="17.25">
      <c r="A174">
        <v>173</v>
      </c>
      <c r="B174" s="237" t="str">
        <f t="shared" si="3"/>
        <v>5S28</v>
      </c>
      <c r="C174" s="271" t="s">
        <v>594</v>
      </c>
      <c r="D174" s="271" t="s">
        <v>601</v>
      </c>
      <c r="E174" s="271" t="s">
        <v>42</v>
      </c>
      <c r="F174" s="271" t="s">
        <v>10</v>
      </c>
      <c r="G174" s="271" t="s">
        <v>28</v>
      </c>
      <c r="H174" s="254" t="s">
        <v>602</v>
      </c>
      <c r="I174" s="268"/>
      <c r="J174" s="275" t="s">
        <v>1494</v>
      </c>
    </row>
    <row r="175" spans="1:10" ht="17.25">
      <c r="A175">
        <v>174</v>
      </c>
      <c r="B175" s="237" t="str">
        <f t="shared" si="3"/>
        <v>5S28</v>
      </c>
      <c r="C175" s="271" t="s">
        <v>594</v>
      </c>
      <c r="D175" s="271" t="s">
        <v>601</v>
      </c>
      <c r="E175" s="271" t="s">
        <v>42</v>
      </c>
      <c r="F175" s="271" t="s">
        <v>10</v>
      </c>
      <c r="G175" s="271" t="s">
        <v>28</v>
      </c>
      <c r="H175" s="254" t="s">
        <v>602</v>
      </c>
      <c r="I175" s="268"/>
      <c r="J175" s="275" t="s">
        <v>1494</v>
      </c>
    </row>
    <row r="176" spans="1:10" ht="17.25">
      <c r="A176">
        <v>175</v>
      </c>
      <c r="B176" s="237" t="str">
        <f t="shared" si="3"/>
        <v>CH08</v>
      </c>
      <c r="C176" s="271" t="s">
        <v>594</v>
      </c>
      <c r="D176" s="271" t="s">
        <v>474</v>
      </c>
      <c r="E176" s="271" t="s">
        <v>37</v>
      </c>
      <c r="F176" s="271" t="s">
        <v>10</v>
      </c>
      <c r="G176" s="271" t="s">
        <v>58</v>
      </c>
      <c r="H176" s="254" t="s">
        <v>604</v>
      </c>
      <c r="I176" s="268"/>
      <c r="J176" s="275" t="s">
        <v>605</v>
      </c>
    </row>
    <row r="177" spans="1:10" ht="17.25">
      <c r="A177">
        <v>176</v>
      </c>
      <c r="B177" s="237" t="str">
        <f t="shared" si="3"/>
        <v>CK01</v>
      </c>
      <c r="C177" s="271" t="s">
        <v>594</v>
      </c>
      <c r="D177" s="271" t="s">
        <v>608</v>
      </c>
      <c r="E177" s="271" t="s">
        <v>37</v>
      </c>
      <c r="F177" s="271" t="s">
        <v>10</v>
      </c>
      <c r="G177" s="271" t="s">
        <v>28</v>
      </c>
      <c r="H177" s="254" t="s">
        <v>609</v>
      </c>
      <c r="I177" s="268"/>
      <c r="J177" s="275" t="s">
        <v>610</v>
      </c>
    </row>
    <row r="178" spans="1:10" ht="17.25">
      <c r="A178">
        <v>177</v>
      </c>
      <c r="B178" s="237" t="str">
        <f t="shared" si="3"/>
        <v>CK02</v>
      </c>
      <c r="C178" s="271" t="s">
        <v>594</v>
      </c>
      <c r="D178" s="271" t="s">
        <v>612</v>
      </c>
      <c r="E178" s="271" t="s">
        <v>37</v>
      </c>
      <c r="F178" s="271" t="s">
        <v>10</v>
      </c>
      <c r="G178" s="271" t="s">
        <v>28</v>
      </c>
      <c r="H178" s="254" t="s">
        <v>609</v>
      </c>
      <c r="I178" s="268"/>
      <c r="J178" s="275" t="s">
        <v>613</v>
      </c>
    </row>
    <row r="179" spans="1:10" ht="17.25">
      <c r="A179">
        <v>178</v>
      </c>
      <c r="B179" s="237" t="str">
        <f t="shared" si="3"/>
        <v>ETF5</v>
      </c>
      <c r="C179" s="271" t="s">
        <v>594</v>
      </c>
      <c r="D179" s="271" t="s">
        <v>1321</v>
      </c>
      <c r="E179" s="271" t="s">
        <v>33</v>
      </c>
      <c r="F179" s="271" t="s">
        <v>10</v>
      </c>
      <c r="G179" s="271" t="s">
        <v>149</v>
      </c>
      <c r="H179" s="254" t="s">
        <v>1284</v>
      </c>
      <c r="I179" s="268"/>
      <c r="J179" s="275" t="s">
        <v>1323</v>
      </c>
    </row>
    <row r="180" spans="1:10" ht="17.25">
      <c r="A180">
        <v>179</v>
      </c>
      <c r="B180" s="237" t="str">
        <f t="shared" si="3"/>
        <v>FB01</v>
      </c>
      <c r="C180" s="271" t="s">
        <v>594</v>
      </c>
      <c r="D180" s="254" t="s">
        <v>941</v>
      </c>
      <c r="E180" s="271" t="s">
        <v>33</v>
      </c>
      <c r="F180" s="268"/>
      <c r="G180" s="268"/>
      <c r="H180" s="268"/>
      <c r="I180" s="268"/>
      <c r="J180" s="355" t="s">
        <v>939</v>
      </c>
    </row>
    <row r="181" spans="1:10" ht="17.25">
      <c r="A181">
        <v>180</v>
      </c>
      <c r="B181" s="237" t="str">
        <f t="shared" si="3"/>
        <v>FB06</v>
      </c>
      <c r="C181" s="271" t="s">
        <v>594</v>
      </c>
      <c r="D181" s="254" t="s">
        <v>1191</v>
      </c>
      <c r="E181" s="271" t="s">
        <v>33</v>
      </c>
      <c r="F181" s="268"/>
      <c r="G181" s="268"/>
      <c r="H181" s="268"/>
      <c r="I181" s="268"/>
      <c r="J181" s="355" t="s">
        <v>1189</v>
      </c>
    </row>
    <row r="182" spans="1:10" ht="17.25">
      <c r="A182">
        <v>181</v>
      </c>
      <c r="B182" s="237" t="str">
        <f t="shared" si="3"/>
        <v>FB07</v>
      </c>
      <c r="C182" s="271" t="s">
        <v>594</v>
      </c>
      <c r="D182" s="254" t="s">
        <v>1222</v>
      </c>
      <c r="E182" s="271" t="s">
        <v>33</v>
      </c>
      <c r="F182" s="268"/>
      <c r="G182" s="268"/>
      <c r="H182" s="268"/>
      <c r="I182" s="268"/>
      <c r="J182" s="355" t="s">
        <v>1220</v>
      </c>
    </row>
    <row r="183" spans="1:10" ht="17.25">
      <c r="A183">
        <v>182</v>
      </c>
      <c r="B183" s="237" t="str">
        <f t="shared" si="3"/>
        <v>FB08</v>
      </c>
      <c r="C183" s="271" t="s">
        <v>594</v>
      </c>
      <c r="D183" s="254" t="s">
        <v>1230</v>
      </c>
      <c r="E183" s="271" t="s">
        <v>33</v>
      </c>
      <c r="F183" s="268"/>
      <c r="G183" s="268"/>
      <c r="H183" s="268"/>
      <c r="I183" s="268"/>
      <c r="J183" s="355" t="s">
        <v>1228</v>
      </c>
    </row>
    <row r="184" spans="1:10" ht="17.25">
      <c r="A184">
        <v>183</v>
      </c>
      <c r="B184" s="237" t="str">
        <f t="shared" si="3"/>
        <v>FB18</v>
      </c>
      <c r="C184" s="271" t="s">
        <v>594</v>
      </c>
      <c r="D184" s="254" t="s">
        <v>887</v>
      </c>
      <c r="E184" s="271" t="s">
        <v>33</v>
      </c>
      <c r="F184" s="268"/>
      <c r="G184" s="268"/>
      <c r="H184" s="268"/>
      <c r="I184" s="268"/>
      <c r="J184" s="355" t="s">
        <v>885</v>
      </c>
    </row>
    <row r="185" spans="1:10" ht="17.25">
      <c r="A185">
        <v>184</v>
      </c>
      <c r="B185" s="237" t="str">
        <f t="shared" si="3"/>
        <v>FB19</v>
      </c>
      <c r="C185" s="271" t="s">
        <v>594</v>
      </c>
      <c r="D185" s="254" t="s">
        <v>909</v>
      </c>
      <c r="E185" s="271" t="s">
        <v>33</v>
      </c>
      <c r="F185" s="268"/>
      <c r="G185" s="268"/>
      <c r="H185" s="268"/>
      <c r="I185" s="268"/>
      <c r="J185" s="355" t="s">
        <v>907</v>
      </c>
    </row>
    <row r="186" spans="1:10" ht="17.25">
      <c r="A186">
        <v>185</v>
      </c>
      <c r="B186" s="237" t="str">
        <f t="shared" si="3"/>
        <v>FB20</v>
      </c>
      <c r="C186" s="271" t="s">
        <v>594</v>
      </c>
      <c r="D186" s="254" t="s">
        <v>898</v>
      </c>
      <c r="E186" s="271" t="s">
        <v>33</v>
      </c>
      <c r="F186" s="268"/>
      <c r="G186" s="268"/>
      <c r="H186" s="268"/>
      <c r="I186" s="268"/>
      <c r="J186" s="355" t="s">
        <v>896</v>
      </c>
    </row>
    <row r="187" spans="1:10" ht="17.25">
      <c r="A187">
        <v>186</v>
      </c>
      <c r="B187" s="237" t="str">
        <f t="shared" si="3"/>
        <v>FB24</v>
      </c>
      <c r="C187" s="271" t="s">
        <v>594</v>
      </c>
      <c r="D187" s="254" t="s">
        <v>925</v>
      </c>
      <c r="E187" s="271" t="s">
        <v>33</v>
      </c>
      <c r="F187" s="268"/>
      <c r="G187" s="268"/>
      <c r="H187" s="268"/>
      <c r="I187" s="268"/>
      <c r="J187" s="355" t="s">
        <v>923</v>
      </c>
    </row>
    <row r="188" spans="1:10" ht="17.25">
      <c r="A188">
        <v>187</v>
      </c>
      <c r="B188" s="237" t="str">
        <f t="shared" si="3"/>
        <v>FB28</v>
      </c>
      <c r="C188" s="271" t="s">
        <v>594</v>
      </c>
      <c r="D188" s="254" t="s">
        <v>933</v>
      </c>
      <c r="E188" s="271" t="s">
        <v>33</v>
      </c>
      <c r="F188" s="268"/>
      <c r="G188" s="268"/>
      <c r="H188" s="268"/>
      <c r="I188" s="268"/>
      <c r="J188" s="355" t="s">
        <v>931</v>
      </c>
    </row>
    <row r="189" spans="1:10" ht="17.25">
      <c r="A189">
        <v>188</v>
      </c>
      <c r="B189" s="237" t="str">
        <f t="shared" si="3"/>
        <v>FB32</v>
      </c>
      <c r="C189" s="271" t="s">
        <v>594</v>
      </c>
      <c r="D189" s="254" t="s">
        <v>917</v>
      </c>
      <c r="E189" s="271" t="s">
        <v>33</v>
      </c>
      <c r="F189" s="268"/>
      <c r="G189" s="268"/>
      <c r="H189" s="268"/>
      <c r="I189" s="268"/>
      <c r="J189" s="355" t="s">
        <v>915</v>
      </c>
    </row>
    <row r="190" spans="1:10" ht="17.25">
      <c r="A190">
        <v>189</v>
      </c>
      <c r="B190" s="237" t="str">
        <f t="shared" si="3"/>
        <v>FB33</v>
      </c>
      <c r="C190" s="271" t="s">
        <v>594</v>
      </c>
      <c r="D190" s="254" t="s">
        <v>950</v>
      </c>
      <c r="E190" s="271" t="s">
        <v>33</v>
      </c>
      <c r="F190" s="268"/>
      <c r="G190" s="268"/>
      <c r="H190" s="268"/>
      <c r="I190" s="268"/>
      <c r="J190" s="355" t="s">
        <v>948</v>
      </c>
    </row>
    <row r="191" spans="1:10" ht="17.25">
      <c r="A191">
        <v>190</v>
      </c>
      <c r="B191" s="237" t="str">
        <f t="shared" si="3"/>
        <v>FB34</v>
      </c>
      <c r="C191" s="271" t="s">
        <v>594</v>
      </c>
      <c r="D191" s="254" t="s">
        <v>958</v>
      </c>
      <c r="E191" s="271" t="s">
        <v>33</v>
      </c>
      <c r="F191" s="268"/>
      <c r="G191" s="268"/>
      <c r="H191" s="268"/>
      <c r="I191" s="268"/>
      <c r="J191" s="355" t="s">
        <v>956</v>
      </c>
    </row>
    <row r="192" spans="1:10" ht="17.25">
      <c r="A192">
        <v>191</v>
      </c>
      <c r="B192" s="237" t="str">
        <f t="shared" si="3"/>
        <v>FB35</v>
      </c>
      <c r="C192" s="271" t="s">
        <v>594</v>
      </c>
      <c r="D192" s="254" t="s">
        <v>966</v>
      </c>
      <c r="E192" s="271" t="s">
        <v>33</v>
      </c>
      <c r="F192" s="268"/>
      <c r="G192" s="268"/>
      <c r="H192" s="268"/>
      <c r="I192" s="268"/>
      <c r="J192" s="355" t="s">
        <v>964</v>
      </c>
    </row>
    <row r="193" spans="1:10" ht="17.25">
      <c r="A193">
        <v>192</v>
      </c>
      <c r="B193" s="237" t="str">
        <f t="shared" si="3"/>
        <v>FB41</v>
      </c>
      <c r="C193" s="271" t="s">
        <v>594</v>
      </c>
      <c r="D193" s="254" t="s">
        <v>974</v>
      </c>
      <c r="E193" s="271" t="s">
        <v>33</v>
      </c>
      <c r="F193" s="268"/>
      <c r="G193" s="268"/>
      <c r="H193" s="268"/>
      <c r="I193" s="268"/>
      <c r="J193" s="355" t="s">
        <v>972</v>
      </c>
    </row>
    <row r="194" spans="1:10" ht="17.25">
      <c r="A194">
        <v>193</v>
      </c>
      <c r="B194" s="237" t="str">
        <f t="shared" si="3"/>
        <v>FE01</v>
      </c>
      <c r="C194" s="271" t="s">
        <v>594</v>
      </c>
      <c r="D194" s="254" t="s">
        <v>1028</v>
      </c>
      <c r="E194" s="271" t="s">
        <v>33</v>
      </c>
      <c r="F194" s="268"/>
      <c r="G194" s="268"/>
      <c r="H194" s="268"/>
      <c r="I194" s="268"/>
      <c r="J194" s="355" t="s">
        <v>1026</v>
      </c>
    </row>
    <row r="195" spans="1:10" ht="17.25">
      <c r="A195">
        <v>194</v>
      </c>
      <c r="B195" s="237" t="str">
        <f t="shared" si="3"/>
        <v>FE02</v>
      </c>
      <c r="C195" s="271" t="s">
        <v>594</v>
      </c>
      <c r="D195" s="254" t="s">
        <v>1037</v>
      </c>
      <c r="E195" s="271" t="s">
        <v>33</v>
      </c>
      <c r="F195" s="268"/>
      <c r="G195" s="268"/>
      <c r="H195" s="268"/>
      <c r="I195" s="268"/>
      <c r="J195" s="355" t="s">
        <v>1035</v>
      </c>
    </row>
    <row r="196" spans="1:10" ht="17.25">
      <c r="A196">
        <v>195</v>
      </c>
      <c r="B196" s="237" t="str">
        <f t="shared" si="3"/>
        <v>FE10</v>
      </c>
      <c r="C196" s="271" t="s">
        <v>594</v>
      </c>
      <c r="D196" s="254" t="s">
        <v>1086</v>
      </c>
      <c r="E196" s="271" t="s">
        <v>33</v>
      </c>
      <c r="F196" s="268"/>
      <c r="G196" s="268"/>
      <c r="H196" s="268"/>
      <c r="I196" s="268"/>
      <c r="J196" s="355" t="s">
        <v>1084</v>
      </c>
    </row>
    <row r="197" spans="1:10" ht="17.25">
      <c r="A197">
        <v>196</v>
      </c>
      <c r="B197" s="237" t="str">
        <f t="shared" ref="B197:B260" si="4">D197</f>
        <v>FE11</v>
      </c>
      <c r="C197" s="271" t="s">
        <v>594</v>
      </c>
      <c r="D197" s="254" t="s">
        <v>1078</v>
      </c>
      <c r="E197" s="271" t="s">
        <v>33</v>
      </c>
      <c r="F197" s="268"/>
      <c r="G197" s="268"/>
      <c r="H197" s="268"/>
      <c r="I197" s="268"/>
      <c r="J197" s="355" t="s">
        <v>1076</v>
      </c>
    </row>
    <row r="198" spans="1:10" ht="17.25">
      <c r="A198">
        <v>197</v>
      </c>
      <c r="B198" s="237" t="str">
        <f t="shared" si="4"/>
        <v>FE13</v>
      </c>
      <c r="C198" s="271" t="s">
        <v>594</v>
      </c>
      <c r="D198" s="254" t="s">
        <v>1070</v>
      </c>
      <c r="E198" s="271" t="s">
        <v>33</v>
      </c>
      <c r="F198" s="268"/>
      <c r="G198" s="268"/>
      <c r="H198" s="268"/>
      <c r="I198" s="268"/>
      <c r="J198" s="355" t="s">
        <v>1068</v>
      </c>
    </row>
    <row r="199" spans="1:10" ht="17.25">
      <c r="A199">
        <v>198</v>
      </c>
      <c r="B199" s="237" t="str">
        <f t="shared" si="4"/>
        <v>FE14</v>
      </c>
      <c r="C199" s="271" t="s">
        <v>594</v>
      </c>
      <c r="D199" s="254" t="s">
        <v>1110</v>
      </c>
      <c r="E199" s="271" t="s">
        <v>33</v>
      </c>
      <c r="F199" s="268"/>
      <c r="G199" s="268"/>
      <c r="H199" s="268"/>
      <c r="I199" s="268"/>
      <c r="J199" s="355" t="s">
        <v>1108</v>
      </c>
    </row>
    <row r="200" spans="1:10" ht="17.25">
      <c r="A200">
        <v>199</v>
      </c>
      <c r="B200" s="237" t="str">
        <f t="shared" si="4"/>
        <v>FE15</v>
      </c>
      <c r="C200" s="271" t="s">
        <v>594</v>
      </c>
      <c r="D200" s="254" t="s">
        <v>1118</v>
      </c>
      <c r="E200" s="271" t="s">
        <v>33</v>
      </c>
      <c r="F200" s="268"/>
      <c r="G200" s="268"/>
      <c r="H200" s="268"/>
      <c r="I200" s="268"/>
      <c r="J200" s="355" t="s">
        <v>1116</v>
      </c>
    </row>
    <row r="201" spans="1:10" ht="17.25">
      <c r="A201">
        <v>200</v>
      </c>
      <c r="B201" s="237" t="str">
        <f t="shared" si="4"/>
        <v>FE24</v>
      </c>
      <c r="C201" s="271" t="s">
        <v>594</v>
      </c>
      <c r="D201" s="254" t="s">
        <v>1246</v>
      </c>
      <c r="E201" s="271" t="s">
        <v>33</v>
      </c>
      <c r="F201" s="268"/>
      <c r="G201" s="268"/>
      <c r="H201" s="268"/>
      <c r="I201" s="268"/>
      <c r="J201" s="355" t="s">
        <v>1244</v>
      </c>
    </row>
    <row r="202" spans="1:10" ht="17.25">
      <c r="A202">
        <v>201</v>
      </c>
      <c r="B202" s="237" t="str">
        <f t="shared" si="4"/>
        <v>FE28</v>
      </c>
      <c r="C202" s="271" t="s">
        <v>594</v>
      </c>
      <c r="D202" s="254" t="s">
        <v>1237</v>
      </c>
      <c r="E202" s="271" t="s">
        <v>33</v>
      </c>
      <c r="F202" s="268"/>
      <c r="G202" s="268"/>
      <c r="H202" s="268"/>
      <c r="I202" s="268"/>
      <c r="J202" s="355" t="s">
        <v>1235</v>
      </c>
    </row>
    <row r="203" spans="1:10" ht="17.25">
      <c r="A203">
        <v>202</v>
      </c>
      <c r="B203" s="237" t="str">
        <f t="shared" si="4"/>
        <v>FE32</v>
      </c>
      <c r="C203" s="271" t="s">
        <v>594</v>
      </c>
      <c r="D203" s="254" t="s">
        <v>1094</v>
      </c>
      <c r="E203" s="271" t="s">
        <v>33</v>
      </c>
      <c r="F203" s="268"/>
      <c r="G203" s="268"/>
      <c r="H203" s="268"/>
      <c r="I203" s="268"/>
      <c r="J203" s="355" t="s">
        <v>1092</v>
      </c>
    </row>
    <row r="204" spans="1:10" ht="17.25">
      <c r="A204">
        <v>203</v>
      </c>
      <c r="B204" s="237" t="str">
        <f t="shared" si="4"/>
        <v>FE33</v>
      </c>
      <c r="C204" s="271" t="s">
        <v>594</v>
      </c>
      <c r="D204" s="254" t="s">
        <v>1102</v>
      </c>
      <c r="E204" s="271" t="s">
        <v>33</v>
      </c>
      <c r="F204" s="268"/>
      <c r="G204" s="268"/>
      <c r="H204" s="268"/>
      <c r="I204" s="268"/>
      <c r="J204" s="355" t="s">
        <v>1100</v>
      </c>
    </row>
    <row r="205" spans="1:10" ht="17.25">
      <c r="A205">
        <v>204</v>
      </c>
      <c r="B205" s="237" t="str">
        <f t="shared" si="4"/>
        <v>FE42</v>
      </c>
      <c r="C205" s="271" t="s">
        <v>594</v>
      </c>
      <c r="D205" s="254" t="s">
        <v>1013</v>
      </c>
      <c r="E205" s="271" t="s">
        <v>33</v>
      </c>
      <c r="F205" s="268"/>
      <c r="G205" s="268"/>
      <c r="H205" s="268"/>
      <c r="I205" s="268"/>
      <c r="J205" s="355" t="s">
        <v>1011</v>
      </c>
    </row>
    <row r="206" spans="1:10" ht="17.25">
      <c r="A206">
        <v>205</v>
      </c>
      <c r="B206" s="237" t="str">
        <f t="shared" si="4"/>
        <v>FE43</v>
      </c>
      <c r="C206" s="271" t="s">
        <v>594</v>
      </c>
      <c r="D206" s="254" t="s">
        <v>1021</v>
      </c>
      <c r="E206" s="271" t="s">
        <v>33</v>
      </c>
      <c r="F206" s="268"/>
      <c r="G206" s="268"/>
      <c r="H206" s="268"/>
      <c r="I206" s="268"/>
      <c r="J206" s="355" t="s">
        <v>1019</v>
      </c>
    </row>
    <row r="207" spans="1:10" ht="17.25">
      <c r="A207">
        <v>206</v>
      </c>
      <c r="B207" s="237" t="str">
        <f t="shared" si="4"/>
        <v>FE53</v>
      </c>
      <c r="C207" s="271" t="s">
        <v>594</v>
      </c>
      <c r="D207" s="254" t="s">
        <v>983</v>
      </c>
      <c r="E207" s="271" t="s">
        <v>33</v>
      </c>
      <c r="F207" s="268"/>
      <c r="G207" s="268"/>
      <c r="H207" s="268"/>
      <c r="I207" s="268"/>
      <c r="J207" s="355" t="s">
        <v>981</v>
      </c>
    </row>
    <row r="208" spans="1:10" ht="17.25">
      <c r="A208">
        <v>207</v>
      </c>
      <c r="B208" s="237" t="str">
        <f t="shared" si="4"/>
        <v>FE54</v>
      </c>
      <c r="C208" s="271" t="s">
        <v>594</v>
      </c>
      <c r="D208" s="254" t="s">
        <v>991</v>
      </c>
      <c r="E208" s="271" t="s">
        <v>33</v>
      </c>
      <c r="F208" s="268"/>
      <c r="G208" s="268"/>
      <c r="H208" s="268"/>
      <c r="I208" s="268"/>
      <c r="J208" s="355" t="s">
        <v>989</v>
      </c>
    </row>
    <row r="209" spans="1:10" ht="17.25">
      <c r="A209">
        <v>208</v>
      </c>
      <c r="B209" s="237" t="str">
        <f t="shared" si="4"/>
        <v>FE61</v>
      </c>
      <c r="C209" s="271" t="s">
        <v>594</v>
      </c>
      <c r="D209" s="254" t="s">
        <v>998</v>
      </c>
      <c r="E209" s="271" t="s">
        <v>33</v>
      </c>
      <c r="F209" s="268"/>
      <c r="G209" s="268"/>
      <c r="H209" s="268"/>
      <c r="I209" s="268"/>
      <c r="J209" s="355" t="s">
        <v>996</v>
      </c>
    </row>
    <row r="210" spans="1:10" ht="17.25">
      <c r="A210">
        <v>209</v>
      </c>
      <c r="B210" s="237" t="str">
        <f t="shared" si="4"/>
        <v>FE66</v>
      </c>
      <c r="C210" s="271" t="s">
        <v>594</v>
      </c>
      <c r="D210" s="254" t="s">
        <v>1046</v>
      </c>
      <c r="E210" s="271" t="s">
        <v>33</v>
      </c>
      <c r="F210" s="268"/>
      <c r="G210" s="268"/>
      <c r="H210" s="268"/>
      <c r="I210" s="268"/>
      <c r="J210" s="355" t="s">
        <v>1044</v>
      </c>
    </row>
    <row r="211" spans="1:10" ht="17.25">
      <c r="A211">
        <v>210</v>
      </c>
      <c r="B211" s="237" t="str">
        <f t="shared" si="4"/>
        <v>FE67</v>
      </c>
      <c r="C211" s="271" t="s">
        <v>594</v>
      </c>
      <c r="D211" s="254" t="s">
        <v>1054</v>
      </c>
      <c r="E211" s="271" t="s">
        <v>33</v>
      </c>
      <c r="F211" s="268"/>
      <c r="G211" s="268"/>
      <c r="H211" s="268"/>
      <c r="I211" s="268"/>
      <c r="J211" s="355" t="s">
        <v>1052</v>
      </c>
    </row>
    <row r="212" spans="1:10" ht="17.25">
      <c r="A212">
        <v>211</v>
      </c>
      <c r="B212" s="237" t="str">
        <f t="shared" si="4"/>
        <v>FE78</v>
      </c>
      <c r="C212" s="271" t="s">
        <v>594</v>
      </c>
      <c r="D212" s="254" t="s">
        <v>1006</v>
      </c>
      <c r="E212" s="271" t="s">
        <v>33</v>
      </c>
      <c r="F212" s="268"/>
      <c r="G212" s="268"/>
      <c r="H212" s="268"/>
      <c r="I212" s="268"/>
      <c r="J212" s="355" t="s">
        <v>1004</v>
      </c>
    </row>
    <row r="213" spans="1:10" ht="17.25">
      <c r="A213">
        <v>212</v>
      </c>
      <c r="B213" s="237" t="str">
        <f t="shared" si="4"/>
        <v>FE79</v>
      </c>
      <c r="C213" s="271" t="s">
        <v>594</v>
      </c>
      <c r="D213" s="254" t="s">
        <v>1062</v>
      </c>
      <c r="E213" s="271" t="s">
        <v>33</v>
      </c>
      <c r="F213" s="268"/>
      <c r="G213" s="268"/>
      <c r="H213" s="268"/>
      <c r="I213" s="268"/>
      <c r="J213" s="355" t="s">
        <v>1060</v>
      </c>
    </row>
    <row r="214" spans="1:10" ht="17.25">
      <c r="A214">
        <v>213</v>
      </c>
      <c r="B214" s="237" t="str">
        <f t="shared" si="4"/>
        <v>FL02</v>
      </c>
      <c r="C214" s="271" t="s">
        <v>594</v>
      </c>
      <c r="D214" s="271" t="s">
        <v>865</v>
      </c>
      <c r="E214" s="271" t="s">
        <v>37</v>
      </c>
      <c r="F214" s="271" t="s">
        <v>10</v>
      </c>
      <c r="G214" s="271" t="s">
        <v>149</v>
      </c>
      <c r="H214" s="254" t="s">
        <v>851</v>
      </c>
      <c r="I214" s="268"/>
      <c r="J214" s="275" t="s">
        <v>867</v>
      </c>
    </row>
    <row r="215" spans="1:10" ht="17.25">
      <c r="A215">
        <v>214</v>
      </c>
      <c r="B215" s="237" t="str">
        <f t="shared" si="4"/>
        <v>FS01</v>
      </c>
      <c r="C215" s="271" t="s">
        <v>594</v>
      </c>
      <c r="D215" s="254" t="s">
        <v>1167</v>
      </c>
      <c r="E215" s="271" t="s">
        <v>33</v>
      </c>
      <c r="F215" s="268"/>
      <c r="G215" s="268"/>
      <c r="H215" s="268"/>
      <c r="I215" s="268"/>
      <c r="J215" s="355" t="s">
        <v>1165</v>
      </c>
    </row>
    <row r="216" spans="1:10" ht="17.25">
      <c r="A216">
        <v>215</v>
      </c>
      <c r="B216" s="237" t="str">
        <f t="shared" si="4"/>
        <v>FS02</v>
      </c>
      <c r="C216" s="271" t="s">
        <v>594</v>
      </c>
      <c r="D216" s="254" t="s">
        <v>1183</v>
      </c>
      <c r="E216" s="271" t="s">
        <v>33</v>
      </c>
      <c r="F216" s="268"/>
      <c r="G216" s="268"/>
      <c r="H216" s="268"/>
      <c r="I216" s="268"/>
      <c r="J216" s="355" t="s">
        <v>1181</v>
      </c>
    </row>
    <row r="217" spans="1:10" ht="17.25">
      <c r="A217">
        <v>216</v>
      </c>
      <c r="B217" s="237" t="str">
        <f t="shared" si="4"/>
        <v>FS03</v>
      </c>
      <c r="C217" s="271" t="s">
        <v>594</v>
      </c>
      <c r="D217" s="254" t="s">
        <v>1176</v>
      </c>
      <c r="E217" s="271" t="s">
        <v>33</v>
      </c>
      <c r="F217" s="268"/>
      <c r="G217" s="268"/>
      <c r="H217" s="268"/>
      <c r="I217" s="268"/>
      <c r="J217" s="355" t="s">
        <v>1174</v>
      </c>
    </row>
    <row r="218" spans="1:10" ht="17.25">
      <c r="A218">
        <v>217</v>
      </c>
      <c r="B218" s="237" t="str">
        <f t="shared" si="4"/>
        <v>FS08</v>
      </c>
      <c r="C218" s="271" t="s">
        <v>594</v>
      </c>
      <c r="D218" s="254" t="s">
        <v>1199</v>
      </c>
      <c r="E218" s="271" t="s">
        <v>33</v>
      </c>
      <c r="F218" s="268"/>
      <c r="G218" s="268"/>
      <c r="H218" s="268"/>
      <c r="I218" s="268"/>
      <c r="J218" s="355" t="s">
        <v>1197</v>
      </c>
    </row>
    <row r="219" spans="1:10" ht="17.25">
      <c r="A219">
        <v>218</v>
      </c>
      <c r="B219" s="237" t="str">
        <f t="shared" si="4"/>
        <v>FS09</v>
      </c>
      <c r="C219" s="271" t="s">
        <v>594</v>
      </c>
      <c r="D219" s="254" t="s">
        <v>1215</v>
      </c>
      <c r="E219" s="271" t="s">
        <v>33</v>
      </c>
      <c r="F219" s="268"/>
      <c r="G219" s="268"/>
      <c r="H219" s="268"/>
      <c r="I219" s="268"/>
      <c r="J219" s="355" t="s">
        <v>1213</v>
      </c>
    </row>
    <row r="220" spans="1:10" ht="17.25">
      <c r="A220">
        <v>219</v>
      </c>
      <c r="B220" s="237" t="str">
        <f t="shared" si="4"/>
        <v>FS10</v>
      </c>
      <c r="C220" s="271" t="s">
        <v>594</v>
      </c>
      <c r="D220" s="254" t="s">
        <v>1207</v>
      </c>
      <c r="E220" s="271" t="s">
        <v>33</v>
      </c>
      <c r="F220" s="268"/>
      <c r="G220" s="268"/>
      <c r="H220" s="268"/>
      <c r="I220" s="268"/>
      <c r="J220" s="355" t="s">
        <v>1205</v>
      </c>
    </row>
    <row r="221" spans="1:10" ht="17.25">
      <c r="A221">
        <v>220</v>
      </c>
      <c r="B221" s="237" t="str">
        <f t="shared" si="4"/>
        <v>FS15</v>
      </c>
      <c r="C221" s="271" t="s">
        <v>594</v>
      </c>
      <c r="D221" s="254" t="s">
        <v>1159</v>
      </c>
      <c r="E221" s="271" t="s">
        <v>33</v>
      </c>
      <c r="F221" s="268"/>
      <c r="G221" s="268"/>
      <c r="H221" s="268"/>
      <c r="I221" s="268"/>
      <c r="J221" s="356" t="s">
        <v>1157</v>
      </c>
    </row>
    <row r="222" spans="1:10" ht="17.25">
      <c r="A222">
        <v>221</v>
      </c>
      <c r="B222" s="237" t="str">
        <f t="shared" si="4"/>
        <v>FS19</v>
      </c>
      <c r="C222" s="271" t="s">
        <v>594</v>
      </c>
      <c r="D222" s="254" t="s">
        <v>1126</v>
      </c>
      <c r="E222" s="271" t="s">
        <v>33</v>
      </c>
      <c r="F222" s="268"/>
      <c r="G222" s="268"/>
      <c r="H222" s="268"/>
      <c r="I222" s="268"/>
      <c r="J222" s="356" t="s">
        <v>1124</v>
      </c>
    </row>
    <row r="223" spans="1:10" ht="17.25">
      <c r="A223">
        <v>222</v>
      </c>
      <c r="B223" s="237" t="str">
        <f t="shared" si="4"/>
        <v>FS20</v>
      </c>
      <c r="C223" s="271" t="s">
        <v>594</v>
      </c>
      <c r="D223" s="254" t="s">
        <v>1151</v>
      </c>
      <c r="E223" s="271" t="s">
        <v>33</v>
      </c>
      <c r="F223" s="268"/>
      <c r="G223" s="268"/>
      <c r="H223" s="268"/>
      <c r="I223" s="268"/>
      <c r="J223" s="356" t="s">
        <v>1149</v>
      </c>
    </row>
    <row r="224" spans="1:10" ht="17.25">
      <c r="A224">
        <v>223</v>
      </c>
      <c r="B224" s="237" t="str">
        <f t="shared" si="4"/>
        <v>FS21</v>
      </c>
      <c r="C224" s="271" t="s">
        <v>594</v>
      </c>
      <c r="D224" s="254" t="s">
        <v>1143</v>
      </c>
      <c r="E224" s="271" t="s">
        <v>33</v>
      </c>
      <c r="F224" s="268"/>
      <c r="G224" s="268"/>
      <c r="H224" s="268"/>
      <c r="I224" s="268"/>
      <c r="J224" s="356" t="s">
        <v>1141</v>
      </c>
    </row>
    <row r="225" spans="1:10" ht="17.25">
      <c r="A225">
        <v>224</v>
      </c>
      <c r="B225" s="237" t="str">
        <f t="shared" si="4"/>
        <v>FS28</v>
      </c>
      <c r="C225" s="271" t="s">
        <v>594</v>
      </c>
      <c r="D225" s="254" t="s">
        <v>1135</v>
      </c>
      <c r="E225" s="271" t="s">
        <v>33</v>
      </c>
      <c r="F225" s="268"/>
      <c r="G225" s="268"/>
      <c r="H225" s="268"/>
      <c r="I225" s="268"/>
      <c r="J225" s="356" t="s">
        <v>1133</v>
      </c>
    </row>
    <row r="226" spans="1:10" ht="17.25">
      <c r="A226">
        <v>225</v>
      </c>
      <c r="B226" s="237" t="str">
        <f t="shared" si="4"/>
        <v>FT02</v>
      </c>
      <c r="C226" s="271" t="s">
        <v>594</v>
      </c>
      <c r="D226" s="271" t="s">
        <v>864</v>
      </c>
      <c r="E226" s="271" t="s">
        <v>37</v>
      </c>
      <c r="F226" s="271" t="s">
        <v>10</v>
      </c>
      <c r="G226" s="271" t="s">
        <v>149</v>
      </c>
      <c r="H226" s="254" t="s">
        <v>851</v>
      </c>
      <c r="I226" s="268"/>
      <c r="J226" s="275" t="s">
        <v>866</v>
      </c>
    </row>
    <row r="227" spans="1:10" ht="17.25">
      <c r="A227">
        <v>226</v>
      </c>
      <c r="B227" s="237" t="str">
        <f t="shared" si="4"/>
        <v>G001</v>
      </c>
      <c r="C227" s="271" t="s">
        <v>594</v>
      </c>
      <c r="D227" s="271" t="s">
        <v>614</v>
      </c>
      <c r="E227" s="271" t="s">
        <v>42</v>
      </c>
      <c r="F227" s="271" t="s">
        <v>10</v>
      </c>
      <c r="G227" s="271" t="s">
        <v>28</v>
      </c>
      <c r="H227" s="254" t="s">
        <v>599</v>
      </c>
      <c r="I227" s="268"/>
      <c r="J227" s="275" t="s">
        <v>615</v>
      </c>
    </row>
    <row r="228" spans="1:10" ht="17.25">
      <c r="A228">
        <v>227</v>
      </c>
      <c r="B228" s="237" t="str">
        <f t="shared" si="4"/>
        <v>G002</v>
      </c>
      <c r="C228" s="271" t="s">
        <v>594</v>
      </c>
      <c r="D228" s="271" t="s">
        <v>617</v>
      </c>
      <c r="E228" s="271" t="s">
        <v>42</v>
      </c>
      <c r="F228" s="271" t="s">
        <v>10</v>
      </c>
      <c r="G228" s="271" t="s">
        <v>28</v>
      </c>
      <c r="H228" s="254" t="s">
        <v>599</v>
      </c>
      <c r="I228" s="268"/>
      <c r="J228" s="275" t="s">
        <v>618</v>
      </c>
    </row>
    <row r="229" spans="1:10" ht="17.25">
      <c r="A229">
        <v>228</v>
      </c>
      <c r="B229" s="237" t="str">
        <f t="shared" si="4"/>
        <v>KZ19</v>
      </c>
      <c r="C229" s="271" t="s">
        <v>594</v>
      </c>
      <c r="D229" s="271" t="s">
        <v>619</v>
      </c>
      <c r="E229" s="271" t="s">
        <v>42</v>
      </c>
      <c r="F229" s="271" t="s">
        <v>10</v>
      </c>
      <c r="G229" s="271" t="s">
        <v>27</v>
      </c>
      <c r="H229" s="254" t="s">
        <v>620</v>
      </c>
      <c r="I229" s="268"/>
      <c r="J229" s="275" t="s">
        <v>621</v>
      </c>
    </row>
    <row r="230" spans="1:10" ht="17.25">
      <c r="A230">
        <v>229</v>
      </c>
      <c r="B230" s="237" t="str">
        <f t="shared" si="4"/>
        <v>KZ22</v>
      </c>
      <c r="C230" s="271" t="s">
        <v>594</v>
      </c>
      <c r="D230" s="271" t="s">
        <v>1376</v>
      </c>
      <c r="E230" s="271" t="s">
        <v>19</v>
      </c>
      <c r="F230" s="271" t="s">
        <v>10</v>
      </c>
      <c r="G230" s="271" t="s">
        <v>149</v>
      </c>
      <c r="H230" s="254" t="s">
        <v>1284</v>
      </c>
      <c r="I230" s="268"/>
      <c r="J230" s="275" t="s">
        <v>1379</v>
      </c>
    </row>
    <row r="231" spans="1:10" ht="17.25">
      <c r="A231">
        <v>230</v>
      </c>
      <c r="B231" s="237" t="str">
        <f t="shared" si="4"/>
        <v>KZ23</v>
      </c>
      <c r="C231" s="271" t="s">
        <v>594</v>
      </c>
      <c r="D231" s="271" t="s">
        <v>1377</v>
      </c>
      <c r="E231" s="271" t="s">
        <v>19</v>
      </c>
      <c r="F231" s="271" t="s">
        <v>10</v>
      </c>
      <c r="G231" s="271" t="s">
        <v>149</v>
      </c>
      <c r="H231" s="254" t="s">
        <v>1284</v>
      </c>
      <c r="I231" s="268"/>
      <c r="J231" s="275" t="s">
        <v>1380</v>
      </c>
    </row>
    <row r="232" spans="1:10" ht="17.25">
      <c r="A232">
        <v>231</v>
      </c>
      <c r="B232" s="237" t="str">
        <f t="shared" si="4"/>
        <v>KZ24</v>
      </c>
      <c r="C232" s="271" t="s">
        <v>594</v>
      </c>
      <c r="D232" s="271" t="s">
        <v>1378</v>
      </c>
      <c r="E232" s="271" t="s">
        <v>19</v>
      </c>
      <c r="F232" s="271" t="s">
        <v>10</v>
      </c>
      <c r="G232" s="271" t="s">
        <v>149</v>
      </c>
      <c r="H232" s="254" t="s">
        <v>1284</v>
      </c>
      <c r="I232" s="268"/>
      <c r="J232" s="275" t="s">
        <v>1381</v>
      </c>
    </row>
    <row r="233" spans="1:10" ht="17.25">
      <c r="A233">
        <v>232</v>
      </c>
      <c r="B233" s="237" t="str">
        <f t="shared" si="4"/>
        <v>SM02</v>
      </c>
      <c r="C233" s="271" t="s">
        <v>594</v>
      </c>
      <c r="D233" s="271" t="s">
        <v>623</v>
      </c>
      <c r="E233" s="271" t="s">
        <v>37</v>
      </c>
      <c r="F233" s="271" t="s">
        <v>10</v>
      </c>
      <c r="G233" s="271" t="s">
        <v>149</v>
      </c>
      <c r="H233" s="254" t="s">
        <v>604</v>
      </c>
      <c r="I233" s="268"/>
      <c r="J233" s="275" t="s">
        <v>624</v>
      </c>
    </row>
    <row r="234" spans="1:10" ht="17.25">
      <c r="A234">
        <v>233</v>
      </c>
      <c r="B234" s="237" t="str">
        <f t="shared" si="4"/>
        <v>TF01</v>
      </c>
      <c r="C234" s="271" t="s">
        <v>594</v>
      </c>
      <c r="D234" s="271" t="s">
        <v>626</v>
      </c>
      <c r="E234" s="271" t="s">
        <v>37</v>
      </c>
      <c r="F234" s="271" t="s">
        <v>10</v>
      </c>
      <c r="G234" s="271" t="s">
        <v>29</v>
      </c>
      <c r="H234" s="254" t="s">
        <v>620</v>
      </c>
      <c r="I234" s="268"/>
      <c r="J234" s="275" t="s">
        <v>627</v>
      </c>
    </row>
    <row r="235" spans="1:10" ht="17.25">
      <c r="A235">
        <v>234</v>
      </c>
      <c r="B235" s="237" t="str">
        <f t="shared" si="4"/>
        <v>TF10</v>
      </c>
      <c r="C235" s="271" t="s">
        <v>594</v>
      </c>
      <c r="D235" s="271" t="s">
        <v>629</v>
      </c>
      <c r="E235" s="271" t="s">
        <v>37</v>
      </c>
      <c r="F235" s="271" t="s">
        <v>10</v>
      </c>
      <c r="G235" s="271" t="s">
        <v>29</v>
      </c>
      <c r="H235" s="254" t="s">
        <v>620</v>
      </c>
      <c r="I235" s="268"/>
      <c r="J235" s="275" t="s">
        <v>630</v>
      </c>
    </row>
    <row r="236" spans="1:10" ht="17.25">
      <c r="A236">
        <v>235</v>
      </c>
      <c r="B236" s="237" t="str">
        <f t="shared" si="4"/>
        <v>TF20</v>
      </c>
      <c r="C236" s="271" t="s">
        <v>594</v>
      </c>
      <c r="D236" s="271" t="s">
        <v>631</v>
      </c>
      <c r="E236" s="271" t="s">
        <v>37</v>
      </c>
      <c r="F236" s="271" t="s">
        <v>10</v>
      </c>
      <c r="G236" s="271" t="s">
        <v>29</v>
      </c>
      <c r="H236" s="254" t="s">
        <v>620</v>
      </c>
      <c r="I236" s="268"/>
      <c r="J236" s="275" t="s">
        <v>632</v>
      </c>
    </row>
    <row r="237" spans="1:10" ht="17.25">
      <c r="A237">
        <v>236</v>
      </c>
      <c r="B237" s="237" t="str">
        <f t="shared" si="4"/>
        <v>TF30</v>
      </c>
      <c r="C237" s="271" t="s">
        <v>594</v>
      </c>
      <c r="D237" s="271" t="s">
        <v>633</v>
      </c>
      <c r="E237" s="271" t="s">
        <v>37</v>
      </c>
      <c r="F237" s="271" t="s">
        <v>10</v>
      </c>
      <c r="G237" s="271" t="s">
        <v>29</v>
      </c>
      <c r="H237" s="254" t="s">
        <v>620</v>
      </c>
      <c r="I237" s="268"/>
      <c r="J237" s="275" t="s">
        <v>634</v>
      </c>
    </row>
    <row r="238" spans="1:10" ht="17.25">
      <c r="A238">
        <v>237</v>
      </c>
      <c r="B238" s="237" t="str">
        <f t="shared" si="4"/>
        <v>TF40</v>
      </c>
      <c r="C238" s="271" t="s">
        <v>594</v>
      </c>
      <c r="D238" s="271" t="s">
        <v>635</v>
      </c>
      <c r="E238" s="271" t="s">
        <v>37</v>
      </c>
      <c r="F238" s="271" t="s">
        <v>10</v>
      </c>
      <c r="G238" s="271" t="s">
        <v>29</v>
      </c>
      <c r="H238" s="254" t="s">
        <v>620</v>
      </c>
      <c r="I238" s="268"/>
      <c r="J238" s="275" t="s">
        <v>636</v>
      </c>
    </row>
    <row r="239" spans="1:10" ht="17.25">
      <c r="A239">
        <v>238</v>
      </c>
      <c r="B239" s="237" t="str">
        <f t="shared" si="4"/>
        <v>TF50</v>
      </c>
      <c r="C239" s="271" t="s">
        <v>594</v>
      </c>
      <c r="D239" s="271" t="s">
        <v>637</v>
      </c>
      <c r="E239" s="271" t="s">
        <v>37</v>
      </c>
      <c r="F239" s="271" t="s">
        <v>10</v>
      </c>
      <c r="G239" s="271" t="s">
        <v>29</v>
      </c>
      <c r="H239" s="254" t="s">
        <v>620</v>
      </c>
      <c r="I239" s="268"/>
      <c r="J239" s="275" t="s">
        <v>638</v>
      </c>
    </row>
    <row r="240" spans="1:10" ht="17.25">
      <c r="A240">
        <v>239</v>
      </c>
      <c r="B240" s="237" t="str">
        <f t="shared" si="4"/>
        <v>TQ01</v>
      </c>
      <c r="C240" s="271" t="s">
        <v>594</v>
      </c>
      <c r="D240" s="271" t="s">
        <v>1353</v>
      </c>
      <c r="E240" s="271" t="s">
        <v>19</v>
      </c>
      <c r="F240" s="271" t="s">
        <v>10</v>
      </c>
      <c r="G240" s="271" t="s">
        <v>58</v>
      </c>
      <c r="H240" s="254" t="s">
        <v>1284</v>
      </c>
      <c r="I240" s="268"/>
      <c r="J240" s="275" t="s">
        <v>1356</v>
      </c>
    </row>
    <row r="241" spans="1:10" ht="17.25">
      <c r="A241">
        <v>240</v>
      </c>
      <c r="B241" s="237" t="str">
        <f t="shared" si="4"/>
        <v>TR01</v>
      </c>
      <c r="C241" s="271" t="s">
        <v>594</v>
      </c>
      <c r="D241" s="271" t="s">
        <v>1286</v>
      </c>
      <c r="E241" s="271" t="s">
        <v>33</v>
      </c>
      <c r="F241" s="271" t="s">
        <v>10</v>
      </c>
      <c r="G241" s="271" t="s">
        <v>149</v>
      </c>
      <c r="H241" s="254" t="s">
        <v>1284</v>
      </c>
      <c r="I241" s="268"/>
      <c r="J241" s="275" t="s">
        <v>1287</v>
      </c>
    </row>
    <row r="242" spans="1:10" ht="17.25">
      <c r="A242">
        <v>241</v>
      </c>
      <c r="B242" s="237" t="str">
        <f t="shared" si="4"/>
        <v>US09</v>
      </c>
      <c r="C242" s="271" t="s">
        <v>594</v>
      </c>
      <c r="D242" s="271" t="s">
        <v>1441</v>
      </c>
      <c r="E242" s="271" t="s">
        <v>33</v>
      </c>
      <c r="F242" s="271" t="s">
        <v>10</v>
      </c>
      <c r="G242" s="271" t="s">
        <v>29</v>
      </c>
      <c r="H242" s="254" t="s">
        <v>851</v>
      </c>
      <c r="I242" s="268"/>
      <c r="J242" s="275" t="s">
        <v>1442</v>
      </c>
    </row>
    <row r="243" spans="1:10" ht="17.25">
      <c r="A243">
        <v>242</v>
      </c>
      <c r="B243" s="237" t="str">
        <f t="shared" si="4"/>
        <v>V002</v>
      </c>
      <c r="C243" s="271" t="s">
        <v>594</v>
      </c>
      <c r="D243" s="271" t="s">
        <v>507</v>
      </c>
      <c r="E243" s="271" t="s">
        <v>33</v>
      </c>
      <c r="F243" s="271" t="s">
        <v>10</v>
      </c>
      <c r="G243" s="271" t="s">
        <v>58</v>
      </c>
      <c r="H243" s="254" t="s">
        <v>851</v>
      </c>
      <c r="I243" s="268"/>
      <c r="J243" s="275" t="s">
        <v>1597</v>
      </c>
    </row>
    <row r="244" spans="1:10" ht="17.25">
      <c r="A244">
        <v>243</v>
      </c>
      <c r="B244" s="237" t="str">
        <f t="shared" si="4"/>
        <v>V003</v>
      </c>
      <c r="C244" s="271" t="s">
        <v>594</v>
      </c>
      <c r="D244" s="271" t="s">
        <v>508</v>
      </c>
      <c r="E244" s="271" t="s">
        <v>33</v>
      </c>
      <c r="F244" s="271" t="s">
        <v>10</v>
      </c>
      <c r="G244" s="271" t="s">
        <v>58</v>
      </c>
      <c r="H244" s="254" t="s">
        <v>851</v>
      </c>
      <c r="I244" s="268"/>
      <c r="J244" s="275" t="s">
        <v>1599</v>
      </c>
    </row>
    <row r="245" spans="1:10" ht="17.25">
      <c r="A245">
        <v>244</v>
      </c>
      <c r="B245" s="237" t="str">
        <f t="shared" si="4"/>
        <v>V004</v>
      </c>
      <c r="C245" s="271" t="s">
        <v>594</v>
      </c>
      <c r="D245" s="271" t="s">
        <v>639</v>
      </c>
      <c r="E245" s="271" t="s">
        <v>37</v>
      </c>
      <c r="F245" s="271" t="s">
        <v>10</v>
      </c>
      <c r="G245" s="271" t="s">
        <v>58</v>
      </c>
      <c r="H245" s="254" t="s">
        <v>609</v>
      </c>
      <c r="I245" s="268"/>
      <c r="J245" s="275" t="s">
        <v>640</v>
      </c>
    </row>
    <row r="246" spans="1:10" ht="17.25">
      <c r="A246">
        <v>245</v>
      </c>
      <c r="B246" s="237" t="str">
        <f t="shared" si="4"/>
        <v>V014</v>
      </c>
      <c r="C246" s="271" t="s">
        <v>594</v>
      </c>
      <c r="D246" s="271" t="s">
        <v>642</v>
      </c>
      <c r="E246" s="271" t="s">
        <v>37</v>
      </c>
      <c r="F246" s="271" t="s">
        <v>10</v>
      </c>
      <c r="G246" s="271" t="s">
        <v>58</v>
      </c>
      <c r="H246" s="254" t="s">
        <v>609</v>
      </c>
      <c r="I246" s="268"/>
      <c r="J246" s="275" t="s">
        <v>643</v>
      </c>
    </row>
    <row r="247" spans="1:10" ht="17.25">
      <c r="A247">
        <v>246</v>
      </c>
      <c r="B247" s="237" t="str">
        <f t="shared" si="4"/>
        <v>V015</v>
      </c>
      <c r="C247" s="271" t="s">
        <v>594</v>
      </c>
      <c r="D247" s="271" t="s">
        <v>645</v>
      </c>
      <c r="E247" s="271" t="s">
        <v>37</v>
      </c>
      <c r="F247" s="271" t="s">
        <v>10</v>
      </c>
      <c r="G247" s="271" t="s">
        <v>58</v>
      </c>
      <c r="H247" s="254" t="s">
        <v>609</v>
      </c>
      <c r="I247" s="268"/>
      <c r="J247" s="275" t="s">
        <v>646</v>
      </c>
    </row>
    <row r="248" spans="1:10" ht="17.25">
      <c r="A248">
        <v>247</v>
      </c>
      <c r="B248" s="237">
        <f t="shared" si="4"/>
        <v>57188</v>
      </c>
      <c r="C248" s="290" t="s">
        <v>57</v>
      </c>
      <c r="D248" s="290">
        <v>57188</v>
      </c>
      <c r="E248" s="290" t="s">
        <v>33</v>
      </c>
      <c r="F248" s="290" t="s">
        <v>10</v>
      </c>
      <c r="G248" s="290" t="s">
        <v>58</v>
      </c>
      <c r="H248" s="301" t="s">
        <v>56</v>
      </c>
      <c r="I248" s="292"/>
      <c r="J248" s="291" t="s">
        <v>59</v>
      </c>
    </row>
    <row r="249" spans="1:10" ht="17.25">
      <c r="A249">
        <v>248</v>
      </c>
      <c r="B249" s="237">
        <f t="shared" si="4"/>
        <v>59561</v>
      </c>
      <c r="C249" s="290" t="s">
        <v>57</v>
      </c>
      <c r="D249" s="290">
        <v>59561</v>
      </c>
      <c r="E249" s="290" t="s">
        <v>33</v>
      </c>
      <c r="F249" s="290" t="s">
        <v>10</v>
      </c>
      <c r="G249" s="290" t="s">
        <v>28</v>
      </c>
      <c r="H249" s="301" t="s">
        <v>56</v>
      </c>
      <c r="I249" s="292"/>
      <c r="J249" s="291" t="s">
        <v>60</v>
      </c>
    </row>
    <row r="250" spans="1:10" ht="17.25">
      <c r="A250">
        <v>249</v>
      </c>
      <c r="B250" s="237">
        <f t="shared" si="4"/>
        <v>59632</v>
      </c>
      <c r="C250" s="290" t="s">
        <v>55</v>
      </c>
      <c r="D250" s="290">
        <v>59632</v>
      </c>
      <c r="E250" s="290" t="s">
        <v>33</v>
      </c>
      <c r="F250" s="290" t="s">
        <v>10</v>
      </c>
      <c r="G250" s="290" t="s">
        <v>28</v>
      </c>
      <c r="H250" s="301" t="s">
        <v>56</v>
      </c>
      <c r="I250" s="292"/>
      <c r="J250" s="291" t="s">
        <v>62</v>
      </c>
    </row>
    <row r="251" spans="1:10" ht="17.25">
      <c r="A251">
        <v>250</v>
      </c>
      <c r="B251" s="237">
        <f t="shared" si="4"/>
        <v>59636</v>
      </c>
      <c r="C251" s="290" t="s">
        <v>55</v>
      </c>
      <c r="D251" s="290">
        <v>59636</v>
      </c>
      <c r="E251" s="290" t="s">
        <v>33</v>
      </c>
      <c r="F251" s="290" t="s">
        <v>10</v>
      </c>
      <c r="G251" s="290" t="s">
        <v>28</v>
      </c>
      <c r="H251" s="301" t="s">
        <v>56</v>
      </c>
      <c r="I251" s="292"/>
      <c r="J251" s="291" t="s">
        <v>1504</v>
      </c>
    </row>
    <row r="252" spans="1:10" ht="17.25">
      <c r="A252">
        <v>251</v>
      </c>
      <c r="B252" s="237">
        <f t="shared" si="4"/>
        <v>59818</v>
      </c>
      <c r="C252" s="290" t="s">
        <v>55</v>
      </c>
      <c r="D252" s="290">
        <v>59818</v>
      </c>
      <c r="E252" s="290" t="s">
        <v>33</v>
      </c>
      <c r="F252" s="290" t="s">
        <v>10</v>
      </c>
      <c r="G252" s="290" t="s">
        <v>27</v>
      </c>
      <c r="H252" s="301" t="s">
        <v>56</v>
      </c>
      <c r="I252" s="292"/>
      <c r="J252" s="291" t="s">
        <v>61</v>
      </c>
    </row>
    <row r="253" spans="1:10" ht="17.25">
      <c r="A253">
        <v>252</v>
      </c>
      <c r="B253" s="237">
        <f t="shared" si="4"/>
        <v>60154</v>
      </c>
      <c r="C253" s="290" t="s">
        <v>57</v>
      </c>
      <c r="D253" s="290">
        <v>60154</v>
      </c>
      <c r="E253" s="290" t="s">
        <v>33</v>
      </c>
      <c r="F253" s="290" t="s">
        <v>10</v>
      </c>
      <c r="G253" s="290" t="s">
        <v>29</v>
      </c>
      <c r="H253" s="301" t="s">
        <v>56</v>
      </c>
      <c r="I253" s="292"/>
      <c r="J253" s="291" t="s">
        <v>63</v>
      </c>
    </row>
    <row r="254" spans="1:10" ht="17.25">
      <c r="A254">
        <v>253</v>
      </c>
      <c r="B254" s="237">
        <f t="shared" si="4"/>
        <v>60155</v>
      </c>
      <c r="C254" s="290" t="s">
        <v>57</v>
      </c>
      <c r="D254" s="290">
        <v>60155</v>
      </c>
      <c r="E254" s="290" t="s">
        <v>33</v>
      </c>
      <c r="F254" s="290" t="s">
        <v>10</v>
      </c>
      <c r="G254" s="290" t="s">
        <v>29</v>
      </c>
      <c r="H254" s="301" t="s">
        <v>56</v>
      </c>
      <c r="I254" s="292"/>
      <c r="J254" s="291" t="s">
        <v>64</v>
      </c>
    </row>
    <row r="255" spans="1:10" ht="17.25">
      <c r="A255">
        <v>254</v>
      </c>
      <c r="B255" s="237">
        <f t="shared" si="4"/>
        <v>60272</v>
      </c>
      <c r="C255" s="290" t="s">
        <v>57</v>
      </c>
      <c r="D255" s="290">
        <v>60272</v>
      </c>
      <c r="E255" s="290" t="s">
        <v>33</v>
      </c>
      <c r="F255" s="290" t="s">
        <v>10</v>
      </c>
      <c r="G255" s="290" t="s">
        <v>58</v>
      </c>
      <c r="H255" s="301" t="s">
        <v>56</v>
      </c>
      <c r="I255" s="292"/>
      <c r="J255" s="291" t="s">
        <v>777</v>
      </c>
    </row>
    <row r="256" spans="1:10" ht="17.25">
      <c r="A256">
        <v>255</v>
      </c>
      <c r="B256" s="237">
        <f t="shared" si="4"/>
        <v>60273</v>
      </c>
      <c r="C256" s="290" t="s">
        <v>57</v>
      </c>
      <c r="D256" s="290">
        <v>60273</v>
      </c>
      <c r="E256" s="290" t="s">
        <v>33</v>
      </c>
      <c r="F256" s="290" t="s">
        <v>10</v>
      </c>
      <c r="G256" s="290" t="s">
        <v>58</v>
      </c>
      <c r="H256" s="301" t="s">
        <v>56</v>
      </c>
      <c r="I256" s="292"/>
      <c r="J256" s="291" t="s">
        <v>770</v>
      </c>
    </row>
    <row r="257" spans="1:10" ht="17.25">
      <c r="A257">
        <v>256</v>
      </c>
      <c r="B257" s="237">
        <f t="shared" si="4"/>
        <v>60291</v>
      </c>
      <c r="C257" s="290" t="s">
        <v>57</v>
      </c>
      <c r="D257" s="290">
        <v>60291</v>
      </c>
      <c r="E257" s="290" t="s">
        <v>33</v>
      </c>
      <c r="F257" s="290" t="s">
        <v>10</v>
      </c>
      <c r="G257" s="290" t="s">
        <v>58</v>
      </c>
      <c r="H257" s="301" t="s">
        <v>56</v>
      </c>
      <c r="I257" s="292"/>
      <c r="J257" s="291" t="s">
        <v>783</v>
      </c>
    </row>
    <row r="258" spans="1:10" ht="17.25">
      <c r="A258">
        <v>257</v>
      </c>
      <c r="B258" s="237">
        <f t="shared" si="4"/>
        <v>1512</v>
      </c>
      <c r="C258" s="302" t="s">
        <v>66</v>
      </c>
      <c r="D258" s="302">
        <v>1512</v>
      </c>
      <c r="E258" s="302" t="s">
        <v>19</v>
      </c>
      <c r="F258" s="302" t="s">
        <v>10</v>
      </c>
      <c r="G258" s="302" t="s">
        <v>27</v>
      </c>
      <c r="H258" s="303" t="s">
        <v>1370</v>
      </c>
      <c r="I258" s="304"/>
      <c r="J258" s="305" t="s">
        <v>76</v>
      </c>
    </row>
    <row r="259" spans="1:10" ht="17.25">
      <c r="A259">
        <v>258</v>
      </c>
      <c r="B259" s="237">
        <f t="shared" si="4"/>
        <v>1513</v>
      </c>
      <c r="C259" s="302" t="s">
        <v>66</v>
      </c>
      <c r="D259" s="302">
        <v>1513</v>
      </c>
      <c r="E259" s="302" t="s">
        <v>19</v>
      </c>
      <c r="F259" s="302" t="s">
        <v>10</v>
      </c>
      <c r="G259" s="302" t="s">
        <v>27</v>
      </c>
      <c r="H259" s="303" t="s">
        <v>1370</v>
      </c>
      <c r="I259" s="304"/>
      <c r="J259" s="305" t="s">
        <v>77</v>
      </c>
    </row>
    <row r="260" spans="1:10" ht="17.25">
      <c r="A260">
        <v>259</v>
      </c>
      <c r="B260" s="237">
        <f t="shared" si="4"/>
        <v>1711</v>
      </c>
      <c r="C260" s="302" t="s">
        <v>66</v>
      </c>
      <c r="D260" s="302">
        <v>1711</v>
      </c>
      <c r="E260" s="302" t="s">
        <v>19</v>
      </c>
      <c r="F260" s="302" t="s">
        <v>10</v>
      </c>
      <c r="G260" s="302" t="s">
        <v>29</v>
      </c>
      <c r="H260" s="303" t="s">
        <v>1370</v>
      </c>
      <c r="I260" s="304"/>
      <c r="J260" s="305" t="s">
        <v>78</v>
      </c>
    </row>
    <row r="261" spans="1:10" ht="17.25">
      <c r="A261">
        <v>260</v>
      </c>
      <c r="B261" s="237">
        <f t="shared" ref="B261:B324" si="5">D261</f>
        <v>1800</v>
      </c>
      <c r="C261" s="302" t="s">
        <v>66</v>
      </c>
      <c r="D261" s="302">
        <v>1800</v>
      </c>
      <c r="E261" s="302" t="s">
        <v>19</v>
      </c>
      <c r="F261" s="302" t="s">
        <v>10</v>
      </c>
      <c r="G261" s="302" t="s">
        <v>29</v>
      </c>
      <c r="H261" s="303" t="s">
        <v>67</v>
      </c>
      <c r="I261" s="304"/>
      <c r="J261" s="303" t="s">
        <v>68</v>
      </c>
    </row>
    <row r="262" spans="1:10" ht="17.25">
      <c r="A262">
        <v>261</v>
      </c>
      <c r="B262" s="237">
        <f t="shared" si="5"/>
        <v>1804</v>
      </c>
      <c r="C262" s="302" t="s">
        <v>66</v>
      </c>
      <c r="D262" s="302">
        <v>1804</v>
      </c>
      <c r="E262" s="302" t="s">
        <v>19</v>
      </c>
      <c r="F262" s="302" t="s">
        <v>10</v>
      </c>
      <c r="G262" s="302" t="s">
        <v>27</v>
      </c>
      <c r="H262" s="303" t="s">
        <v>67</v>
      </c>
      <c r="I262" s="304"/>
      <c r="J262" s="303" t="s">
        <v>71</v>
      </c>
    </row>
    <row r="263" spans="1:10" ht="17.25">
      <c r="A263">
        <v>262</v>
      </c>
      <c r="B263" s="237">
        <f t="shared" si="5"/>
        <v>1805</v>
      </c>
      <c r="C263" s="302" t="s">
        <v>66</v>
      </c>
      <c r="D263" s="302">
        <v>1805</v>
      </c>
      <c r="E263" s="302" t="s">
        <v>19</v>
      </c>
      <c r="F263" s="302" t="s">
        <v>10</v>
      </c>
      <c r="G263" s="302" t="s">
        <v>27</v>
      </c>
      <c r="H263" s="303" t="s">
        <v>67</v>
      </c>
      <c r="I263" s="304"/>
      <c r="J263" s="303" t="s">
        <v>72</v>
      </c>
    </row>
    <row r="264" spans="1:10" ht="17.25">
      <c r="A264">
        <v>263</v>
      </c>
      <c r="B264" s="237">
        <f t="shared" si="5"/>
        <v>1810</v>
      </c>
      <c r="C264" s="302" t="s">
        <v>66</v>
      </c>
      <c r="D264" s="302">
        <v>1810</v>
      </c>
      <c r="E264" s="302" t="s">
        <v>19</v>
      </c>
      <c r="F264" s="302" t="s">
        <v>10</v>
      </c>
      <c r="G264" s="302" t="s">
        <v>11</v>
      </c>
      <c r="H264" s="303" t="s">
        <v>67</v>
      </c>
      <c r="I264" s="304"/>
      <c r="J264" s="303" t="s">
        <v>69</v>
      </c>
    </row>
    <row r="265" spans="1:10" ht="17.25">
      <c r="A265">
        <v>264</v>
      </c>
      <c r="B265" s="237">
        <f t="shared" si="5"/>
        <v>1850</v>
      </c>
      <c r="C265" s="302" t="s">
        <v>66</v>
      </c>
      <c r="D265" s="302">
        <v>1850</v>
      </c>
      <c r="E265" s="302" t="s">
        <v>19</v>
      </c>
      <c r="F265" s="302" t="s">
        <v>10</v>
      </c>
      <c r="G265" s="302" t="s">
        <v>11</v>
      </c>
      <c r="H265" s="303" t="s">
        <v>67</v>
      </c>
      <c r="I265" s="304"/>
      <c r="J265" s="303" t="s">
        <v>1618</v>
      </c>
    </row>
    <row r="266" spans="1:10" ht="17.25">
      <c r="A266">
        <v>265</v>
      </c>
      <c r="B266" s="237">
        <f t="shared" si="5"/>
        <v>8155</v>
      </c>
      <c r="C266" s="302" t="s">
        <v>66</v>
      </c>
      <c r="D266" s="302">
        <v>8155</v>
      </c>
      <c r="E266" s="302" t="s">
        <v>19</v>
      </c>
      <c r="F266" s="302" t="s">
        <v>10</v>
      </c>
      <c r="G266" s="302" t="s">
        <v>11</v>
      </c>
      <c r="H266" s="303" t="s">
        <v>67</v>
      </c>
      <c r="I266" s="304"/>
      <c r="J266" s="303" t="s">
        <v>1619</v>
      </c>
    </row>
    <row r="267" spans="1:10" ht="17.25">
      <c r="A267">
        <v>266</v>
      </c>
      <c r="B267" s="237">
        <f t="shared" si="5"/>
        <v>8164</v>
      </c>
      <c r="C267" s="302" t="s">
        <v>66</v>
      </c>
      <c r="D267" s="302">
        <v>8164</v>
      </c>
      <c r="E267" s="302" t="s">
        <v>19</v>
      </c>
      <c r="F267" s="302" t="s">
        <v>10</v>
      </c>
      <c r="G267" s="302" t="s">
        <v>11</v>
      </c>
      <c r="H267" s="303" t="s">
        <v>67</v>
      </c>
      <c r="I267" s="304"/>
      <c r="J267" s="303" t="s">
        <v>1620</v>
      </c>
    </row>
    <row r="268" spans="1:10" ht="17.25">
      <c r="A268">
        <v>267</v>
      </c>
      <c r="B268" s="237">
        <f t="shared" si="5"/>
        <v>8169</v>
      </c>
      <c r="C268" s="302" t="s">
        <v>66</v>
      </c>
      <c r="D268" s="302">
        <v>8169</v>
      </c>
      <c r="E268" s="302" t="s">
        <v>19</v>
      </c>
      <c r="F268" s="302" t="s">
        <v>10</v>
      </c>
      <c r="G268" s="302" t="s">
        <v>73</v>
      </c>
      <c r="H268" s="303" t="s">
        <v>67</v>
      </c>
      <c r="I268" s="304"/>
      <c r="J268" s="303" t="s">
        <v>1621</v>
      </c>
    </row>
    <row r="269" spans="1:10" ht="17.25">
      <c r="A269">
        <v>268</v>
      </c>
      <c r="B269" s="237">
        <f t="shared" si="5"/>
        <v>50011</v>
      </c>
      <c r="C269" s="302" t="s">
        <v>66</v>
      </c>
      <c r="D269" s="357">
        <v>50011</v>
      </c>
      <c r="E269" s="302" t="s">
        <v>33</v>
      </c>
      <c r="F269" s="302" t="s">
        <v>10</v>
      </c>
      <c r="G269" s="302" t="s">
        <v>28</v>
      </c>
      <c r="H269" s="303" t="s">
        <v>790</v>
      </c>
      <c r="I269" s="304"/>
      <c r="J269" s="305" t="s">
        <v>800</v>
      </c>
    </row>
    <row r="270" spans="1:10" ht="17.25">
      <c r="A270">
        <v>269</v>
      </c>
      <c r="B270" s="237">
        <f t="shared" si="5"/>
        <v>57150</v>
      </c>
      <c r="C270" s="302" t="s">
        <v>66</v>
      </c>
      <c r="D270" s="357">
        <v>57150</v>
      </c>
      <c r="E270" s="302" t="s">
        <v>33</v>
      </c>
      <c r="F270" s="302" t="s">
        <v>10</v>
      </c>
      <c r="G270" s="302" t="s">
        <v>28</v>
      </c>
      <c r="H270" s="303" t="s">
        <v>790</v>
      </c>
      <c r="I270" s="304"/>
      <c r="J270" s="305" t="s">
        <v>801</v>
      </c>
    </row>
    <row r="271" spans="1:10" ht="17.25">
      <c r="A271">
        <v>270</v>
      </c>
      <c r="B271" s="237">
        <f t="shared" si="5"/>
        <v>57471</v>
      </c>
      <c r="C271" s="302" t="s">
        <v>66</v>
      </c>
      <c r="D271" s="357">
        <v>57471</v>
      </c>
      <c r="E271" s="302" t="s">
        <v>33</v>
      </c>
      <c r="F271" s="302" t="s">
        <v>10</v>
      </c>
      <c r="G271" s="302" t="s">
        <v>165</v>
      </c>
      <c r="H271" s="303" t="s">
        <v>1289</v>
      </c>
      <c r="I271" s="304"/>
      <c r="J271" s="305" t="s">
        <v>1291</v>
      </c>
    </row>
    <row r="272" spans="1:10" ht="17.25">
      <c r="A272">
        <v>271</v>
      </c>
      <c r="B272" s="237">
        <f t="shared" si="5"/>
        <v>57500</v>
      </c>
      <c r="C272" s="302" t="s">
        <v>66</v>
      </c>
      <c r="D272" s="357">
        <v>57500</v>
      </c>
      <c r="E272" s="302" t="s">
        <v>33</v>
      </c>
      <c r="F272" s="302" t="s">
        <v>10</v>
      </c>
      <c r="G272" s="302" t="s">
        <v>165</v>
      </c>
      <c r="H272" s="303" t="s">
        <v>1425</v>
      </c>
      <c r="I272" s="304"/>
      <c r="J272" s="306" t="s">
        <v>1423</v>
      </c>
    </row>
    <row r="273" spans="1:10" ht="17.25">
      <c r="A273">
        <v>272</v>
      </c>
      <c r="B273" s="237">
        <f t="shared" si="5"/>
        <v>57516</v>
      </c>
      <c r="C273" s="302" t="s">
        <v>66</v>
      </c>
      <c r="D273" s="357">
        <v>57516</v>
      </c>
      <c r="E273" s="302" t="s">
        <v>33</v>
      </c>
      <c r="F273" s="302" t="s">
        <v>10</v>
      </c>
      <c r="G273" s="302" t="s">
        <v>165</v>
      </c>
      <c r="H273" s="303" t="s">
        <v>1425</v>
      </c>
      <c r="I273" s="304"/>
      <c r="J273" s="306" t="s">
        <v>1424</v>
      </c>
    </row>
    <row r="274" spans="1:10" ht="17.25">
      <c r="A274">
        <v>273</v>
      </c>
      <c r="B274" s="237">
        <f t="shared" si="5"/>
        <v>73070</v>
      </c>
      <c r="C274" s="302" t="s">
        <v>66</v>
      </c>
      <c r="D274" s="302">
        <v>73070</v>
      </c>
      <c r="E274" s="302" t="s">
        <v>19</v>
      </c>
      <c r="F274" s="302" t="s">
        <v>10</v>
      </c>
      <c r="G274" s="302" t="s">
        <v>11</v>
      </c>
      <c r="H274" s="303" t="s">
        <v>67</v>
      </c>
      <c r="I274" s="304"/>
      <c r="J274" s="303" t="s">
        <v>70</v>
      </c>
    </row>
    <row r="275" spans="1:10" ht="17.25">
      <c r="A275">
        <v>274</v>
      </c>
      <c r="B275" s="237">
        <f t="shared" si="5"/>
        <v>97000</v>
      </c>
      <c r="C275" s="302" t="s">
        <v>66</v>
      </c>
      <c r="D275" s="302">
        <v>97000</v>
      </c>
      <c r="E275" s="302" t="s">
        <v>19</v>
      </c>
      <c r="F275" s="302" t="s">
        <v>74</v>
      </c>
      <c r="G275" s="302" t="s">
        <v>29</v>
      </c>
      <c r="H275" s="303" t="s">
        <v>67</v>
      </c>
      <c r="I275" s="304"/>
      <c r="J275" s="303" t="s">
        <v>75</v>
      </c>
    </row>
    <row r="276" spans="1:10" ht="17.25">
      <c r="A276">
        <v>275</v>
      </c>
      <c r="B276" s="237">
        <f t="shared" si="5"/>
        <v>99801</v>
      </c>
      <c r="C276" s="302" t="s">
        <v>66</v>
      </c>
      <c r="D276" s="357">
        <v>99801</v>
      </c>
      <c r="E276" s="302" t="s">
        <v>33</v>
      </c>
      <c r="F276" s="302" t="s">
        <v>10</v>
      </c>
      <c r="G276" s="302" t="s">
        <v>28</v>
      </c>
      <c r="H276" s="303" t="s">
        <v>790</v>
      </c>
      <c r="I276" s="304"/>
      <c r="J276" s="305" t="s">
        <v>802</v>
      </c>
    </row>
    <row r="277" spans="1:10" ht="17.25">
      <c r="A277">
        <v>276</v>
      </c>
      <c r="B277" s="237">
        <f t="shared" si="5"/>
        <v>0</v>
      </c>
      <c r="C277" s="302" t="s">
        <v>66</v>
      </c>
      <c r="D277" s="302"/>
      <c r="E277" s="302" t="s">
        <v>19</v>
      </c>
      <c r="F277" s="302" t="s">
        <v>10</v>
      </c>
      <c r="G277" s="302"/>
      <c r="H277" s="303" t="s">
        <v>764</v>
      </c>
      <c r="I277" s="304"/>
      <c r="J277" s="305" t="s">
        <v>765</v>
      </c>
    </row>
    <row r="278" spans="1:10" ht="17.25">
      <c r="A278">
        <v>277</v>
      </c>
      <c r="B278" s="237">
        <f t="shared" si="5"/>
        <v>0</v>
      </c>
      <c r="C278" s="302" t="s">
        <v>66</v>
      </c>
      <c r="D278" s="302"/>
      <c r="E278" s="302" t="s">
        <v>19</v>
      </c>
      <c r="F278" s="302" t="s">
        <v>10</v>
      </c>
      <c r="G278" s="302"/>
      <c r="H278" s="303" t="s">
        <v>764</v>
      </c>
      <c r="I278" s="304"/>
      <c r="J278" s="305" t="s">
        <v>766</v>
      </c>
    </row>
    <row r="279" spans="1:10" ht="17.25">
      <c r="A279">
        <v>278</v>
      </c>
      <c r="B279" s="237">
        <f t="shared" si="5"/>
        <v>1530</v>
      </c>
      <c r="C279" s="245" t="s">
        <v>691</v>
      </c>
      <c r="D279" s="246">
        <v>1530</v>
      </c>
      <c r="E279" s="245" t="s">
        <v>19</v>
      </c>
      <c r="F279" s="245" t="s">
        <v>10</v>
      </c>
      <c r="G279" s="247" t="s">
        <v>149</v>
      </c>
      <c r="H279" s="248" t="s">
        <v>1298</v>
      </c>
      <c r="I279" s="249"/>
      <c r="J279" s="249" t="s">
        <v>1296</v>
      </c>
    </row>
    <row r="280" spans="1:10" ht="17.25">
      <c r="A280">
        <v>279</v>
      </c>
      <c r="B280" s="237">
        <f t="shared" si="5"/>
        <v>1779</v>
      </c>
      <c r="C280" s="245" t="s">
        <v>691</v>
      </c>
      <c r="D280" s="246">
        <v>1779</v>
      </c>
      <c r="E280" s="245" t="s">
        <v>19</v>
      </c>
      <c r="F280" s="245" t="s">
        <v>10</v>
      </c>
      <c r="G280" s="247" t="s">
        <v>23</v>
      </c>
      <c r="H280" s="248" t="s">
        <v>711</v>
      </c>
      <c r="I280" s="249"/>
      <c r="J280" s="249" t="s">
        <v>712</v>
      </c>
    </row>
    <row r="281" spans="1:10" ht="17.25">
      <c r="A281">
        <v>280</v>
      </c>
      <c r="B281" s="237">
        <f t="shared" si="5"/>
        <v>1782</v>
      </c>
      <c r="C281" s="245" t="s">
        <v>691</v>
      </c>
      <c r="D281" s="246">
        <v>1782</v>
      </c>
      <c r="E281" s="245" t="s">
        <v>19</v>
      </c>
      <c r="F281" s="245" t="s">
        <v>10</v>
      </c>
      <c r="G281" s="247" t="s">
        <v>23</v>
      </c>
      <c r="H281" s="248" t="s">
        <v>711</v>
      </c>
      <c r="I281" s="249"/>
      <c r="J281" s="249" t="s">
        <v>712</v>
      </c>
    </row>
    <row r="282" spans="1:10" ht="17.25">
      <c r="A282">
        <v>281</v>
      </c>
      <c r="B282" s="237">
        <f t="shared" si="5"/>
        <v>1798</v>
      </c>
      <c r="C282" s="245" t="s">
        <v>691</v>
      </c>
      <c r="D282" s="246">
        <v>1798</v>
      </c>
      <c r="E282" s="245" t="s">
        <v>19</v>
      </c>
      <c r="F282" s="245" t="s">
        <v>10</v>
      </c>
      <c r="G282" s="247" t="s">
        <v>23</v>
      </c>
      <c r="H282" s="248" t="s">
        <v>711</v>
      </c>
      <c r="I282" s="249"/>
      <c r="J282" s="249" t="s">
        <v>713</v>
      </c>
    </row>
    <row r="283" spans="1:10" ht="17.25">
      <c r="A283">
        <v>282</v>
      </c>
      <c r="B283" s="237">
        <f t="shared" si="5"/>
        <v>1898</v>
      </c>
      <c r="C283" s="245" t="s">
        <v>691</v>
      </c>
      <c r="D283" s="246">
        <v>1898</v>
      </c>
      <c r="E283" s="245" t="s">
        <v>19</v>
      </c>
      <c r="F283" s="245" t="s">
        <v>10</v>
      </c>
      <c r="G283" s="247" t="s">
        <v>23</v>
      </c>
      <c r="H283" s="248" t="s">
        <v>711</v>
      </c>
      <c r="I283" s="249"/>
      <c r="J283" s="249" t="s">
        <v>714</v>
      </c>
    </row>
    <row r="284" spans="1:10" ht="17.25">
      <c r="A284">
        <v>283</v>
      </c>
      <c r="B284" s="237">
        <f t="shared" si="5"/>
        <v>1943</v>
      </c>
      <c r="C284" s="245" t="s">
        <v>691</v>
      </c>
      <c r="D284" s="246">
        <v>1943</v>
      </c>
      <c r="E284" s="245" t="s">
        <v>19</v>
      </c>
      <c r="F284" s="245" t="s">
        <v>10</v>
      </c>
      <c r="G284" s="247" t="s">
        <v>23</v>
      </c>
      <c r="H284" s="248" t="s">
        <v>711</v>
      </c>
      <c r="I284" s="249"/>
      <c r="J284" s="249" t="s">
        <v>715</v>
      </c>
    </row>
    <row r="285" spans="1:10" ht="17.25">
      <c r="A285">
        <v>284</v>
      </c>
      <c r="B285" s="237">
        <f t="shared" si="5"/>
        <v>1984</v>
      </c>
      <c r="C285" s="245" t="s">
        <v>691</v>
      </c>
      <c r="D285" s="246">
        <v>1984</v>
      </c>
      <c r="E285" s="245" t="s">
        <v>19</v>
      </c>
      <c r="F285" s="245" t="s">
        <v>10</v>
      </c>
      <c r="G285" s="247" t="s">
        <v>23</v>
      </c>
      <c r="H285" s="248" t="s">
        <v>711</v>
      </c>
      <c r="I285" s="249"/>
      <c r="J285" s="249" t="s">
        <v>1588</v>
      </c>
    </row>
    <row r="286" spans="1:10" ht="17.25">
      <c r="A286">
        <v>285</v>
      </c>
      <c r="B286" s="237">
        <f t="shared" si="5"/>
        <v>2231</v>
      </c>
      <c r="C286" s="245" t="s">
        <v>691</v>
      </c>
      <c r="D286" s="246">
        <v>2231</v>
      </c>
      <c r="E286" s="245" t="s">
        <v>33</v>
      </c>
      <c r="F286" s="245" t="s">
        <v>10</v>
      </c>
      <c r="G286" s="245" t="s">
        <v>23</v>
      </c>
      <c r="H286" s="248" t="s">
        <v>692</v>
      </c>
      <c r="I286" s="249"/>
      <c r="J286" s="253" t="s">
        <v>693</v>
      </c>
    </row>
    <row r="287" spans="1:10" ht="17.25">
      <c r="A287">
        <v>286</v>
      </c>
      <c r="B287" s="237">
        <f t="shared" si="5"/>
        <v>2235</v>
      </c>
      <c r="C287" s="245" t="s">
        <v>691</v>
      </c>
      <c r="D287" s="246">
        <v>2235</v>
      </c>
      <c r="E287" s="245" t="s">
        <v>33</v>
      </c>
      <c r="F287" s="245" t="s">
        <v>10</v>
      </c>
      <c r="G287" s="245" t="s">
        <v>23</v>
      </c>
      <c r="H287" s="248" t="s">
        <v>692</v>
      </c>
      <c r="I287" s="249"/>
      <c r="J287" s="248" t="s">
        <v>694</v>
      </c>
    </row>
    <row r="288" spans="1:10" ht="17.25">
      <c r="A288">
        <v>287</v>
      </c>
      <c r="B288" s="237">
        <f t="shared" si="5"/>
        <v>2650</v>
      </c>
      <c r="C288" s="245" t="s">
        <v>691</v>
      </c>
      <c r="D288" s="246">
        <v>2650</v>
      </c>
      <c r="E288" s="245" t="s">
        <v>33</v>
      </c>
      <c r="F288" s="245" t="s">
        <v>10</v>
      </c>
      <c r="G288" s="245" t="s">
        <v>241</v>
      </c>
      <c r="H288" s="248" t="s">
        <v>695</v>
      </c>
      <c r="I288" s="249"/>
      <c r="J288" s="253" t="s">
        <v>696</v>
      </c>
    </row>
    <row r="289" spans="1:10" ht="17.25">
      <c r="A289">
        <v>288</v>
      </c>
      <c r="B289" s="237">
        <f t="shared" si="5"/>
        <v>2665</v>
      </c>
      <c r="C289" s="239" t="s">
        <v>691</v>
      </c>
      <c r="D289" s="241">
        <v>2665</v>
      </c>
      <c r="E289" s="239" t="s">
        <v>33</v>
      </c>
      <c r="F289" s="239" t="s">
        <v>10</v>
      </c>
      <c r="G289" s="240" t="s">
        <v>241</v>
      </c>
      <c r="H289" s="256" t="s">
        <v>695</v>
      </c>
      <c r="I289" s="249"/>
      <c r="J289" s="257" t="s">
        <v>1591</v>
      </c>
    </row>
    <row r="290" spans="1:10" ht="17.25">
      <c r="A290">
        <v>289</v>
      </c>
      <c r="B290" s="237">
        <f t="shared" si="5"/>
        <v>2705</v>
      </c>
      <c r="C290" s="239" t="s">
        <v>691</v>
      </c>
      <c r="D290" s="241">
        <v>2705</v>
      </c>
      <c r="E290" s="239" t="s">
        <v>33</v>
      </c>
      <c r="F290" s="239" t="s">
        <v>10</v>
      </c>
      <c r="G290" s="240" t="s">
        <v>31</v>
      </c>
      <c r="H290" s="256" t="s">
        <v>695</v>
      </c>
      <c r="I290" s="249"/>
      <c r="J290" s="257" t="s">
        <v>697</v>
      </c>
    </row>
    <row r="291" spans="1:10" ht="17.25">
      <c r="A291">
        <v>290</v>
      </c>
      <c r="B291" s="237">
        <f t="shared" si="5"/>
        <v>2797</v>
      </c>
      <c r="C291" s="245" t="s">
        <v>691</v>
      </c>
      <c r="D291" s="246">
        <v>2797</v>
      </c>
      <c r="E291" s="252" t="s">
        <v>33</v>
      </c>
      <c r="F291" s="245" t="s">
        <v>10</v>
      </c>
      <c r="G291" s="245" t="s">
        <v>149</v>
      </c>
      <c r="H291" s="248" t="s">
        <v>1344</v>
      </c>
      <c r="I291" s="249"/>
      <c r="J291" s="249" t="s">
        <v>1345</v>
      </c>
    </row>
    <row r="292" spans="1:10" ht="17.25">
      <c r="A292">
        <v>291</v>
      </c>
      <c r="B292" s="237">
        <f t="shared" si="5"/>
        <v>2798</v>
      </c>
      <c r="C292" s="245" t="s">
        <v>691</v>
      </c>
      <c r="D292" s="246">
        <v>2798</v>
      </c>
      <c r="E292" s="252" t="s">
        <v>33</v>
      </c>
      <c r="F292" s="245" t="s">
        <v>10</v>
      </c>
      <c r="G292" s="245" t="s">
        <v>149</v>
      </c>
      <c r="H292" s="248" t="s">
        <v>1344</v>
      </c>
      <c r="I292" s="249"/>
      <c r="J292" s="249" t="s">
        <v>1346</v>
      </c>
    </row>
    <row r="293" spans="1:10" ht="17.25">
      <c r="A293">
        <v>292</v>
      </c>
      <c r="B293" s="237">
        <f t="shared" si="5"/>
        <v>2885</v>
      </c>
      <c r="C293" s="245" t="s">
        <v>691</v>
      </c>
      <c r="D293" s="246">
        <v>2885</v>
      </c>
      <c r="E293" s="245" t="s">
        <v>33</v>
      </c>
      <c r="F293" s="245" t="s">
        <v>10</v>
      </c>
      <c r="G293" s="247" t="s">
        <v>23</v>
      </c>
      <c r="H293" s="248" t="s">
        <v>856</v>
      </c>
      <c r="I293" s="249"/>
      <c r="J293" s="249" t="s">
        <v>698</v>
      </c>
    </row>
    <row r="294" spans="1:10" ht="17.25">
      <c r="A294">
        <v>293</v>
      </c>
      <c r="B294" s="237">
        <f t="shared" si="5"/>
        <v>2949</v>
      </c>
      <c r="C294" s="245" t="s">
        <v>691</v>
      </c>
      <c r="D294" s="246">
        <v>2949</v>
      </c>
      <c r="E294" s="252" t="s">
        <v>33</v>
      </c>
      <c r="F294" s="245" t="s">
        <v>10</v>
      </c>
      <c r="G294" s="245" t="s">
        <v>149</v>
      </c>
      <c r="H294" s="248" t="s">
        <v>1344</v>
      </c>
      <c r="I294" s="249"/>
      <c r="J294" s="249" t="s">
        <v>1391</v>
      </c>
    </row>
    <row r="295" spans="1:10" ht="17.25">
      <c r="A295">
        <v>294</v>
      </c>
      <c r="B295" s="237">
        <f t="shared" si="5"/>
        <v>3122</v>
      </c>
      <c r="C295" s="245" t="s">
        <v>691</v>
      </c>
      <c r="D295" s="246">
        <v>3122</v>
      </c>
      <c r="E295" s="245" t="s">
        <v>19</v>
      </c>
      <c r="F295" s="245" t="s">
        <v>10</v>
      </c>
      <c r="G295" s="247" t="s">
        <v>83</v>
      </c>
      <c r="H295" s="248" t="s">
        <v>692</v>
      </c>
      <c r="I295" s="249"/>
      <c r="J295" s="249" t="s">
        <v>699</v>
      </c>
    </row>
    <row r="296" spans="1:10" ht="17.25">
      <c r="A296">
        <v>295</v>
      </c>
      <c r="B296" s="237">
        <f t="shared" si="5"/>
        <v>3124</v>
      </c>
      <c r="C296" s="245" t="s">
        <v>691</v>
      </c>
      <c r="D296" s="246">
        <v>3124</v>
      </c>
      <c r="E296" s="245" t="s">
        <v>19</v>
      </c>
      <c r="F296" s="245" t="s">
        <v>10</v>
      </c>
      <c r="G296" s="247" t="s">
        <v>83</v>
      </c>
      <c r="H296" s="248" t="s">
        <v>692</v>
      </c>
      <c r="I296" s="249"/>
      <c r="J296" s="249" t="s">
        <v>700</v>
      </c>
    </row>
    <row r="297" spans="1:10" ht="17.25">
      <c r="A297">
        <v>296</v>
      </c>
      <c r="B297" s="237">
        <f t="shared" si="5"/>
        <v>3128</v>
      </c>
      <c r="C297" s="245" t="s">
        <v>691</v>
      </c>
      <c r="D297" s="246">
        <v>3128</v>
      </c>
      <c r="E297" s="245" t="s">
        <v>19</v>
      </c>
      <c r="F297" s="245" t="s">
        <v>10</v>
      </c>
      <c r="G297" s="247" t="s">
        <v>31</v>
      </c>
      <c r="H297" s="265" t="s">
        <v>721</v>
      </c>
      <c r="I297" s="249"/>
      <c r="J297" s="249" t="s">
        <v>722</v>
      </c>
    </row>
    <row r="298" spans="1:10" ht="17.25">
      <c r="A298">
        <v>297</v>
      </c>
      <c r="B298" s="237">
        <f t="shared" si="5"/>
        <v>3129</v>
      </c>
      <c r="C298" s="245" t="s">
        <v>691</v>
      </c>
      <c r="D298" s="246">
        <v>3129</v>
      </c>
      <c r="E298" s="245" t="s">
        <v>19</v>
      </c>
      <c r="F298" s="245" t="s">
        <v>10</v>
      </c>
      <c r="G298" s="247" t="s">
        <v>83</v>
      </c>
      <c r="H298" s="265" t="s">
        <v>692</v>
      </c>
      <c r="I298" s="249"/>
      <c r="J298" s="249" t="s">
        <v>723</v>
      </c>
    </row>
    <row r="299" spans="1:10" ht="17.25">
      <c r="A299">
        <v>298</v>
      </c>
      <c r="B299" s="237">
        <f t="shared" si="5"/>
        <v>3131</v>
      </c>
      <c r="C299" s="245" t="s">
        <v>691</v>
      </c>
      <c r="D299" s="246">
        <v>3131</v>
      </c>
      <c r="E299" s="245" t="s">
        <v>19</v>
      </c>
      <c r="F299" s="245" t="s">
        <v>10</v>
      </c>
      <c r="G299" s="247" t="s">
        <v>31</v>
      </c>
      <c r="H299" s="265" t="s">
        <v>721</v>
      </c>
      <c r="I299" s="249"/>
      <c r="J299" s="249" t="s">
        <v>724</v>
      </c>
    </row>
    <row r="300" spans="1:10" ht="17.25">
      <c r="A300">
        <v>299</v>
      </c>
      <c r="B300" s="237">
        <f t="shared" si="5"/>
        <v>3132</v>
      </c>
      <c r="C300" s="245" t="s">
        <v>691</v>
      </c>
      <c r="D300" s="246">
        <v>3132</v>
      </c>
      <c r="E300" s="245" t="s">
        <v>19</v>
      </c>
      <c r="F300" s="245" t="s">
        <v>10</v>
      </c>
      <c r="G300" s="247" t="s">
        <v>31</v>
      </c>
      <c r="H300" s="265" t="s">
        <v>721</v>
      </c>
      <c r="I300" s="249"/>
      <c r="J300" s="249" t="s">
        <v>725</v>
      </c>
    </row>
    <row r="301" spans="1:10" ht="17.25">
      <c r="A301">
        <v>300</v>
      </c>
      <c r="B301" s="237">
        <f t="shared" si="5"/>
        <v>3143</v>
      </c>
      <c r="C301" s="245" t="s">
        <v>691</v>
      </c>
      <c r="D301" s="246">
        <v>3143</v>
      </c>
      <c r="E301" s="245" t="s">
        <v>19</v>
      </c>
      <c r="F301" s="245" t="s">
        <v>10</v>
      </c>
      <c r="G301" s="247" t="s">
        <v>149</v>
      </c>
      <c r="H301" s="248" t="s">
        <v>711</v>
      </c>
      <c r="I301" s="249"/>
      <c r="J301" s="249" t="s">
        <v>730</v>
      </c>
    </row>
    <row r="302" spans="1:10" ht="17.25">
      <c r="A302">
        <v>301</v>
      </c>
      <c r="B302" s="237">
        <f t="shared" si="5"/>
        <v>3280</v>
      </c>
      <c r="C302" s="245" t="s">
        <v>691</v>
      </c>
      <c r="D302" s="246">
        <v>3280</v>
      </c>
      <c r="E302" s="246" t="s">
        <v>33</v>
      </c>
      <c r="F302" s="245" t="s">
        <v>10</v>
      </c>
      <c r="G302" s="246" t="s">
        <v>31</v>
      </c>
      <c r="H302" s="248" t="s">
        <v>692</v>
      </c>
      <c r="I302" s="249"/>
      <c r="J302" s="253" t="s">
        <v>701</v>
      </c>
    </row>
    <row r="303" spans="1:10" ht="17.25">
      <c r="A303">
        <v>302</v>
      </c>
      <c r="B303" s="237">
        <f t="shared" si="5"/>
        <v>3320</v>
      </c>
      <c r="C303" s="245" t="s">
        <v>691</v>
      </c>
      <c r="D303" s="246">
        <v>3320</v>
      </c>
      <c r="E303" s="246" t="s">
        <v>33</v>
      </c>
      <c r="F303" s="245" t="s">
        <v>10</v>
      </c>
      <c r="G303" s="246" t="s">
        <v>31</v>
      </c>
      <c r="H303" s="255" t="s">
        <v>692</v>
      </c>
      <c r="I303" s="354"/>
      <c r="J303" s="253" t="s">
        <v>702</v>
      </c>
    </row>
    <row r="304" spans="1:10" ht="17.25">
      <c r="A304">
        <v>303</v>
      </c>
      <c r="B304" s="237">
        <f t="shared" si="5"/>
        <v>3330</v>
      </c>
      <c r="C304" s="245" t="s">
        <v>691</v>
      </c>
      <c r="D304" s="246">
        <v>3330</v>
      </c>
      <c r="E304" s="246" t="s">
        <v>33</v>
      </c>
      <c r="F304" s="245" t="s">
        <v>10</v>
      </c>
      <c r="G304" s="246" t="s">
        <v>31</v>
      </c>
      <c r="H304" s="248" t="s">
        <v>692</v>
      </c>
      <c r="I304" s="249"/>
      <c r="J304" s="253" t="s">
        <v>703</v>
      </c>
    </row>
    <row r="305" spans="1:10" ht="17.25">
      <c r="A305">
        <v>304</v>
      </c>
      <c r="B305" s="237">
        <f t="shared" si="5"/>
        <v>3340</v>
      </c>
      <c r="C305" s="245" t="s">
        <v>691</v>
      </c>
      <c r="D305" s="246">
        <v>3340</v>
      </c>
      <c r="E305" s="246" t="s">
        <v>33</v>
      </c>
      <c r="F305" s="245" t="s">
        <v>10</v>
      </c>
      <c r="G305" s="246" t="s">
        <v>31</v>
      </c>
      <c r="H305" s="248" t="s">
        <v>692</v>
      </c>
      <c r="I305" s="249"/>
      <c r="J305" s="249" t="s">
        <v>704</v>
      </c>
    </row>
    <row r="306" spans="1:10" ht="17.25">
      <c r="A306">
        <v>305</v>
      </c>
      <c r="B306" s="237">
        <f t="shared" si="5"/>
        <v>3380</v>
      </c>
      <c r="C306" s="245" t="s">
        <v>691</v>
      </c>
      <c r="D306" s="307">
        <v>3380</v>
      </c>
      <c r="E306" s="246" t="s">
        <v>33</v>
      </c>
      <c r="F306" s="245" t="s">
        <v>10</v>
      </c>
      <c r="G306" s="308" t="s">
        <v>23</v>
      </c>
      <c r="H306" s="248" t="s">
        <v>692</v>
      </c>
      <c r="I306" s="249"/>
      <c r="J306" s="309" t="s">
        <v>705</v>
      </c>
    </row>
    <row r="307" spans="1:10" ht="17.25">
      <c r="A307">
        <v>306</v>
      </c>
      <c r="B307" s="237">
        <f t="shared" si="5"/>
        <v>3594</v>
      </c>
      <c r="C307" s="245" t="s">
        <v>691</v>
      </c>
      <c r="D307" s="246">
        <v>3594</v>
      </c>
      <c r="E307" s="245" t="s">
        <v>19</v>
      </c>
      <c r="F307" s="245" t="s">
        <v>10</v>
      </c>
      <c r="G307" s="247" t="s">
        <v>28</v>
      </c>
      <c r="H307" s="248" t="s">
        <v>711</v>
      </c>
      <c r="I307" s="249"/>
      <c r="J307" s="249" t="s">
        <v>775</v>
      </c>
    </row>
    <row r="308" spans="1:10" ht="17.25">
      <c r="A308">
        <v>307</v>
      </c>
      <c r="B308" s="237">
        <f t="shared" si="5"/>
        <v>3595</v>
      </c>
      <c r="C308" s="245" t="s">
        <v>691</v>
      </c>
      <c r="D308" s="246">
        <v>3595</v>
      </c>
      <c r="E308" s="245" t="s">
        <v>19</v>
      </c>
      <c r="F308" s="245" t="s">
        <v>10</v>
      </c>
      <c r="G308" s="247" t="s">
        <v>27</v>
      </c>
      <c r="H308" s="248" t="s">
        <v>711</v>
      </c>
      <c r="I308" s="249"/>
      <c r="J308" s="249" t="s">
        <v>774</v>
      </c>
    </row>
    <row r="309" spans="1:10" ht="17.25">
      <c r="A309">
        <v>308</v>
      </c>
      <c r="B309" s="237">
        <f t="shared" si="5"/>
        <v>3788</v>
      </c>
      <c r="C309" s="239" t="s">
        <v>691</v>
      </c>
      <c r="D309" s="242">
        <v>3788</v>
      </c>
      <c r="E309" s="241" t="s">
        <v>19</v>
      </c>
      <c r="F309" s="239" t="s">
        <v>10</v>
      </c>
      <c r="G309" s="244" t="s">
        <v>83</v>
      </c>
      <c r="H309" s="256" t="s">
        <v>855</v>
      </c>
      <c r="I309" s="249"/>
      <c r="J309" s="258" t="s">
        <v>706</v>
      </c>
    </row>
    <row r="310" spans="1:10" ht="17.25">
      <c r="A310">
        <v>309</v>
      </c>
      <c r="B310" s="237">
        <f t="shared" si="5"/>
        <v>4820</v>
      </c>
      <c r="C310" s="245" t="s">
        <v>691</v>
      </c>
      <c r="D310" s="307">
        <v>4820</v>
      </c>
      <c r="E310" s="246" t="s">
        <v>33</v>
      </c>
      <c r="F310" s="245" t="s">
        <v>10</v>
      </c>
      <c r="G310" s="308" t="s">
        <v>31</v>
      </c>
      <c r="H310" s="248" t="s">
        <v>857</v>
      </c>
      <c r="I310" s="249"/>
      <c r="J310" s="309" t="s">
        <v>707</v>
      </c>
    </row>
    <row r="311" spans="1:10" ht="17.25">
      <c r="A311">
        <v>310</v>
      </c>
      <c r="B311" s="237">
        <f t="shared" si="5"/>
        <v>5327</v>
      </c>
      <c r="C311" s="245" t="s">
        <v>691</v>
      </c>
      <c r="D311" s="246">
        <v>5327</v>
      </c>
      <c r="E311" s="245" t="s">
        <v>33</v>
      </c>
      <c r="F311" s="245" t="s">
        <v>10</v>
      </c>
      <c r="G311" s="247" t="s">
        <v>149</v>
      </c>
      <c r="H311" s="248"/>
      <c r="I311" s="249"/>
      <c r="J311" s="249" t="s">
        <v>839</v>
      </c>
    </row>
    <row r="312" spans="1:10" ht="17.25">
      <c r="A312">
        <v>311</v>
      </c>
      <c r="B312" s="237">
        <f t="shared" si="5"/>
        <v>5328</v>
      </c>
      <c r="C312" s="245" t="s">
        <v>691</v>
      </c>
      <c r="D312" s="246">
        <v>5328</v>
      </c>
      <c r="E312" s="245" t="s">
        <v>33</v>
      </c>
      <c r="F312" s="245" t="s">
        <v>10</v>
      </c>
      <c r="G312" s="247" t="s">
        <v>149</v>
      </c>
      <c r="H312" s="248"/>
      <c r="I312" s="249"/>
      <c r="J312" s="249" t="s">
        <v>837</v>
      </c>
    </row>
    <row r="313" spans="1:10" ht="17.25">
      <c r="A313">
        <v>312</v>
      </c>
      <c r="B313" s="237">
        <f t="shared" si="5"/>
        <v>5425</v>
      </c>
      <c r="C313" s="245" t="s">
        <v>691</v>
      </c>
      <c r="D313" s="246">
        <v>5425</v>
      </c>
      <c r="E313" s="252" t="s">
        <v>33</v>
      </c>
      <c r="F313" s="245" t="s">
        <v>10</v>
      </c>
      <c r="G313" s="245" t="s">
        <v>149</v>
      </c>
      <c r="H313" s="248" t="s">
        <v>1344</v>
      </c>
      <c r="I313" s="249"/>
      <c r="J313" s="249" t="s">
        <v>1575</v>
      </c>
    </row>
    <row r="314" spans="1:10" ht="17.25">
      <c r="A314">
        <v>313</v>
      </c>
      <c r="B314" s="237">
        <f t="shared" si="5"/>
        <v>6355</v>
      </c>
      <c r="C314" s="245" t="s">
        <v>691</v>
      </c>
      <c r="D314" s="246">
        <v>6355</v>
      </c>
      <c r="E314" s="245" t="s">
        <v>33</v>
      </c>
      <c r="F314" s="245" t="s">
        <v>10</v>
      </c>
      <c r="G314" s="247" t="s">
        <v>23</v>
      </c>
      <c r="H314" s="265" t="s">
        <v>695</v>
      </c>
      <c r="I314" s="249"/>
      <c r="J314" s="249" t="s">
        <v>726</v>
      </c>
    </row>
    <row r="315" spans="1:10" ht="17.25">
      <c r="A315">
        <v>314</v>
      </c>
      <c r="B315" s="237">
        <f t="shared" si="5"/>
        <v>6356</v>
      </c>
      <c r="C315" s="239" t="s">
        <v>691</v>
      </c>
      <c r="D315" s="242">
        <v>6356</v>
      </c>
      <c r="E315" s="241" t="s">
        <v>33</v>
      </c>
      <c r="F315" s="239" t="s">
        <v>10</v>
      </c>
      <c r="G315" s="244" t="s">
        <v>23</v>
      </c>
      <c r="H315" s="256" t="s">
        <v>695</v>
      </c>
      <c r="I315" s="249"/>
      <c r="J315" s="258" t="s">
        <v>708</v>
      </c>
    </row>
    <row r="316" spans="1:10" ht="17.25">
      <c r="A316">
        <v>315</v>
      </c>
      <c r="B316" s="237">
        <f t="shared" si="5"/>
        <v>6390</v>
      </c>
      <c r="C316" s="245" t="s">
        <v>691</v>
      </c>
      <c r="D316" s="246">
        <v>6390</v>
      </c>
      <c r="E316" s="245" t="s">
        <v>33</v>
      </c>
      <c r="F316" s="245" t="s">
        <v>10</v>
      </c>
      <c r="G316" s="247" t="s">
        <v>31</v>
      </c>
      <c r="H316" s="265" t="s">
        <v>692</v>
      </c>
      <c r="I316" s="249"/>
      <c r="J316" s="249" t="s">
        <v>727</v>
      </c>
    </row>
    <row r="317" spans="1:10" ht="17.25">
      <c r="A317">
        <v>316</v>
      </c>
      <c r="B317" s="237">
        <f t="shared" si="5"/>
        <v>6513</v>
      </c>
      <c r="C317" s="239" t="s">
        <v>691</v>
      </c>
      <c r="D317" s="241">
        <v>6513</v>
      </c>
      <c r="E317" s="239" t="s">
        <v>33</v>
      </c>
      <c r="F317" s="239" t="s">
        <v>10</v>
      </c>
      <c r="G317" s="240" t="s">
        <v>149</v>
      </c>
      <c r="H317" s="256" t="s">
        <v>807</v>
      </c>
      <c r="I317" s="249"/>
      <c r="J317" s="257" t="s">
        <v>1288</v>
      </c>
    </row>
    <row r="318" spans="1:10" ht="17.25">
      <c r="A318">
        <v>317</v>
      </c>
      <c r="B318" s="237">
        <f t="shared" si="5"/>
        <v>7064</v>
      </c>
      <c r="C318" s="245" t="s">
        <v>691</v>
      </c>
      <c r="D318" s="246">
        <v>7064</v>
      </c>
      <c r="E318" s="245" t="s">
        <v>19</v>
      </c>
      <c r="F318" s="245" t="s">
        <v>10</v>
      </c>
      <c r="G318" s="247" t="s">
        <v>83</v>
      </c>
      <c r="H318" s="265" t="s">
        <v>721</v>
      </c>
      <c r="I318" s="249"/>
      <c r="J318" s="249" t="s">
        <v>728</v>
      </c>
    </row>
    <row r="319" spans="1:10" ht="17.25">
      <c r="A319">
        <v>318</v>
      </c>
      <c r="B319" s="237">
        <f t="shared" si="5"/>
        <v>7067</v>
      </c>
      <c r="C319" s="245" t="s">
        <v>691</v>
      </c>
      <c r="D319" s="307">
        <v>7067</v>
      </c>
      <c r="E319" s="307" t="s">
        <v>19</v>
      </c>
      <c r="F319" s="245" t="s">
        <v>10</v>
      </c>
      <c r="G319" s="308" t="s">
        <v>15</v>
      </c>
      <c r="H319" s="248" t="s">
        <v>692</v>
      </c>
      <c r="I319" s="249"/>
      <c r="J319" s="309" t="s">
        <v>709</v>
      </c>
    </row>
    <row r="320" spans="1:10" ht="17.25">
      <c r="A320">
        <v>319</v>
      </c>
      <c r="B320" s="237">
        <f t="shared" si="5"/>
        <v>7708</v>
      </c>
      <c r="C320" s="245" t="s">
        <v>691</v>
      </c>
      <c r="D320" s="307">
        <v>7708</v>
      </c>
      <c r="E320" s="307" t="s">
        <v>19</v>
      </c>
      <c r="F320" s="245" t="s">
        <v>10</v>
      </c>
      <c r="G320" s="308" t="s">
        <v>83</v>
      </c>
      <c r="H320" s="248" t="s">
        <v>692</v>
      </c>
      <c r="I320" s="249"/>
      <c r="J320" s="309" t="s">
        <v>710</v>
      </c>
    </row>
    <row r="321" spans="1:10" ht="17.25">
      <c r="A321">
        <v>320</v>
      </c>
      <c r="B321" s="237">
        <f t="shared" si="5"/>
        <v>8310</v>
      </c>
      <c r="C321" s="245" t="s">
        <v>691</v>
      </c>
      <c r="D321" s="246">
        <v>8310</v>
      </c>
      <c r="E321" s="246" t="s">
        <v>33</v>
      </c>
      <c r="F321" s="245" t="s">
        <v>10</v>
      </c>
      <c r="G321" s="247" t="s">
        <v>23</v>
      </c>
      <c r="H321" s="248" t="s">
        <v>692</v>
      </c>
      <c r="I321" s="249"/>
      <c r="J321" s="249" t="s">
        <v>716</v>
      </c>
    </row>
    <row r="322" spans="1:10" ht="17.25">
      <c r="A322">
        <v>321</v>
      </c>
      <c r="B322" s="237">
        <f t="shared" si="5"/>
        <v>8325</v>
      </c>
      <c r="C322" s="245" t="s">
        <v>691</v>
      </c>
      <c r="D322" s="246">
        <v>8325</v>
      </c>
      <c r="E322" s="246" t="s">
        <v>33</v>
      </c>
      <c r="F322" s="245" t="s">
        <v>10</v>
      </c>
      <c r="G322" s="245" t="s">
        <v>23</v>
      </c>
      <c r="H322" s="248" t="s">
        <v>692</v>
      </c>
      <c r="I322" s="249"/>
      <c r="J322" s="248" t="s">
        <v>717</v>
      </c>
    </row>
    <row r="323" spans="1:10" ht="17.25">
      <c r="A323">
        <v>322</v>
      </c>
      <c r="B323" s="237">
        <f t="shared" si="5"/>
        <v>8340</v>
      </c>
      <c r="C323" s="245" t="s">
        <v>691</v>
      </c>
      <c r="D323" s="246">
        <v>8340</v>
      </c>
      <c r="E323" s="246" t="s">
        <v>33</v>
      </c>
      <c r="F323" s="245" t="s">
        <v>10</v>
      </c>
      <c r="G323" s="247" t="s">
        <v>23</v>
      </c>
      <c r="H323" s="248" t="s">
        <v>692</v>
      </c>
      <c r="I323" s="249"/>
      <c r="J323" s="249" t="s">
        <v>718</v>
      </c>
    </row>
    <row r="324" spans="1:10" ht="17.25">
      <c r="A324">
        <v>323</v>
      </c>
      <c r="B324" s="237">
        <f t="shared" si="5"/>
        <v>8355</v>
      </c>
      <c r="C324" s="245" t="s">
        <v>691</v>
      </c>
      <c r="D324" s="246">
        <v>8355</v>
      </c>
      <c r="E324" s="246" t="s">
        <v>33</v>
      </c>
      <c r="F324" s="245" t="s">
        <v>10</v>
      </c>
      <c r="G324" s="247" t="s">
        <v>23</v>
      </c>
      <c r="H324" s="248" t="s">
        <v>692</v>
      </c>
      <c r="I324" s="249"/>
      <c r="J324" s="249" t="s">
        <v>719</v>
      </c>
    </row>
    <row r="325" spans="1:10" ht="17.25">
      <c r="A325">
        <v>324</v>
      </c>
      <c r="B325" s="237">
        <f t="shared" ref="B325:B389" si="6">D325</f>
        <v>8370</v>
      </c>
      <c r="C325" s="245" t="s">
        <v>691</v>
      </c>
      <c r="D325" s="246">
        <v>8370</v>
      </c>
      <c r="E325" s="246" t="s">
        <v>33</v>
      </c>
      <c r="F325" s="245" t="s">
        <v>10</v>
      </c>
      <c r="G325" s="247" t="s">
        <v>23</v>
      </c>
      <c r="H325" s="265" t="s">
        <v>692</v>
      </c>
      <c r="I325" s="249"/>
      <c r="J325" s="249" t="s">
        <v>720</v>
      </c>
    </row>
    <row r="326" spans="1:10" ht="17.25">
      <c r="A326">
        <v>325</v>
      </c>
      <c r="B326" s="237">
        <f t="shared" si="6"/>
        <v>8391</v>
      </c>
      <c r="C326" s="245" t="s">
        <v>691</v>
      </c>
      <c r="D326" s="246">
        <v>8391</v>
      </c>
      <c r="E326" s="245" t="s">
        <v>33</v>
      </c>
      <c r="F326" s="245" t="s">
        <v>10</v>
      </c>
      <c r="G326" s="247" t="s">
        <v>149</v>
      </c>
      <c r="H326" s="248" t="s">
        <v>711</v>
      </c>
      <c r="I326" s="249"/>
      <c r="J326" s="249" t="s">
        <v>794</v>
      </c>
    </row>
    <row r="327" spans="1:10" ht="17.25">
      <c r="A327">
        <v>326</v>
      </c>
      <c r="B327" s="237">
        <f t="shared" si="6"/>
        <v>8420</v>
      </c>
      <c r="C327" s="245" t="s">
        <v>691</v>
      </c>
      <c r="D327" s="246">
        <v>8420</v>
      </c>
      <c r="E327" s="245" t="s">
        <v>33</v>
      </c>
      <c r="F327" s="245" t="s">
        <v>10</v>
      </c>
      <c r="G327" s="247" t="s">
        <v>149</v>
      </c>
      <c r="H327" s="248" t="s">
        <v>776</v>
      </c>
      <c r="I327" s="249"/>
      <c r="J327" s="249" t="s">
        <v>769</v>
      </c>
    </row>
    <row r="328" spans="1:10" ht="17.25">
      <c r="A328">
        <v>327</v>
      </c>
      <c r="B328" s="237">
        <f t="shared" si="6"/>
        <v>62201</v>
      </c>
      <c r="C328" s="269" t="s">
        <v>1555</v>
      </c>
      <c r="D328" s="269">
        <v>62201</v>
      </c>
      <c r="E328" s="269" t="s">
        <v>33</v>
      </c>
      <c r="F328" s="269" t="s">
        <v>34</v>
      </c>
      <c r="G328" s="269" t="s">
        <v>31</v>
      </c>
      <c r="H328" s="268"/>
      <c r="I328" s="268"/>
      <c r="J328" s="353" t="s">
        <v>786</v>
      </c>
    </row>
    <row r="329" spans="1:10" ht="17.25">
      <c r="A329">
        <v>328</v>
      </c>
      <c r="B329" s="237">
        <f t="shared" si="6"/>
        <v>71100</v>
      </c>
      <c r="C329" s="269" t="s">
        <v>1555</v>
      </c>
      <c r="D329" s="269">
        <v>71100</v>
      </c>
      <c r="E329" s="269" t="s">
        <v>33</v>
      </c>
      <c r="F329" s="269" t="s">
        <v>34</v>
      </c>
      <c r="G329" s="269" t="s">
        <v>31</v>
      </c>
      <c r="H329" s="268"/>
      <c r="I329" s="268"/>
      <c r="J329" s="353" t="s">
        <v>785</v>
      </c>
    </row>
    <row r="330" spans="1:10" ht="17.25">
      <c r="A330">
        <v>329</v>
      </c>
      <c r="B330" s="237">
        <f t="shared" si="6"/>
        <v>54301</v>
      </c>
      <c r="C330" s="239" t="s">
        <v>235</v>
      </c>
      <c r="D330" s="239">
        <v>54301</v>
      </c>
      <c r="E330" s="239" t="s">
        <v>33</v>
      </c>
      <c r="F330" s="239"/>
      <c r="G330" s="240" t="s">
        <v>49</v>
      </c>
      <c r="H330" s="256" t="s">
        <v>236</v>
      </c>
      <c r="I330" s="256"/>
      <c r="J330" s="256" t="s">
        <v>1581</v>
      </c>
    </row>
    <row r="331" spans="1:10" ht="17.25">
      <c r="A331">
        <v>330</v>
      </c>
      <c r="B331" s="237">
        <f t="shared" si="6"/>
        <v>56200</v>
      </c>
      <c r="C331" s="245" t="s">
        <v>235</v>
      </c>
      <c r="D331" s="263">
        <v>56200</v>
      </c>
      <c r="E331" s="252" t="s">
        <v>19</v>
      </c>
      <c r="F331" s="249"/>
      <c r="G331" s="246" t="s">
        <v>27</v>
      </c>
      <c r="H331" s="248" t="s">
        <v>1304</v>
      </c>
      <c r="I331" s="248"/>
      <c r="J331" s="248" t="s">
        <v>1492</v>
      </c>
    </row>
    <row r="332" spans="1:10" ht="17.25">
      <c r="A332">
        <v>331</v>
      </c>
      <c r="B332" s="237">
        <f t="shared" si="6"/>
        <v>60100</v>
      </c>
      <c r="C332" s="245" t="s">
        <v>235</v>
      </c>
      <c r="D332" s="263">
        <v>60100</v>
      </c>
      <c r="E332" s="252" t="s">
        <v>33</v>
      </c>
      <c r="F332" s="249"/>
      <c r="G332" s="246" t="s">
        <v>58</v>
      </c>
      <c r="H332" s="248" t="s">
        <v>236</v>
      </c>
      <c r="I332" s="248"/>
      <c r="J332" s="248" t="s">
        <v>1294</v>
      </c>
    </row>
    <row r="333" spans="1:10" ht="17.25">
      <c r="A333">
        <v>332</v>
      </c>
      <c r="B333" s="237">
        <f t="shared" si="6"/>
        <v>60110</v>
      </c>
      <c r="C333" s="239" t="s">
        <v>235</v>
      </c>
      <c r="D333" s="241">
        <v>60110</v>
      </c>
      <c r="E333" s="241" t="s">
        <v>33</v>
      </c>
      <c r="F333" s="257"/>
      <c r="G333" s="241" t="s">
        <v>58</v>
      </c>
      <c r="H333" s="256" t="s">
        <v>236</v>
      </c>
      <c r="I333" s="256"/>
      <c r="J333" s="256" t="s">
        <v>1295</v>
      </c>
    </row>
    <row r="334" spans="1:10" ht="17.25">
      <c r="A334">
        <v>333</v>
      </c>
      <c r="B334" s="237">
        <f t="shared" si="6"/>
        <v>63141</v>
      </c>
      <c r="C334" s="239" t="s">
        <v>235</v>
      </c>
      <c r="D334" s="239">
        <v>63141</v>
      </c>
      <c r="E334" s="239" t="s">
        <v>33</v>
      </c>
      <c r="F334" s="239"/>
      <c r="G334" s="240" t="s">
        <v>241</v>
      </c>
      <c r="H334" s="256" t="s">
        <v>236</v>
      </c>
      <c r="I334" s="256"/>
      <c r="J334" s="256" t="s">
        <v>242</v>
      </c>
    </row>
    <row r="335" spans="1:10" ht="17.25">
      <c r="A335">
        <v>334</v>
      </c>
      <c r="B335" s="237">
        <f t="shared" si="6"/>
        <v>63331</v>
      </c>
      <c r="C335" s="239" t="s">
        <v>235</v>
      </c>
      <c r="D335" s="241">
        <v>63331</v>
      </c>
      <c r="E335" s="241" t="s">
        <v>33</v>
      </c>
      <c r="F335" s="257"/>
      <c r="G335" s="241" t="s">
        <v>23</v>
      </c>
      <c r="H335" s="256" t="s">
        <v>236</v>
      </c>
      <c r="I335" s="256"/>
      <c r="J335" s="256" t="s">
        <v>1587</v>
      </c>
    </row>
    <row r="336" spans="1:10" ht="17.25">
      <c r="A336">
        <v>335</v>
      </c>
      <c r="B336" s="237">
        <f t="shared" si="6"/>
        <v>63380</v>
      </c>
      <c r="C336" s="239" t="s">
        <v>235</v>
      </c>
      <c r="D336" s="241">
        <v>63380</v>
      </c>
      <c r="E336" s="241" t="s">
        <v>33</v>
      </c>
      <c r="F336" s="257"/>
      <c r="G336" s="241" t="s">
        <v>58</v>
      </c>
      <c r="H336" s="256" t="s">
        <v>236</v>
      </c>
      <c r="I336" s="256"/>
      <c r="J336" s="256" t="s">
        <v>255</v>
      </c>
    </row>
    <row r="337" spans="1:10" ht="17.25">
      <c r="A337">
        <v>336</v>
      </c>
      <c r="B337" s="237">
        <f t="shared" si="6"/>
        <v>63751</v>
      </c>
      <c r="C337" s="239" t="s">
        <v>235</v>
      </c>
      <c r="D337" s="239">
        <v>63751</v>
      </c>
      <c r="E337" s="241" t="s">
        <v>19</v>
      </c>
      <c r="F337" s="239"/>
      <c r="G337" s="239" t="s">
        <v>29</v>
      </c>
      <c r="H337" s="256" t="s">
        <v>236</v>
      </c>
      <c r="I337" s="256"/>
      <c r="J337" s="256" t="s">
        <v>247</v>
      </c>
    </row>
    <row r="338" spans="1:10" ht="17.25">
      <c r="A338">
        <v>337</v>
      </c>
      <c r="B338" s="237">
        <f t="shared" si="6"/>
        <v>64531</v>
      </c>
      <c r="C338" s="245" t="s">
        <v>235</v>
      </c>
      <c r="D338" s="260">
        <v>64531</v>
      </c>
      <c r="E338" s="245" t="s">
        <v>19</v>
      </c>
      <c r="F338" s="245"/>
      <c r="G338" s="247" t="s">
        <v>49</v>
      </c>
      <c r="H338" s="248" t="s">
        <v>236</v>
      </c>
      <c r="I338" s="248"/>
      <c r="J338" s="248" t="s">
        <v>239</v>
      </c>
    </row>
    <row r="339" spans="1:10" ht="17.25">
      <c r="A339">
        <v>338</v>
      </c>
      <c r="B339" s="237">
        <f t="shared" si="6"/>
        <v>64701</v>
      </c>
      <c r="C339" s="239" t="s">
        <v>235</v>
      </c>
      <c r="D339" s="239">
        <v>64701</v>
      </c>
      <c r="E339" s="239" t="s">
        <v>33</v>
      </c>
      <c r="F339" s="239"/>
      <c r="G339" s="240" t="s">
        <v>49</v>
      </c>
      <c r="H339" s="256" t="s">
        <v>236</v>
      </c>
      <c r="I339" s="256"/>
      <c r="J339" s="256" t="s">
        <v>1582</v>
      </c>
    </row>
    <row r="340" spans="1:10" ht="17.25">
      <c r="A340">
        <v>339</v>
      </c>
      <c r="B340" s="237">
        <f t="shared" si="6"/>
        <v>65101</v>
      </c>
      <c r="C340" s="239" t="s">
        <v>235</v>
      </c>
      <c r="D340" s="241">
        <v>65101</v>
      </c>
      <c r="E340" s="241" t="s">
        <v>33</v>
      </c>
      <c r="F340" s="257"/>
      <c r="G340" s="241" t="s">
        <v>58</v>
      </c>
      <c r="H340" s="256" t="s">
        <v>236</v>
      </c>
      <c r="I340" s="256"/>
      <c r="J340" s="256" t="s">
        <v>257</v>
      </c>
    </row>
    <row r="341" spans="1:10" ht="17.25">
      <c r="A341">
        <v>340</v>
      </c>
      <c r="B341" s="237">
        <f t="shared" si="6"/>
        <v>65311</v>
      </c>
      <c r="C341" s="239" t="s">
        <v>235</v>
      </c>
      <c r="D341" s="241">
        <v>65311</v>
      </c>
      <c r="E341" s="241" t="s">
        <v>33</v>
      </c>
      <c r="F341" s="257"/>
      <c r="G341" s="241" t="s">
        <v>58</v>
      </c>
      <c r="H341" s="256" t="s">
        <v>236</v>
      </c>
      <c r="I341" s="256"/>
      <c r="J341" s="256" t="s">
        <v>256</v>
      </c>
    </row>
    <row r="342" spans="1:10" ht="17.25">
      <c r="A342">
        <v>341</v>
      </c>
      <c r="B342" s="237">
        <f t="shared" si="6"/>
        <v>65500</v>
      </c>
      <c r="C342" s="239" t="s">
        <v>235</v>
      </c>
      <c r="D342" s="239">
        <v>65500</v>
      </c>
      <c r="E342" s="239" t="s">
        <v>33</v>
      </c>
      <c r="F342" s="239"/>
      <c r="G342" s="240" t="s">
        <v>49</v>
      </c>
      <c r="H342" s="256" t="s">
        <v>236</v>
      </c>
      <c r="I342" s="256"/>
      <c r="J342" s="256" t="s">
        <v>240</v>
      </c>
    </row>
    <row r="343" spans="1:10" ht="17.25">
      <c r="A343">
        <v>342</v>
      </c>
      <c r="B343" s="237">
        <f t="shared" si="6"/>
        <v>65520</v>
      </c>
      <c r="C343" s="239" t="s">
        <v>235</v>
      </c>
      <c r="D343" s="239">
        <v>65520</v>
      </c>
      <c r="E343" s="241" t="s">
        <v>33</v>
      </c>
      <c r="F343" s="239"/>
      <c r="G343" s="240" t="s">
        <v>30</v>
      </c>
      <c r="H343" s="256" t="s">
        <v>236</v>
      </c>
      <c r="I343" s="256"/>
      <c r="J343" s="256" t="s">
        <v>248</v>
      </c>
    </row>
    <row r="344" spans="1:10" ht="17.25">
      <c r="A344">
        <v>343</v>
      </c>
      <c r="B344" s="237">
        <f t="shared" si="6"/>
        <v>65650</v>
      </c>
      <c r="C344" s="239" t="s">
        <v>235</v>
      </c>
      <c r="D344" s="241">
        <v>65650</v>
      </c>
      <c r="E344" s="241" t="s">
        <v>33</v>
      </c>
      <c r="F344" s="257" t="s">
        <v>258</v>
      </c>
      <c r="G344" s="241" t="s">
        <v>27</v>
      </c>
      <c r="H344" s="256" t="s">
        <v>236</v>
      </c>
      <c r="I344" s="256"/>
      <c r="J344" s="256" t="s">
        <v>259</v>
      </c>
    </row>
    <row r="345" spans="1:10" ht="17.25">
      <c r="A345">
        <v>344</v>
      </c>
      <c r="B345" s="237">
        <f t="shared" si="6"/>
        <v>65680</v>
      </c>
      <c r="C345" s="245" t="s">
        <v>235</v>
      </c>
      <c r="D345" s="263">
        <v>65680</v>
      </c>
      <c r="E345" s="252" t="s">
        <v>33</v>
      </c>
      <c r="F345" s="249"/>
      <c r="G345" s="252" t="s">
        <v>27</v>
      </c>
      <c r="H345" s="248" t="s">
        <v>236</v>
      </c>
      <c r="I345" s="248"/>
      <c r="J345" s="248" t="s">
        <v>260</v>
      </c>
    </row>
    <row r="346" spans="1:10" ht="17.25">
      <c r="A346">
        <v>345</v>
      </c>
      <c r="B346" s="237">
        <f t="shared" si="6"/>
        <v>65681</v>
      </c>
      <c r="C346" s="239" t="s">
        <v>235</v>
      </c>
      <c r="D346" s="241">
        <v>65681</v>
      </c>
      <c r="E346" s="241" t="s">
        <v>33</v>
      </c>
      <c r="F346" s="257"/>
      <c r="G346" s="241" t="s">
        <v>27</v>
      </c>
      <c r="H346" s="256" t="s">
        <v>236</v>
      </c>
      <c r="I346" s="256"/>
      <c r="J346" s="256" t="s">
        <v>263</v>
      </c>
    </row>
    <row r="347" spans="1:10" ht="17.25">
      <c r="A347">
        <v>346</v>
      </c>
      <c r="B347" s="237">
        <f t="shared" si="6"/>
        <v>66101</v>
      </c>
      <c r="C347" s="239" t="s">
        <v>235</v>
      </c>
      <c r="D347" s="241">
        <v>66101</v>
      </c>
      <c r="E347" s="241" t="s">
        <v>33</v>
      </c>
      <c r="F347" s="257"/>
      <c r="G347" s="241" t="s">
        <v>27</v>
      </c>
      <c r="H347" s="256" t="s">
        <v>236</v>
      </c>
      <c r="I347" s="256"/>
      <c r="J347" s="259" t="s">
        <v>264</v>
      </c>
    </row>
    <row r="348" spans="1:10" ht="17.25">
      <c r="A348">
        <v>347</v>
      </c>
      <c r="B348" s="237">
        <f t="shared" si="6"/>
        <v>66170</v>
      </c>
      <c r="C348" s="239" t="s">
        <v>235</v>
      </c>
      <c r="D348" s="241">
        <v>66170</v>
      </c>
      <c r="E348" s="241" t="s">
        <v>33</v>
      </c>
      <c r="F348" s="257"/>
      <c r="G348" s="241" t="s">
        <v>27</v>
      </c>
      <c r="H348" s="256" t="s">
        <v>1304</v>
      </c>
      <c r="I348" s="256"/>
      <c r="J348" s="256" t="s">
        <v>1305</v>
      </c>
    </row>
    <row r="349" spans="1:10" ht="17.25">
      <c r="A349">
        <v>348</v>
      </c>
      <c r="B349" s="237">
        <f t="shared" si="6"/>
        <v>66400</v>
      </c>
      <c r="C349" s="239" t="s">
        <v>235</v>
      </c>
      <c r="D349" s="241">
        <v>66400</v>
      </c>
      <c r="E349" s="241" t="s">
        <v>33</v>
      </c>
      <c r="F349" s="257"/>
      <c r="G349" s="241" t="s">
        <v>27</v>
      </c>
      <c r="H349" s="256" t="s">
        <v>236</v>
      </c>
      <c r="I349" s="256"/>
      <c r="J349" s="256" t="s">
        <v>265</v>
      </c>
    </row>
    <row r="350" spans="1:10" ht="17.25">
      <c r="A350">
        <v>349</v>
      </c>
      <c r="B350" s="237">
        <f t="shared" si="6"/>
        <v>66500</v>
      </c>
      <c r="C350" s="239" t="s">
        <v>235</v>
      </c>
      <c r="D350" s="241">
        <v>66500</v>
      </c>
      <c r="E350" s="241" t="s">
        <v>33</v>
      </c>
      <c r="F350" s="257"/>
      <c r="G350" s="241" t="s">
        <v>27</v>
      </c>
      <c r="H350" s="256" t="s">
        <v>1304</v>
      </c>
      <c r="I350" s="256"/>
      <c r="J350" s="256" t="s">
        <v>1496</v>
      </c>
    </row>
    <row r="351" spans="1:10" ht="17.25">
      <c r="A351">
        <v>350</v>
      </c>
      <c r="B351" s="237">
        <f t="shared" si="6"/>
        <v>68880</v>
      </c>
      <c r="C351" s="239" t="s">
        <v>235</v>
      </c>
      <c r="D351" s="241">
        <v>68880</v>
      </c>
      <c r="E351" s="260" t="s">
        <v>19</v>
      </c>
      <c r="F351" s="257"/>
      <c r="G351" s="241" t="s">
        <v>58</v>
      </c>
      <c r="H351" s="256"/>
      <c r="I351" s="256"/>
      <c r="J351" s="256" t="s">
        <v>1782</v>
      </c>
    </row>
    <row r="352" spans="1:10" ht="17.25">
      <c r="A352">
        <v>351</v>
      </c>
      <c r="B352" s="237" t="str">
        <f t="shared" si="6"/>
        <v>3G171</v>
      </c>
      <c r="C352" s="260" t="s">
        <v>235</v>
      </c>
      <c r="D352" s="260" t="s">
        <v>243</v>
      </c>
      <c r="E352" s="260" t="s">
        <v>19</v>
      </c>
      <c r="F352" s="260"/>
      <c r="G352" s="261" t="s">
        <v>31</v>
      </c>
      <c r="H352" s="262" t="s">
        <v>236</v>
      </c>
      <c r="I352" s="262"/>
      <c r="J352" s="262" t="s">
        <v>244</v>
      </c>
    </row>
    <row r="353" spans="1:10" ht="17.25">
      <c r="A353">
        <v>352</v>
      </c>
      <c r="B353" s="237" t="str">
        <f t="shared" si="6"/>
        <v>3G251</v>
      </c>
      <c r="C353" s="239" t="s">
        <v>235</v>
      </c>
      <c r="D353" s="241" t="s">
        <v>253</v>
      </c>
      <c r="E353" s="241" t="s">
        <v>33</v>
      </c>
      <c r="F353" s="257"/>
      <c r="G353" s="241" t="s">
        <v>49</v>
      </c>
      <c r="H353" s="256" t="s">
        <v>236</v>
      </c>
      <c r="I353" s="256"/>
      <c r="J353" s="256" t="s">
        <v>254</v>
      </c>
    </row>
    <row r="354" spans="1:10" ht="17.25">
      <c r="A354">
        <v>353</v>
      </c>
      <c r="B354" s="237" t="str">
        <f t="shared" si="6"/>
        <v>3G252</v>
      </c>
      <c r="C354" s="239" t="s">
        <v>235</v>
      </c>
      <c r="D354" s="243" t="s">
        <v>251</v>
      </c>
      <c r="E354" s="241" t="s">
        <v>33</v>
      </c>
      <c r="F354" s="257"/>
      <c r="G354" s="241" t="s">
        <v>49</v>
      </c>
      <c r="H354" s="256" t="s">
        <v>236</v>
      </c>
      <c r="I354" s="256"/>
      <c r="J354" s="256" t="s">
        <v>252</v>
      </c>
    </row>
    <row r="355" spans="1:10" ht="17.25">
      <c r="A355">
        <v>354</v>
      </c>
      <c r="B355" s="237" t="str">
        <f t="shared" si="6"/>
        <v>3G401</v>
      </c>
      <c r="C355" s="245" t="s">
        <v>235</v>
      </c>
      <c r="D355" s="260" t="s">
        <v>237</v>
      </c>
      <c r="E355" s="245" t="s">
        <v>33</v>
      </c>
      <c r="F355" s="245"/>
      <c r="G355" s="247" t="s">
        <v>49</v>
      </c>
      <c r="H355" s="248" t="s">
        <v>236</v>
      </c>
      <c r="I355" s="248"/>
      <c r="J355" s="248" t="s">
        <v>238</v>
      </c>
    </row>
    <row r="356" spans="1:10" ht="17.25">
      <c r="A356">
        <v>355</v>
      </c>
      <c r="B356" s="237" t="str">
        <f t="shared" si="6"/>
        <v>3G551</v>
      </c>
      <c r="C356" s="245" t="s">
        <v>235</v>
      </c>
      <c r="D356" s="263" t="s">
        <v>245</v>
      </c>
      <c r="E356" s="246" t="s">
        <v>33</v>
      </c>
      <c r="F356" s="246"/>
      <c r="G356" s="247" t="s">
        <v>49</v>
      </c>
      <c r="H356" s="255" t="s">
        <v>236</v>
      </c>
      <c r="I356" s="255"/>
      <c r="J356" s="255" t="s">
        <v>246</v>
      </c>
    </row>
    <row r="357" spans="1:10" ht="17.25">
      <c r="A357">
        <v>356</v>
      </c>
      <c r="B357" s="237" t="str">
        <f t="shared" si="6"/>
        <v>3G720</v>
      </c>
      <c r="C357" s="239" t="s">
        <v>235</v>
      </c>
      <c r="D357" s="239" t="s">
        <v>249</v>
      </c>
      <c r="E357" s="241" t="s">
        <v>33</v>
      </c>
      <c r="F357" s="239"/>
      <c r="G357" s="240" t="s">
        <v>49</v>
      </c>
      <c r="H357" s="256" t="s">
        <v>236</v>
      </c>
      <c r="I357" s="256"/>
      <c r="J357" s="256" t="s">
        <v>250</v>
      </c>
    </row>
    <row r="358" spans="1:10" ht="17.25">
      <c r="A358">
        <v>357</v>
      </c>
      <c r="B358" s="237">
        <f t="shared" si="6"/>
        <v>70004</v>
      </c>
      <c r="C358" s="310" t="s">
        <v>148</v>
      </c>
      <c r="D358" s="310">
        <v>70004</v>
      </c>
      <c r="E358" s="310" t="s">
        <v>42</v>
      </c>
      <c r="F358" s="310" t="s">
        <v>10</v>
      </c>
      <c r="G358" s="310" t="s">
        <v>149</v>
      </c>
      <c r="H358" s="311" t="s">
        <v>1604</v>
      </c>
      <c r="I358" s="268"/>
      <c r="J358" s="322" t="s">
        <v>151</v>
      </c>
    </row>
    <row r="359" spans="1:10" ht="17.25">
      <c r="A359">
        <v>358</v>
      </c>
      <c r="B359" s="237">
        <f t="shared" si="6"/>
        <v>70015</v>
      </c>
      <c r="C359" s="266" t="s">
        <v>148</v>
      </c>
      <c r="D359" s="266">
        <v>70015</v>
      </c>
      <c r="E359" s="266" t="s">
        <v>37</v>
      </c>
      <c r="F359" s="266" t="s">
        <v>10</v>
      </c>
      <c r="G359" s="266" t="s">
        <v>31</v>
      </c>
      <c r="H359" s="269" t="s">
        <v>1603</v>
      </c>
      <c r="I359" s="268"/>
      <c r="J359" s="312" t="s">
        <v>152</v>
      </c>
    </row>
    <row r="360" spans="1:10" ht="17.25">
      <c r="A360">
        <v>359</v>
      </c>
      <c r="B360" s="237" t="str">
        <f t="shared" si="6"/>
        <v>03V06</v>
      </c>
      <c r="C360" s="266" t="s">
        <v>155</v>
      </c>
      <c r="D360" s="266" t="s">
        <v>161</v>
      </c>
      <c r="E360" s="266" t="s">
        <v>37</v>
      </c>
      <c r="F360" s="266" t="s">
        <v>10</v>
      </c>
      <c r="G360" s="313" t="s">
        <v>28</v>
      </c>
      <c r="H360" s="269" t="s">
        <v>1603</v>
      </c>
      <c r="I360" s="268"/>
      <c r="J360" s="312" t="s">
        <v>1617</v>
      </c>
    </row>
    <row r="361" spans="1:10" ht="17.25">
      <c r="A361">
        <v>360</v>
      </c>
      <c r="B361" s="237" t="str">
        <f t="shared" si="6"/>
        <v>03W65</v>
      </c>
      <c r="C361" s="266" t="s">
        <v>155</v>
      </c>
      <c r="D361" s="266" t="s">
        <v>156</v>
      </c>
      <c r="E361" s="266" t="s">
        <v>37</v>
      </c>
      <c r="F361" s="266" t="s">
        <v>10</v>
      </c>
      <c r="G361" s="313" t="s">
        <v>28</v>
      </c>
      <c r="H361" s="269" t="s">
        <v>1603</v>
      </c>
      <c r="I361" s="268"/>
      <c r="J361" s="312" t="s">
        <v>1479</v>
      </c>
    </row>
    <row r="362" spans="1:10" ht="17.25">
      <c r="A362">
        <v>361</v>
      </c>
      <c r="B362" s="237" t="str">
        <f t="shared" si="6"/>
        <v>03W69</v>
      </c>
      <c r="C362" s="266" t="s">
        <v>155</v>
      </c>
      <c r="D362" s="266" t="s">
        <v>159</v>
      </c>
      <c r="E362" s="266" t="s">
        <v>37</v>
      </c>
      <c r="F362" s="266" t="s">
        <v>10</v>
      </c>
      <c r="G362" s="313" t="s">
        <v>29</v>
      </c>
      <c r="H362" s="269" t="s">
        <v>1604</v>
      </c>
      <c r="I362" s="268"/>
      <c r="J362" s="312" t="s">
        <v>160</v>
      </c>
    </row>
    <row r="363" spans="1:10" ht="17.25">
      <c r="A363">
        <v>362</v>
      </c>
      <c r="B363" s="237" t="str">
        <f t="shared" si="6"/>
        <v>03X30</v>
      </c>
      <c r="C363" s="271" t="s">
        <v>155</v>
      </c>
      <c r="D363" s="271" t="s">
        <v>179</v>
      </c>
      <c r="E363" s="271" t="s">
        <v>37</v>
      </c>
      <c r="F363" s="271" t="s">
        <v>10</v>
      </c>
      <c r="G363" s="271" t="s">
        <v>23</v>
      </c>
      <c r="H363" s="314" t="s">
        <v>150</v>
      </c>
      <c r="I363" s="268"/>
      <c r="J363" s="315" t="s">
        <v>180</v>
      </c>
    </row>
    <row r="364" spans="1:10" ht="17.25">
      <c r="A364">
        <v>363</v>
      </c>
      <c r="B364" s="237" t="str">
        <f t="shared" si="6"/>
        <v>03X32</v>
      </c>
      <c r="C364" s="266" t="s">
        <v>148</v>
      </c>
      <c r="D364" s="266" t="s">
        <v>181</v>
      </c>
      <c r="E364" s="266" t="s">
        <v>37</v>
      </c>
      <c r="F364" s="266" t="s">
        <v>10</v>
      </c>
      <c r="G364" s="313" t="s">
        <v>28</v>
      </c>
      <c r="H364" s="269" t="s">
        <v>1603</v>
      </c>
      <c r="I364" s="268"/>
      <c r="J364" s="312" t="s">
        <v>182</v>
      </c>
    </row>
    <row r="365" spans="1:10" ht="17.25">
      <c r="A365">
        <v>364</v>
      </c>
      <c r="B365" s="237" t="str">
        <f t="shared" si="6"/>
        <v>03Y02</v>
      </c>
      <c r="C365" s="266" t="s">
        <v>155</v>
      </c>
      <c r="D365" s="266" t="s">
        <v>162</v>
      </c>
      <c r="E365" s="266" t="s">
        <v>37</v>
      </c>
      <c r="F365" s="266" t="s">
        <v>10</v>
      </c>
      <c r="G365" s="313" t="s">
        <v>28</v>
      </c>
      <c r="H365" s="269" t="s">
        <v>1603</v>
      </c>
      <c r="I365" s="268"/>
      <c r="J365" s="312" t="s">
        <v>163</v>
      </c>
    </row>
    <row r="366" spans="1:10" ht="17.25">
      <c r="A366">
        <v>365</v>
      </c>
      <c r="B366" s="237" t="str">
        <f t="shared" si="6"/>
        <v>03Z58</v>
      </c>
      <c r="C366" s="266" t="s">
        <v>148</v>
      </c>
      <c r="D366" s="266" t="s">
        <v>153</v>
      </c>
      <c r="E366" s="266" t="s">
        <v>37</v>
      </c>
      <c r="F366" s="266" t="s">
        <v>10</v>
      </c>
      <c r="G366" s="266" t="s">
        <v>23</v>
      </c>
      <c r="H366" s="269" t="s">
        <v>1603</v>
      </c>
      <c r="I366" s="268"/>
      <c r="J366" s="323" t="s">
        <v>154</v>
      </c>
    </row>
    <row r="367" spans="1:10" ht="17.25">
      <c r="A367">
        <v>366</v>
      </c>
      <c r="B367" s="237" t="str">
        <f t="shared" si="6"/>
        <v>04D99</v>
      </c>
      <c r="C367" s="271" t="s">
        <v>148</v>
      </c>
      <c r="D367" s="271" t="s">
        <v>230</v>
      </c>
      <c r="E367" s="271" t="s">
        <v>19</v>
      </c>
      <c r="F367" s="271" t="s">
        <v>10</v>
      </c>
      <c r="G367" s="293" t="s">
        <v>29</v>
      </c>
      <c r="H367" s="314" t="s">
        <v>201</v>
      </c>
      <c r="I367" s="268"/>
      <c r="J367" s="315" t="s">
        <v>229</v>
      </c>
    </row>
    <row r="368" spans="1:10" ht="17.25">
      <c r="A368">
        <v>367</v>
      </c>
      <c r="B368" s="237" t="str">
        <f t="shared" si="6"/>
        <v>04F07</v>
      </c>
      <c r="C368" s="271" t="s">
        <v>148</v>
      </c>
      <c r="D368" s="271" t="s">
        <v>228</v>
      </c>
      <c r="E368" s="271" t="s">
        <v>33</v>
      </c>
      <c r="F368" s="271" t="s">
        <v>10</v>
      </c>
      <c r="G368" s="293" t="s">
        <v>175</v>
      </c>
      <c r="H368" s="314" t="s">
        <v>201</v>
      </c>
      <c r="I368" s="268"/>
      <c r="J368" s="315" t="s">
        <v>227</v>
      </c>
    </row>
    <row r="369" spans="1:10" ht="17.25">
      <c r="A369">
        <v>368</v>
      </c>
      <c r="B369" s="237" t="str">
        <f t="shared" si="6"/>
        <v>05A34</v>
      </c>
      <c r="C369" s="271" t="s">
        <v>155</v>
      </c>
      <c r="D369" s="271" t="s">
        <v>183</v>
      </c>
      <c r="E369" s="271" t="s">
        <v>37</v>
      </c>
      <c r="F369" s="271" t="s">
        <v>10</v>
      </c>
      <c r="G369" s="293" t="s">
        <v>165</v>
      </c>
      <c r="H369" s="314" t="s">
        <v>150</v>
      </c>
      <c r="I369" s="268"/>
      <c r="J369" s="315" t="s">
        <v>184</v>
      </c>
    </row>
    <row r="370" spans="1:10" ht="17.25">
      <c r="A370">
        <v>369</v>
      </c>
      <c r="B370" s="237" t="str">
        <f t="shared" si="6"/>
        <v>05A39</v>
      </c>
      <c r="C370" s="266" t="s">
        <v>155</v>
      </c>
      <c r="D370" s="316" t="s">
        <v>166</v>
      </c>
      <c r="E370" s="316" t="s">
        <v>37</v>
      </c>
      <c r="F370" s="266" t="s">
        <v>10</v>
      </c>
      <c r="G370" s="317" t="s">
        <v>165</v>
      </c>
      <c r="H370" s="269" t="s">
        <v>1603</v>
      </c>
      <c r="I370" s="268"/>
      <c r="J370" s="318" t="s">
        <v>1482</v>
      </c>
    </row>
    <row r="371" spans="1:10" ht="17.25">
      <c r="A371">
        <v>370</v>
      </c>
      <c r="B371" s="237" t="str">
        <f t="shared" si="6"/>
        <v>05A50</v>
      </c>
      <c r="C371" s="266" t="s">
        <v>155</v>
      </c>
      <c r="D371" s="266" t="s">
        <v>1319</v>
      </c>
      <c r="E371" s="266" t="s">
        <v>37</v>
      </c>
      <c r="F371" s="266" t="s">
        <v>10</v>
      </c>
      <c r="G371" s="313" t="s">
        <v>29</v>
      </c>
      <c r="H371" s="269" t="s">
        <v>1605</v>
      </c>
      <c r="I371" s="268"/>
      <c r="J371" s="312" t="s">
        <v>1478</v>
      </c>
    </row>
    <row r="372" spans="1:10" ht="17.25">
      <c r="A372">
        <v>371</v>
      </c>
      <c r="B372" s="237" t="str">
        <f t="shared" si="6"/>
        <v>05B58</v>
      </c>
      <c r="C372" s="271" t="s">
        <v>155</v>
      </c>
      <c r="D372" s="271" t="s">
        <v>226</v>
      </c>
      <c r="E372" s="271" t="s">
        <v>33</v>
      </c>
      <c r="F372" s="271" t="s">
        <v>10</v>
      </c>
      <c r="G372" s="293" t="s">
        <v>28</v>
      </c>
      <c r="H372" s="314" t="s">
        <v>192</v>
      </c>
      <c r="I372" s="268"/>
      <c r="J372" s="315" t="s">
        <v>225</v>
      </c>
    </row>
    <row r="373" spans="1:10" ht="17.25">
      <c r="A373">
        <v>372</v>
      </c>
      <c r="B373" s="237" t="str">
        <f t="shared" si="6"/>
        <v>05B64</v>
      </c>
      <c r="C373" s="271" t="s">
        <v>148</v>
      </c>
      <c r="D373" s="271" t="s">
        <v>224</v>
      </c>
      <c r="E373" s="271" t="s">
        <v>33</v>
      </c>
      <c r="F373" s="271" t="s">
        <v>10</v>
      </c>
      <c r="G373" s="293" t="s">
        <v>28</v>
      </c>
      <c r="H373" s="314" t="s">
        <v>192</v>
      </c>
      <c r="I373" s="268"/>
      <c r="J373" s="315" t="s">
        <v>223</v>
      </c>
    </row>
    <row r="374" spans="1:10" ht="17.25">
      <c r="A374">
        <v>373</v>
      </c>
      <c r="B374" s="237" t="str">
        <f t="shared" si="6"/>
        <v>05C02</v>
      </c>
      <c r="C374" s="271" t="s">
        <v>148</v>
      </c>
      <c r="D374" s="271" t="s">
        <v>1250</v>
      </c>
      <c r="E374" s="271" t="s">
        <v>33</v>
      </c>
      <c r="F374" s="271" t="s">
        <v>10</v>
      </c>
      <c r="G374" s="271" t="s">
        <v>165</v>
      </c>
      <c r="H374" s="254" t="s">
        <v>1266</v>
      </c>
      <c r="I374" s="268"/>
      <c r="J374" s="324" t="s">
        <v>1267</v>
      </c>
    </row>
    <row r="375" spans="1:10" ht="17.25">
      <c r="A375">
        <v>374</v>
      </c>
      <c r="B375" s="237" t="str">
        <f t="shared" si="6"/>
        <v>05C14</v>
      </c>
      <c r="C375" s="271" t="s">
        <v>148</v>
      </c>
      <c r="D375" s="271" t="s">
        <v>1251</v>
      </c>
      <c r="E375" s="271" t="s">
        <v>33</v>
      </c>
      <c r="F375" s="271" t="s">
        <v>10</v>
      </c>
      <c r="G375" s="271" t="s">
        <v>165</v>
      </c>
      <c r="H375" s="254" t="s">
        <v>1266</v>
      </c>
      <c r="I375" s="268"/>
      <c r="J375" s="272" t="s">
        <v>1268</v>
      </c>
    </row>
    <row r="376" spans="1:10" ht="17.25">
      <c r="A376">
        <v>375</v>
      </c>
      <c r="B376" s="237" t="str">
        <f t="shared" si="6"/>
        <v>05C30</v>
      </c>
      <c r="C376" s="271" t="s">
        <v>148</v>
      </c>
      <c r="D376" s="271" t="s">
        <v>1252</v>
      </c>
      <c r="E376" s="271" t="s">
        <v>33</v>
      </c>
      <c r="F376" s="271" t="s">
        <v>10</v>
      </c>
      <c r="G376" s="271" t="s">
        <v>165</v>
      </c>
      <c r="H376" s="254" t="s">
        <v>1266</v>
      </c>
      <c r="I376" s="268"/>
      <c r="J376" s="324" t="s">
        <v>1269</v>
      </c>
    </row>
    <row r="377" spans="1:10" ht="17.25">
      <c r="A377">
        <v>376</v>
      </c>
      <c r="B377" s="237" t="str">
        <f t="shared" si="6"/>
        <v>05C44</v>
      </c>
      <c r="C377" s="271" t="s">
        <v>155</v>
      </c>
      <c r="D377" s="271" t="s">
        <v>1253</v>
      </c>
      <c r="E377" s="271" t="s">
        <v>33</v>
      </c>
      <c r="F377" s="271" t="s">
        <v>10</v>
      </c>
      <c r="G377" s="271" t="s">
        <v>165</v>
      </c>
      <c r="H377" s="254" t="s">
        <v>1266</v>
      </c>
      <c r="I377" s="268"/>
      <c r="J377" s="324" t="s">
        <v>1270</v>
      </c>
    </row>
    <row r="378" spans="1:10" ht="17.25">
      <c r="A378">
        <v>377</v>
      </c>
      <c r="B378" s="237" t="str">
        <f t="shared" si="6"/>
        <v>05C58</v>
      </c>
      <c r="C378" s="271" t="s">
        <v>155</v>
      </c>
      <c r="D378" s="271" t="s">
        <v>1254</v>
      </c>
      <c r="E378" s="271" t="s">
        <v>33</v>
      </c>
      <c r="F378" s="271" t="s">
        <v>10</v>
      </c>
      <c r="G378" s="271" t="s">
        <v>165</v>
      </c>
      <c r="H378" s="254" t="s">
        <v>1266</v>
      </c>
      <c r="I378" s="268"/>
      <c r="J378" s="324" t="s">
        <v>1271</v>
      </c>
    </row>
    <row r="379" spans="1:10" ht="17.25">
      <c r="A379">
        <v>378</v>
      </c>
      <c r="B379" s="237" t="str">
        <f t="shared" si="6"/>
        <v>05C72</v>
      </c>
      <c r="C379" s="271" t="s">
        <v>155</v>
      </c>
      <c r="D379" s="271" t="s">
        <v>1255</v>
      </c>
      <c r="E379" s="271" t="s">
        <v>33</v>
      </c>
      <c r="F379" s="271" t="s">
        <v>10</v>
      </c>
      <c r="G379" s="271" t="s">
        <v>165</v>
      </c>
      <c r="H379" s="254" t="s">
        <v>1266</v>
      </c>
      <c r="I379" s="268"/>
      <c r="J379" s="324" t="s">
        <v>1272</v>
      </c>
    </row>
    <row r="380" spans="1:10" ht="17.25">
      <c r="A380">
        <v>379</v>
      </c>
      <c r="B380" s="237" t="str">
        <f t="shared" si="6"/>
        <v>05C86</v>
      </c>
      <c r="C380" s="271" t="s">
        <v>155</v>
      </c>
      <c r="D380" s="271" t="s">
        <v>1256</v>
      </c>
      <c r="E380" s="271" t="s">
        <v>33</v>
      </c>
      <c r="F380" s="271" t="s">
        <v>10</v>
      </c>
      <c r="G380" s="271" t="s">
        <v>165</v>
      </c>
      <c r="H380" s="254" t="s">
        <v>1266</v>
      </c>
      <c r="I380" s="268"/>
      <c r="J380" s="324" t="s">
        <v>1273</v>
      </c>
    </row>
    <row r="381" spans="1:10" ht="17.25">
      <c r="A381">
        <v>380</v>
      </c>
      <c r="B381" s="237" t="str">
        <f t="shared" si="6"/>
        <v>05F87</v>
      </c>
      <c r="C381" s="271" t="s">
        <v>155</v>
      </c>
      <c r="D381" s="271" t="s">
        <v>461</v>
      </c>
      <c r="E381" s="294" t="s">
        <v>19</v>
      </c>
      <c r="F381" s="294" t="s">
        <v>10</v>
      </c>
      <c r="G381" s="294" t="s">
        <v>175</v>
      </c>
      <c r="H381" s="294" t="s">
        <v>733</v>
      </c>
      <c r="I381" s="268"/>
      <c r="J381" s="325" t="s">
        <v>762</v>
      </c>
    </row>
    <row r="382" spans="1:10" ht="17.25">
      <c r="A382">
        <v>381</v>
      </c>
      <c r="B382" s="237" t="str">
        <f t="shared" si="6"/>
        <v>05H12</v>
      </c>
      <c r="C382" s="271" t="s">
        <v>155</v>
      </c>
      <c r="D382" s="271" t="s">
        <v>1364</v>
      </c>
      <c r="E382" s="294" t="s">
        <v>19</v>
      </c>
      <c r="F382" s="294" t="s">
        <v>10</v>
      </c>
      <c r="G382" s="294" t="s">
        <v>175</v>
      </c>
      <c r="H382" s="294" t="s">
        <v>733</v>
      </c>
      <c r="I382" s="268"/>
      <c r="J382" s="325" t="s">
        <v>1362</v>
      </c>
    </row>
    <row r="383" spans="1:10" ht="17.25">
      <c r="A383">
        <v>382</v>
      </c>
      <c r="B383" s="237" t="str">
        <f t="shared" si="6"/>
        <v>05N22</v>
      </c>
      <c r="C383" s="271" t="s">
        <v>155</v>
      </c>
      <c r="D383" s="271" t="s">
        <v>1282</v>
      </c>
      <c r="E383" s="271" t="s">
        <v>33</v>
      </c>
      <c r="F383" s="271" t="s">
        <v>10</v>
      </c>
      <c r="G383" s="271" t="s">
        <v>165</v>
      </c>
      <c r="H383" s="254" t="s">
        <v>1266</v>
      </c>
      <c r="I383" s="268"/>
      <c r="J383" s="272" t="s">
        <v>1274</v>
      </c>
    </row>
    <row r="384" spans="1:10" ht="17.25">
      <c r="A384">
        <v>383</v>
      </c>
      <c r="B384" s="237" t="str">
        <f t="shared" si="6"/>
        <v>05N23</v>
      </c>
      <c r="C384" s="271" t="s">
        <v>155</v>
      </c>
      <c r="D384" s="271" t="s">
        <v>1257</v>
      </c>
      <c r="E384" s="271" t="s">
        <v>33</v>
      </c>
      <c r="F384" s="271" t="s">
        <v>10</v>
      </c>
      <c r="G384" s="271" t="s">
        <v>165</v>
      </c>
      <c r="H384" s="254" t="s">
        <v>1266</v>
      </c>
      <c r="I384" s="268"/>
      <c r="J384" s="324" t="s">
        <v>1275</v>
      </c>
    </row>
    <row r="385" spans="1:10" ht="17.25">
      <c r="A385">
        <v>384</v>
      </c>
      <c r="B385" s="237" t="str">
        <f t="shared" si="6"/>
        <v>05P24</v>
      </c>
      <c r="C385" s="266" t="s">
        <v>155</v>
      </c>
      <c r="D385" s="266" t="s">
        <v>167</v>
      </c>
      <c r="E385" s="266" t="s">
        <v>37</v>
      </c>
      <c r="F385" s="266" t="s">
        <v>10</v>
      </c>
      <c r="G385" s="313" t="s">
        <v>149</v>
      </c>
      <c r="H385" s="269" t="s">
        <v>1603</v>
      </c>
      <c r="I385" s="268"/>
      <c r="J385" s="312" t="s">
        <v>168</v>
      </c>
    </row>
    <row r="386" spans="1:10" ht="17.25">
      <c r="A386">
        <v>385</v>
      </c>
      <c r="B386" s="237" t="str">
        <f t="shared" si="6"/>
        <v>05P73</v>
      </c>
      <c r="C386" s="266" t="s">
        <v>155</v>
      </c>
      <c r="D386" s="266" t="s">
        <v>169</v>
      </c>
      <c r="E386" s="266" t="s">
        <v>37</v>
      </c>
      <c r="F386" s="266" t="s">
        <v>10</v>
      </c>
      <c r="G386" s="313" t="s">
        <v>29</v>
      </c>
      <c r="H386" s="269" t="s">
        <v>1603</v>
      </c>
      <c r="I386" s="268"/>
      <c r="J386" s="312" t="s">
        <v>1481</v>
      </c>
    </row>
    <row r="387" spans="1:10" ht="17.25">
      <c r="A387">
        <v>386</v>
      </c>
      <c r="B387" s="237" t="str">
        <f t="shared" si="6"/>
        <v>05W05</v>
      </c>
      <c r="C387" s="271" t="s">
        <v>148</v>
      </c>
      <c r="D387" s="273" t="s">
        <v>202</v>
      </c>
      <c r="E387" s="271" t="s">
        <v>33</v>
      </c>
      <c r="F387" s="271" t="s">
        <v>10</v>
      </c>
      <c r="G387" s="271" t="s">
        <v>28</v>
      </c>
      <c r="H387" s="271" t="s">
        <v>201</v>
      </c>
      <c r="I387" s="268"/>
      <c r="J387" s="315" t="s">
        <v>200</v>
      </c>
    </row>
    <row r="388" spans="1:10" ht="17.25">
      <c r="A388">
        <v>387</v>
      </c>
      <c r="B388" s="237" t="str">
        <f t="shared" si="6"/>
        <v>05W22</v>
      </c>
      <c r="C388" s="271" t="s">
        <v>148</v>
      </c>
      <c r="D388" s="273" t="s">
        <v>1258</v>
      </c>
      <c r="E388" s="271" t="s">
        <v>33</v>
      </c>
      <c r="F388" s="271" t="s">
        <v>1265</v>
      </c>
      <c r="G388" s="271" t="s">
        <v>165</v>
      </c>
      <c r="H388" s="254" t="s">
        <v>1266</v>
      </c>
      <c r="I388" s="268"/>
      <c r="J388" s="295" t="s">
        <v>1276</v>
      </c>
    </row>
    <row r="389" spans="1:10" ht="17.25">
      <c r="A389">
        <v>388</v>
      </c>
      <c r="B389" s="237" t="str">
        <f t="shared" si="6"/>
        <v>05W24</v>
      </c>
      <c r="C389" s="271" t="s">
        <v>155</v>
      </c>
      <c r="D389" s="294" t="s">
        <v>1259</v>
      </c>
      <c r="E389" s="271" t="s">
        <v>33</v>
      </c>
      <c r="F389" s="271" t="s">
        <v>10</v>
      </c>
      <c r="G389" s="271" t="s">
        <v>165</v>
      </c>
      <c r="H389" s="254" t="s">
        <v>1266</v>
      </c>
      <c r="I389" s="268"/>
      <c r="J389" s="295" t="s">
        <v>1283</v>
      </c>
    </row>
    <row r="390" spans="1:10" ht="17.25">
      <c r="A390">
        <v>389</v>
      </c>
      <c r="B390" s="237" t="str">
        <f t="shared" ref="B390:B453" si="7">D390</f>
        <v>05X70</v>
      </c>
      <c r="C390" s="271" t="s">
        <v>155</v>
      </c>
      <c r="D390" s="271" t="s">
        <v>185</v>
      </c>
      <c r="E390" s="271" t="s">
        <v>37</v>
      </c>
      <c r="F390" s="271" t="s">
        <v>10</v>
      </c>
      <c r="G390" s="293" t="s">
        <v>165</v>
      </c>
      <c r="H390" s="314" t="s">
        <v>150</v>
      </c>
      <c r="I390" s="268"/>
      <c r="J390" s="315" t="s">
        <v>186</v>
      </c>
    </row>
    <row r="391" spans="1:10" ht="17.25">
      <c r="A391">
        <v>390</v>
      </c>
      <c r="B391" s="237" t="str">
        <f t="shared" si="7"/>
        <v>05X72</v>
      </c>
      <c r="C391" s="266" t="s">
        <v>148</v>
      </c>
      <c r="D391" s="269" t="s">
        <v>164</v>
      </c>
      <c r="E391" s="269" t="s">
        <v>37</v>
      </c>
      <c r="F391" s="266" t="s">
        <v>10</v>
      </c>
      <c r="G391" s="269" t="s">
        <v>165</v>
      </c>
      <c r="H391" s="269" t="s">
        <v>1603</v>
      </c>
      <c r="I391" s="268"/>
      <c r="J391" s="323" t="s">
        <v>1480</v>
      </c>
    </row>
    <row r="392" spans="1:10" ht="17.25">
      <c r="A392">
        <v>391</v>
      </c>
      <c r="B392" s="237" t="str">
        <f t="shared" si="7"/>
        <v>06G53</v>
      </c>
      <c r="C392" s="271" t="s">
        <v>155</v>
      </c>
      <c r="D392" s="273" t="s">
        <v>195</v>
      </c>
      <c r="E392" s="271" t="s">
        <v>19</v>
      </c>
      <c r="F392" s="271" t="s">
        <v>10</v>
      </c>
      <c r="G392" s="271" t="s">
        <v>27</v>
      </c>
      <c r="H392" s="271" t="s">
        <v>192</v>
      </c>
      <c r="I392" s="268"/>
      <c r="J392" s="315" t="s">
        <v>194</v>
      </c>
    </row>
    <row r="393" spans="1:10" ht="17.25">
      <c r="A393">
        <v>392</v>
      </c>
      <c r="B393" s="237" t="str">
        <f t="shared" si="7"/>
        <v>06G60</v>
      </c>
      <c r="C393" s="271" t="s">
        <v>155</v>
      </c>
      <c r="D393" s="294" t="s">
        <v>396</v>
      </c>
      <c r="E393" s="294" t="s">
        <v>42</v>
      </c>
      <c r="F393" s="294" t="s">
        <v>10</v>
      </c>
      <c r="G393" s="294" t="s">
        <v>175</v>
      </c>
      <c r="H393" s="294" t="s">
        <v>733</v>
      </c>
      <c r="I393" s="268"/>
      <c r="J393" s="325" t="s">
        <v>745</v>
      </c>
    </row>
    <row r="394" spans="1:10" ht="17.25">
      <c r="A394">
        <v>393</v>
      </c>
      <c r="B394" s="237" t="str">
        <f t="shared" si="7"/>
        <v>06G64</v>
      </c>
      <c r="C394" s="271" t="s">
        <v>155</v>
      </c>
      <c r="D394" s="273" t="s">
        <v>193</v>
      </c>
      <c r="E394" s="271" t="s">
        <v>19</v>
      </c>
      <c r="F394" s="271" t="s">
        <v>10</v>
      </c>
      <c r="G394" s="271" t="s">
        <v>27</v>
      </c>
      <c r="H394" s="271" t="s">
        <v>192</v>
      </c>
      <c r="I394" s="268"/>
      <c r="J394" s="315" t="s">
        <v>191</v>
      </c>
    </row>
    <row r="395" spans="1:10" ht="17.25">
      <c r="A395">
        <v>394</v>
      </c>
      <c r="B395" s="237" t="str">
        <f t="shared" si="7"/>
        <v>06G65</v>
      </c>
      <c r="C395" s="271" t="s">
        <v>155</v>
      </c>
      <c r="D395" s="294" t="s">
        <v>397</v>
      </c>
      <c r="E395" s="294" t="s">
        <v>42</v>
      </c>
      <c r="F395" s="294" t="s">
        <v>10</v>
      </c>
      <c r="G395" s="294" t="s">
        <v>175</v>
      </c>
      <c r="H395" s="294" t="s">
        <v>733</v>
      </c>
      <c r="I395" s="268"/>
      <c r="J395" s="295" t="s">
        <v>734</v>
      </c>
    </row>
    <row r="396" spans="1:10" ht="17.25">
      <c r="A396">
        <v>395</v>
      </c>
      <c r="B396" s="237" t="str">
        <f t="shared" si="7"/>
        <v>06G66</v>
      </c>
      <c r="C396" s="271" t="s">
        <v>155</v>
      </c>
      <c r="D396" s="271" t="s">
        <v>382</v>
      </c>
      <c r="E396" s="294" t="s">
        <v>42</v>
      </c>
      <c r="F396" s="294" t="s">
        <v>10</v>
      </c>
      <c r="G396" s="294" t="s">
        <v>175</v>
      </c>
      <c r="H396" s="294" t="s">
        <v>733</v>
      </c>
      <c r="I396" s="268"/>
      <c r="J396" s="325" t="s">
        <v>746</v>
      </c>
    </row>
    <row r="397" spans="1:10" ht="17.25">
      <c r="A397">
        <v>396</v>
      </c>
      <c r="B397" s="237" t="str">
        <f t="shared" si="7"/>
        <v>06G78</v>
      </c>
      <c r="C397" s="271" t="s">
        <v>155</v>
      </c>
      <c r="D397" s="294" t="s">
        <v>359</v>
      </c>
      <c r="E397" s="294" t="s">
        <v>42</v>
      </c>
      <c r="F397" s="294" t="s">
        <v>10</v>
      </c>
      <c r="G397" s="294" t="s">
        <v>29</v>
      </c>
      <c r="H397" s="294" t="s">
        <v>733</v>
      </c>
      <c r="I397" s="268"/>
      <c r="J397" s="295" t="s">
        <v>735</v>
      </c>
    </row>
    <row r="398" spans="1:10" ht="17.25">
      <c r="A398">
        <v>397</v>
      </c>
      <c r="B398" s="237" t="str">
        <f t="shared" si="7"/>
        <v>06G90</v>
      </c>
      <c r="C398" s="271" t="s">
        <v>148</v>
      </c>
      <c r="D398" s="271" t="s">
        <v>222</v>
      </c>
      <c r="E398" s="271" t="s">
        <v>19</v>
      </c>
      <c r="F398" s="271" t="s">
        <v>10</v>
      </c>
      <c r="G398" s="293" t="s">
        <v>29</v>
      </c>
      <c r="H398" s="314" t="s">
        <v>192</v>
      </c>
      <c r="I398" s="268"/>
      <c r="J398" s="315" t="s">
        <v>221</v>
      </c>
    </row>
    <row r="399" spans="1:10" ht="17.25">
      <c r="A399">
        <v>398</v>
      </c>
      <c r="B399" s="237" t="str">
        <f t="shared" si="7"/>
        <v>06G95</v>
      </c>
      <c r="C399" s="271" t="s">
        <v>155</v>
      </c>
      <c r="D399" s="271" t="s">
        <v>1429</v>
      </c>
      <c r="E399" s="294" t="s">
        <v>19</v>
      </c>
      <c r="F399" s="294" t="s">
        <v>10</v>
      </c>
      <c r="G399" s="294"/>
      <c r="H399" s="294" t="s">
        <v>733</v>
      </c>
      <c r="I399" s="268"/>
      <c r="J399" s="325" t="s">
        <v>1430</v>
      </c>
    </row>
    <row r="400" spans="1:10" ht="17.25">
      <c r="A400">
        <v>399</v>
      </c>
      <c r="B400" s="237" t="str">
        <f t="shared" si="7"/>
        <v>06G99</v>
      </c>
      <c r="C400" s="271" t="s">
        <v>155</v>
      </c>
      <c r="D400" s="271" t="s">
        <v>383</v>
      </c>
      <c r="E400" s="294" t="s">
        <v>42</v>
      </c>
      <c r="F400" s="294" t="s">
        <v>10</v>
      </c>
      <c r="G400" s="294" t="s">
        <v>29</v>
      </c>
      <c r="H400" s="294" t="s">
        <v>733</v>
      </c>
      <c r="I400" s="268"/>
      <c r="J400" s="325" t="s">
        <v>747</v>
      </c>
    </row>
    <row r="401" spans="1:10" ht="17.25">
      <c r="A401">
        <v>400</v>
      </c>
      <c r="B401" s="237" t="str">
        <f t="shared" si="7"/>
        <v>06H05</v>
      </c>
      <c r="C401" s="271" t="s">
        <v>155</v>
      </c>
      <c r="D401" s="271" t="s">
        <v>220</v>
      </c>
      <c r="E401" s="271" t="s">
        <v>19</v>
      </c>
      <c r="F401" s="271" t="s">
        <v>10</v>
      </c>
      <c r="G401" s="293" t="s">
        <v>29</v>
      </c>
      <c r="H401" s="314" t="s">
        <v>192</v>
      </c>
      <c r="I401" s="268"/>
      <c r="J401" s="315" t="s">
        <v>219</v>
      </c>
    </row>
    <row r="402" spans="1:10" ht="17.25">
      <c r="A402">
        <v>401</v>
      </c>
      <c r="B402" s="237" t="str">
        <f t="shared" si="7"/>
        <v>06H18</v>
      </c>
      <c r="C402" s="271" t="s">
        <v>155</v>
      </c>
      <c r="D402" s="271" t="s">
        <v>218</v>
      </c>
      <c r="E402" s="271" t="s">
        <v>19</v>
      </c>
      <c r="F402" s="271" t="s">
        <v>10</v>
      </c>
      <c r="G402" s="293" t="s">
        <v>27</v>
      </c>
      <c r="H402" s="314" t="s">
        <v>192</v>
      </c>
      <c r="I402" s="268"/>
      <c r="J402" s="315" t="s">
        <v>217</v>
      </c>
    </row>
    <row r="403" spans="1:10" ht="17.25">
      <c r="A403">
        <v>402</v>
      </c>
      <c r="B403" s="237" t="str">
        <f t="shared" si="7"/>
        <v>06H19</v>
      </c>
      <c r="C403" s="271" t="s">
        <v>155</v>
      </c>
      <c r="D403" s="273" t="s">
        <v>197</v>
      </c>
      <c r="E403" s="271" t="s">
        <v>19</v>
      </c>
      <c r="F403" s="271" t="s">
        <v>10</v>
      </c>
      <c r="G403" s="271" t="s">
        <v>29</v>
      </c>
      <c r="H403" s="271" t="s">
        <v>192</v>
      </c>
      <c r="I403" s="268"/>
      <c r="J403" s="315" t="s">
        <v>196</v>
      </c>
    </row>
    <row r="404" spans="1:10" ht="17.25">
      <c r="A404">
        <v>403</v>
      </c>
      <c r="B404" s="237" t="str">
        <f t="shared" si="7"/>
        <v>06H21</v>
      </c>
      <c r="C404" s="271" t="s">
        <v>155</v>
      </c>
      <c r="D404" s="271" t="s">
        <v>216</v>
      </c>
      <c r="E404" s="271" t="s">
        <v>19</v>
      </c>
      <c r="F404" s="271" t="s">
        <v>10</v>
      </c>
      <c r="G404" s="293" t="s">
        <v>27</v>
      </c>
      <c r="H404" s="314" t="s">
        <v>192</v>
      </c>
      <c r="I404" s="268"/>
      <c r="J404" s="315" t="s">
        <v>215</v>
      </c>
    </row>
    <row r="405" spans="1:10" ht="17.25">
      <c r="A405">
        <v>404</v>
      </c>
      <c r="B405" s="237" t="str">
        <f t="shared" si="7"/>
        <v>06H28</v>
      </c>
      <c r="C405" s="271" t="s">
        <v>155</v>
      </c>
      <c r="D405" s="271" t="s">
        <v>214</v>
      </c>
      <c r="E405" s="271" t="s">
        <v>19</v>
      </c>
      <c r="F405" s="271" t="s">
        <v>10</v>
      </c>
      <c r="G405" s="293" t="s">
        <v>29</v>
      </c>
      <c r="H405" s="314" t="s">
        <v>192</v>
      </c>
      <c r="I405" s="268"/>
      <c r="J405" s="315" t="s">
        <v>213</v>
      </c>
    </row>
    <row r="406" spans="1:10" ht="17.25">
      <c r="A406">
        <v>405</v>
      </c>
      <c r="B406" s="237" t="str">
        <f t="shared" si="7"/>
        <v>06H36</v>
      </c>
      <c r="C406" s="310" t="s">
        <v>155</v>
      </c>
      <c r="D406" s="310" t="s">
        <v>384</v>
      </c>
      <c r="E406" s="319" t="s">
        <v>42</v>
      </c>
      <c r="F406" s="319" t="s">
        <v>10</v>
      </c>
      <c r="G406" s="319" t="s">
        <v>29</v>
      </c>
      <c r="H406" s="319" t="s">
        <v>733</v>
      </c>
      <c r="I406" s="268"/>
      <c r="J406" s="326" t="s">
        <v>748</v>
      </c>
    </row>
    <row r="407" spans="1:10" ht="17.25">
      <c r="A407">
        <v>406</v>
      </c>
      <c r="B407" s="237" t="str">
        <f t="shared" si="7"/>
        <v>06H49</v>
      </c>
      <c r="C407" s="271" t="s">
        <v>155</v>
      </c>
      <c r="D407" s="271" t="s">
        <v>392</v>
      </c>
      <c r="E407" s="294" t="s">
        <v>42</v>
      </c>
      <c r="F407" s="294" t="s">
        <v>10</v>
      </c>
      <c r="G407" s="294" t="s">
        <v>27</v>
      </c>
      <c r="H407" s="294" t="s">
        <v>733</v>
      </c>
      <c r="I407" s="268"/>
      <c r="J407" s="325" t="s">
        <v>749</v>
      </c>
    </row>
    <row r="408" spans="1:10" ht="17.25">
      <c r="A408">
        <v>407</v>
      </c>
      <c r="B408" s="237" t="str">
        <f t="shared" si="7"/>
        <v>06H64</v>
      </c>
      <c r="C408" s="310" t="s">
        <v>155</v>
      </c>
      <c r="D408" s="310" t="s">
        <v>464</v>
      </c>
      <c r="E408" s="319" t="s">
        <v>42</v>
      </c>
      <c r="F408" s="319" t="s">
        <v>10</v>
      </c>
      <c r="G408" s="319" t="s">
        <v>28</v>
      </c>
      <c r="H408" s="319" t="s">
        <v>733</v>
      </c>
      <c r="I408" s="268"/>
      <c r="J408" s="326" t="s">
        <v>750</v>
      </c>
    </row>
    <row r="409" spans="1:10" ht="17.25">
      <c r="A409">
        <v>408</v>
      </c>
      <c r="B409" s="237" t="str">
        <f t="shared" si="7"/>
        <v>06H77</v>
      </c>
      <c r="C409" s="271" t="s">
        <v>155</v>
      </c>
      <c r="D409" s="271" t="s">
        <v>170</v>
      </c>
      <c r="E409" s="271" t="s">
        <v>42</v>
      </c>
      <c r="F409" s="271" t="s">
        <v>10</v>
      </c>
      <c r="G409" s="293" t="s">
        <v>27</v>
      </c>
      <c r="H409" s="314" t="s">
        <v>150</v>
      </c>
      <c r="I409" s="268"/>
      <c r="J409" s="315" t="s">
        <v>171</v>
      </c>
    </row>
    <row r="410" spans="1:10" ht="17.25">
      <c r="A410">
        <v>409</v>
      </c>
      <c r="B410" s="237" t="str">
        <f t="shared" si="7"/>
        <v>06H89</v>
      </c>
      <c r="C410" s="271" t="s">
        <v>155</v>
      </c>
      <c r="D410" s="271" t="s">
        <v>369</v>
      </c>
      <c r="E410" s="294" t="s">
        <v>42</v>
      </c>
      <c r="F410" s="294" t="s">
        <v>10</v>
      </c>
      <c r="G410" s="294" t="s">
        <v>28</v>
      </c>
      <c r="H410" s="294" t="s">
        <v>733</v>
      </c>
      <c r="I410" s="268"/>
      <c r="J410" s="325" t="s">
        <v>751</v>
      </c>
    </row>
    <row r="411" spans="1:10" ht="17.25">
      <c r="A411">
        <v>410</v>
      </c>
      <c r="B411" s="237" t="str">
        <f t="shared" si="7"/>
        <v>06H98</v>
      </c>
      <c r="C411" s="271" t="s">
        <v>155</v>
      </c>
      <c r="D411" s="271" t="s">
        <v>752</v>
      </c>
      <c r="E411" s="294" t="s">
        <v>42</v>
      </c>
      <c r="F411" s="294" t="s">
        <v>10</v>
      </c>
      <c r="G411" s="294" t="s">
        <v>28</v>
      </c>
      <c r="H411" s="294" t="s">
        <v>733</v>
      </c>
      <c r="I411" s="268"/>
      <c r="J411" s="325" t="s">
        <v>753</v>
      </c>
    </row>
    <row r="412" spans="1:10" ht="17.25">
      <c r="A412">
        <v>411</v>
      </c>
      <c r="B412" s="237" t="str">
        <f t="shared" si="7"/>
        <v>06H99</v>
      </c>
      <c r="C412" s="271" t="s">
        <v>155</v>
      </c>
      <c r="D412" s="271" t="s">
        <v>754</v>
      </c>
      <c r="E412" s="294" t="s">
        <v>42</v>
      </c>
      <c r="F412" s="294" t="s">
        <v>10</v>
      </c>
      <c r="G412" s="294" t="s">
        <v>28</v>
      </c>
      <c r="H412" s="294" t="s">
        <v>733</v>
      </c>
      <c r="I412" s="268"/>
      <c r="J412" s="325" t="s">
        <v>755</v>
      </c>
    </row>
    <row r="413" spans="1:10" ht="17.25">
      <c r="A413">
        <v>412</v>
      </c>
      <c r="B413" s="237" t="str">
        <f t="shared" si="7"/>
        <v>06K12</v>
      </c>
      <c r="C413" s="271" t="s">
        <v>155</v>
      </c>
      <c r="D413" s="271" t="s">
        <v>387</v>
      </c>
      <c r="E413" s="294" t="s">
        <v>42</v>
      </c>
      <c r="F413" s="294" t="s">
        <v>10</v>
      </c>
      <c r="G413" s="294" t="s">
        <v>29</v>
      </c>
      <c r="H413" s="294" t="s">
        <v>733</v>
      </c>
      <c r="I413" s="268"/>
      <c r="J413" s="325" t="s">
        <v>756</v>
      </c>
    </row>
    <row r="414" spans="1:10" ht="17.25">
      <c r="A414">
        <v>413</v>
      </c>
      <c r="B414" s="237" t="str">
        <f t="shared" si="7"/>
        <v>06K13</v>
      </c>
      <c r="C414" s="271" t="s">
        <v>155</v>
      </c>
      <c r="D414" s="271" t="s">
        <v>362</v>
      </c>
      <c r="E414" s="294" t="s">
        <v>42</v>
      </c>
      <c r="F414" s="294" t="s">
        <v>10</v>
      </c>
      <c r="G414" s="294" t="s">
        <v>29</v>
      </c>
      <c r="H414" s="294" t="s">
        <v>733</v>
      </c>
      <c r="I414" s="268"/>
      <c r="J414" s="295" t="s">
        <v>736</v>
      </c>
    </row>
    <row r="415" spans="1:10" ht="17.25">
      <c r="A415">
        <v>414</v>
      </c>
      <c r="B415" s="237" t="str">
        <f t="shared" si="7"/>
        <v>06K16</v>
      </c>
      <c r="C415" s="271" t="s">
        <v>155</v>
      </c>
      <c r="D415" s="271" t="s">
        <v>389</v>
      </c>
      <c r="E415" s="294" t="s">
        <v>42</v>
      </c>
      <c r="F415" s="294" t="s">
        <v>10</v>
      </c>
      <c r="G415" s="294" t="s">
        <v>28</v>
      </c>
      <c r="H415" s="294" t="s">
        <v>733</v>
      </c>
      <c r="I415" s="268"/>
      <c r="J415" s="325" t="s">
        <v>757</v>
      </c>
    </row>
    <row r="416" spans="1:10" ht="17.25">
      <c r="A416">
        <v>415</v>
      </c>
      <c r="B416" s="237" t="str">
        <f t="shared" si="7"/>
        <v>06K18</v>
      </c>
      <c r="C416" s="310" t="s">
        <v>155</v>
      </c>
      <c r="D416" s="310" t="s">
        <v>361</v>
      </c>
      <c r="E416" s="319" t="s">
        <v>42</v>
      </c>
      <c r="F416" s="319" t="s">
        <v>10</v>
      </c>
      <c r="G416" s="319" t="s">
        <v>28</v>
      </c>
      <c r="H416" s="319" t="s">
        <v>733</v>
      </c>
      <c r="I416" s="268"/>
      <c r="J416" s="320" t="s">
        <v>1311</v>
      </c>
    </row>
    <row r="417" spans="1:10" ht="17.25">
      <c r="A417">
        <v>416</v>
      </c>
      <c r="B417" s="237" t="str">
        <f t="shared" si="7"/>
        <v>06K22</v>
      </c>
      <c r="C417" s="271" t="s">
        <v>155</v>
      </c>
      <c r="D417" s="271" t="s">
        <v>363</v>
      </c>
      <c r="E417" s="294" t="s">
        <v>42</v>
      </c>
      <c r="F417" s="294" t="s">
        <v>10</v>
      </c>
      <c r="G417" s="294" t="s">
        <v>28</v>
      </c>
      <c r="H417" s="294" t="s">
        <v>733</v>
      </c>
      <c r="I417" s="268"/>
      <c r="J417" s="295" t="s">
        <v>737</v>
      </c>
    </row>
    <row r="418" spans="1:10" ht="17.25">
      <c r="A418">
        <v>417</v>
      </c>
      <c r="B418" s="237" t="str">
        <f t="shared" si="7"/>
        <v>06K25</v>
      </c>
      <c r="C418" s="271" t="s">
        <v>155</v>
      </c>
      <c r="D418" s="271" t="s">
        <v>370</v>
      </c>
      <c r="E418" s="294" t="s">
        <v>42</v>
      </c>
      <c r="F418" s="294" t="s">
        <v>10</v>
      </c>
      <c r="G418" s="294" t="s">
        <v>28</v>
      </c>
      <c r="H418" s="294" t="s">
        <v>733</v>
      </c>
      <c r="I418" s="268"/>
      <c r="J418" s="295" t="s">
        <v>738</v>
      </c>
    </row>
    <row r="419" spans="1:10" ht="17.25">
      <c r="A419">
        <v>418</v>
      </c>
      <c r="B419" s="237" t="str">
        <f t="shared" si="7"/>
        <v>06K38</v>
      </c>
      <c r="C419" s="310" t="s">
        <v>155</v>
      </c>
      <c r="D419" s="310" t="s">
        <v>365</v>
      </c>
      <c r="E419" s="319" t="s">
        <v>42</v>
      </c>
      <c r="F419" s="319" t="s">
        <v>10</v>
      </c>
      <c r="G419" s="319" t="s">
        <v>29</v>
      </c>
      <c r="H419" s="319" t="s">
        <v>733</v>
      </c>
      <c r="I419" s="268"/>
      <c r="J419" s="320" t="s">
        <v>739</v>
      </c>
    </row>
    <row r="420" spans="1:10" ht="17.25">
      <c r="A420">
        <v>419</v>
      </c>
      <c r="B420" s="237" t="str">
        <f t="shared" si="7"/>
        <v>06K47</v>
      </c>
      <c r="C420" s="310" t="s">
        <v>155</v>
      </c>
      <c r="D420" s="310" t="s">
        <v>385</v>
      </c>
      <c r="E420" s="319" t="s">
        <v>42</v>
      </c>
      <c r="F420" s="319" t="s">
        <v>10</v>
      </c>
      <c r="G420" s="319" t="s">
        <v>28</v>
      </c>
      <c r="H420" s="319" t="s">
        <v>733</v>
      </c>
      <c r="I420" s="268"/>
      <c r="J420" s="326" t="s">
        <v>1572</v>
      </c>
    </row>
    <row r="421" spans="1:10" ht="17.25">
      <c r="A421">
        <v>420</v>
      </c>
      <c r="B421" s="237" t="str">
        <f t="shared" si="7"/>
        <v>06K50</v>
      </c>
      <c r="C421" s="310" t="s">
        <v>155</v>
      </c>
      <c r="D421" s="310" t="s">
        <v>367</v>
      </c>
      <c r="E421" s="319" t="s">
        <v>42</v>
      </c>
      <c r="F421" s="319" t="s">
        <v>10</v>
      </c>
      <c r="G421" s="319" t="s">
        <v>28</v>
      </c>
      <c r="H421" s="319" t="s">
        <v>733</v>
      </c>
      <c r="I421" s="268"/>
      <c r="J421" s="320" t="s">
        <v>1571</v>
      </c>
    </row>
    <row r="422" spans="1:10" ht="17.25">
      <c r="A422">
        <v>421</v>
      </c>
      <c r="B422" s="237" t="str">
        <f t="shared" si="7"/>
        <v>06K54</v>
      </c>
      <c r="C422" s="271" t="s">
        <v>155</v>
      </c>
      <c r="D422" s="271" t="s">
        <v>366</v>
      </c>
      <c r="E422" s="294" t="s">
        <v>42</v>
      </c>
      <c r="F422" s="294" t="s">
        <v>10</v>
      </c>
      <c r="G422" s="294" t="s">
        <v>28</v>
      </c>
      <c r="H422" s="294" t="s">
        <v>733</v>
      </c>
      <c r="I422" s="268"/>
      <c r="J422" s="295" t="s">
        <v>740</v>
      </c>
    </row>
    <row r="423" spans="1:10" ht="17.25">
      <c r="A423">
        <v>422</v>
      </c>
      <c r="B423" s="237" t="str">
        <f t="shared" si="7"/>
        <v>06K57</v>
      </c>
      <c r="C423" s="310" t="s">
        <v>155</v>
      </c>
      <c r="D423" s="310" t="s">
        <v>364</v>
      </c>
      <c r="E423" s="319" t="s">
        <v>42</v>
      </c>
      <c r="F423" s="319" t="s">
        <v>10</v>
      </c>
      <c r="G423" s="319" t="s">
        <v>28</v>
      </c>
      <c r="H423" s="319" t="s">
        <v>733</v>
      </c>
      <c r="I423" s="268"/>
      <c r="J423" s="320" t="s">
        <v>741</v>
      </c>
    </row>
    <row r="424" spans="1:10" ht="17.25">
      <c r="A424">
        <v>423</v>
      </c>
      <c r="B424" s="237" t="str">
        <f t="shared" si="7"/>
        <v>06K77</v>
      </c>
      <c r="C424" s="271" t="s">
        <v>155</v>
      </c>
      <c r="D424" s="271" t="s">
        <v>368</v>
      </c>
      <c r="E424" s="294" t="s">
        <v>42</v>
      </c>
      <c r="F424" s="294" t="s">
        <v>10</v>
      </c>
      <c r="G424" s="294" t="s">
        <v>28</v>
      </c>
      <c r="H424" s="294" t="s">
        <v>733</v>
      </c>
      <c r="I424" s="268"/>
      <c r="J424" s="295" t="s">
        <v>742</v>
      </c>
    </row>
    <row r="425" spans="1:10" ht="17.25">
      <c r="A425">
        <v>424</v>
      </c>
      <c r="B425" s="237" t="str">
        <f t="shared" si="7"/>
        <v>06K78</v>
      </c>
      <c r="C425" s="310" t="s">
        <v>155</v>
      </c>
      <c r="D425" s="310" t="s">
        <v>840</v>
      </c>
      <c r="E425" s="319" t="s">
        <v>19</v>
      </c>
      <c r="F425" s="319" t="s">
        <v>10</v>
      </c>
      <c r="G425" s="319" t="s">
        <v>175</v>
      </c>
      <c r="H425" s="319" t="s">
        <v>1604</v>
      </c>
      <c r="I425" s="268"/>
      <c r="J425" s="326" t="s">
        <v>841</v>
      </c>
    </row>
    <row r="426" spans="1:10" ht="17.25">
      <c r="A426">
        <v>425</v>
      </c>
      <c r="B426" s="237" t="str">
        <f t="shared" si="7"/>
        <v>06K84</v>
      </c>
      <c r="C426" s="310" t="s">
        <v>155</v>
      </c>
      <c r="D426" s="310" t="s">
        <v>212</v>
      </c>
      <c r="E426" s="310" t="s">
        <v>19</v>
      </c>
      <c r="F426" s="310" t="s">
        <v>10</v>
      </c>
      <c r="G426" s="321" t="s">
        <v>29</v>
      </c>
      <c r="H426" s="311" t="s">
        <v>1607</v>
      </c>
      <c r="I426" s="268"/>
      <c r="J426" s="327" t="s">
        <v>211</v>
      </c>
    </row>
    <row r="427" spans="1:10" ht="17.25">
      <c r="A427">
        <v>426</v>
      </c>
      <c r="B427" s="237" t="str">
        <f t="shared" si="7"/>
        <v>06K99</v>
      </c>
      <c r="C427" s="271" t="s">
        <v>155</v>
      </c>
      <c r="D427" s="273" t="s">
        <v>206</v>
      </c>
      <c r="E427" s="271" t="s">
        <v>19</v>
      </c>
      <c r="F427" s="271" t="s">
        <v>10</v>
      </c>
      <c r="G427" s="271" t="s">
        <v>28</v>
      </c>
      <c r="H427" s="271" t="s">
        <v>192</v>
      </c>
      <c r="I427" s="268"/>
      <c r="J427" s="315" t="s">
        <v>205</v>
      </c>
    </row>
    <row r="428" spans="1:10" ht="17.25">
      <c r="A428">
        <v>427</v>
      </c>
      <c r="B428" s="237" t="str">
        <f t="shared" si="7"/>
        <v>06W01</v>
      </c>
      <c r="C428" s="271" t="s">
        <v>155</v>
      </c>
      <c r="D428" s="271" t="s">
        <v>208</v>
      </c>
      <c r="E428" s="271" t="s">
        <v>19</v>
      </c>
      <c r="F428" s="271" t="s">
        <v>10</v>
      </c>
      <c r="G428" s="293" t="s">
        <v>28</v>
      </c>
      <c r="H428" s="314" t="s">
        <v>192</v>
      </c>
      <c r="I428" s="268"/>
      <c r="J428" s="315" t="s">
        <v>207</v>
      </c>
    </row>
    <row r="429" spans="1:10" ht="17.25">
      <c r="A429">
        <v>428</v>
      </c>
      <c r="B429" s="237" t="str">
        <f t="shared" si="7"/>
        <v>06W07</v>
      </c>
      <c r="C429" s="310" t="s">
        <v>155</v>
      </c>
      <c r="D429" s="310" t="s">
        <v>842</v>
      </c>
      <c r="E429" s="319" t="s">
        <v>19</v>
      </c>
      <c r="F429" s="319" t="s">
        <v>10</v>
      </c>
      <c r="G429" s="319" t="s">
        <v>175</v>
      </c>
      <c r="H429" s="319" t="s">
        <v>1606</v>
      </c>
      <c r="I429" s="268"/>
      <c r="J429" s="326" t="s">
        <v>843</v>
      </c>
    </row>
    <row r="430" spans="1:10" ht="17.25">
      <c r="A430">
        <v>429</v>
      </c>
      <c r="B430" s="237" t="str">
        <f t="shared" si="7"/>
        <v>06W14</v>
      </c>
      <c r="C430" s="310" t="s">
        <v>155</v>
      </c>
      <c r="D430" s="310" t="s">
        <v>371</v>
      </c>
      <c r="E430" s="319" t="s">
        <v>42</v>
      </c>
      <c r="F430" s="319" t="s">
        <v>10</v>
      </c>
      <c r="G430" s="319" t="s">
        <v>28</v>
      </c>
      <c r="H430" s="319" t="s">
        <v>733</v>
      </c>
      <c r="I430" s="268"/>
      <c r="J430" s="320" t="s">
        <v>743</v>
      </c>
    </row>
    <row r="431" spans="1:10" ht="17.25">
      <c r="A431">
        <v>430</v>
      </c>
      <c r="B431" s="237" t="str">
        <f t="shared" si="7"/>
        <v>06W20</v>
      </c>
      <c r="C431" s="310" t="s">
        <v>155</v>
      </c>
      <c r="D431" s="310" t="s">
        <v>1302</v>
      </c>
      <c r="E431" s="319" t="s">
        <v>19</v>
      </c>
      <c r="F431" s="319" t="s">
        <v>10</v>
      </c>
      <c r="G431" s="319" t="s">
        <v>28</v>
      </c>
      <c r="H431" s="319" t="s">
        <v>733</v>
      </c>
      <c r="I431" s="268"/>
      <c r="J431" s="326" t="s">
        <v>1573</v>
      </c>
    </row>
    <row r="432" spans="1:10" ht="17.25">
      <c r="A432">
        <v>431</v>
      </c>
      <c r="B432" s="237" t="str">
        <f t="shared" si="7"/>
        <v>06W27</v>
      </c>
      <c r="C432" s="271" t="s">
        <v>155</v>
      </c>
      <c r="D432" s="271" t="s">
        <v>372</v>
      </c>
      <c r="E432" s="294" t="s">
        <v>42</v>
      </c>
      <c r="F432" s="294" t="s">
        <v>10</v>
      </c>
      <c r="G432" s="294" t="s">
        <v>28</v>
      </c>
      <c r="H432" s="294" t="s">
        <v>733</v>
      </c>
      <c r="I432" s="268"/>
      <c r="J432" s="325" t="s">
        <v>758</v>
      </c>
    </row>
    <row r="433" spans="1:10" ht="17.25">
      <c r="A433">
        <v>432</v>
      </c>
      <c r="B433" s="237" t="str">
        <f t="shared" si="7"/>
        <v>06W28</v>
      </c>
      <c r="C433" s="271" t="s">
        <v>155</v>
      </c>
      <c r="D433" s="271" t="s">
        <v>373</v>
      </c>
      <c r="E433" s="294" t="s">
        <v>42</v>
      </c>
      <c r="F433" s="294" t="s">
        <v>10</v>
      </c>
      <c r="G433" s="294" t="s">
        <v>28</v>
      </c>
      <c r="H433" s="294" t="s">
        <v>733</v>
      </c>
      <c r="I433" s="268"/>
      <c r="J433" s="325" t="s">
        <v>759</v>
      </c>
    </row>
    <row r="434" spans="1:10" ht="17.25">
      <c r="A434">
        <v>433</v>
      </c>
      <c r="B434" s="237" t="str">
        <f t="shared" si="7"/>
        <v>06W32</v>
      </c>
      <c r="C434" s="271" t="s">
        <v>155</v>
      </c>
      <c r="D434" s="271" t="s">
        <v>374</v>
      </c>
      <c r="E434" s="294" t="s">
        <v>42</v>
      </c>
      <c r="F434" s="294" t="s">
        <v>10</v>
      </c>
      <c r="G434" s="294" t="s">
        <v>28</v>
      </c>
      <c r="H434" s="294" t="s">
        <v>733</v>
      </c>
      <c r="I434" s="268"/>
      <c r="J434" s="315"/>
    </row>
    <row r="435" spans="1:10" ht="17.25">
      <c r="A435">
        <v>434</v>
      </c>
      <c r="B435" s="237" t="str">
        <f t="shared" si="7"/>
        <v>06W56</v>
      </c>
      <c r="C435" s="310" t="s">
        <v>155</v>
      </c>
      <c r="D435" s="310" t="s">
        <v>803</v>
      </c>
      <c r="E435" s="319" t="s">
        <v>19</v>
      </c>
      <c r="F435" s="319" t="s">
        <v>10</v>
      </c>
      <c r="G435" s="319" t="s">
        <v>149</v>
      </c>
      <c r="H435" s="319" t="s">
        <v>1622</v>
      </c>
      <c r="I435" s="268"/>
      <c r="J435" s="326" t="s">
        <v>804</v>
      </c>
    </row>
    <row r="436" spans="1:10" ht="17.25">
      <c r="A436">
        <v>435</v>
      </c>
      <c r="B436" s="237" t="str">
        <f t="shared" si="7"/>
        <v>06W74</v>
      </c>
      <c r="C436" s="271" t="s">
        <v>155</v>
      </c>
      <c r="D436" s="271" t="s">
        <v>812</v>
      </c>
      <c r="E436" s="294" t="s">
        <v>19</v>
      </c>
      <c r="F436" s="294" t="s">
        <v>10</v>
      </c>
      <c r="G436" s="294" t="s">
        <v>27</v>
      </c>
      <c r="H436" s="294" t="s">
        <v>813</v>
      </c>
      <c r="I436" s="268"/>
      <c r="J436" s="325" t="s">
        <v>814</v>
      </c>
    </row>
    <row r="437" spans="1:10" ht="17.25">
      <c r="A437">
        <v>436</v>
      </c>
      <c r="B437" s="237" t="str">
        <f t="shared" si="7"/>
        <v>06W82</v>
      </c>
      <c r="C437" s="271" t="s">
        <v>155</v>
      </c>
      <c r="D437" s="271" t="s">
        <v>832</v>
      </c>
      <c r="E437" s="294" t="s">
        <v>19</v>
      </c>
      <c r="F437" s="294" t="s">
        <v>10</v>
      </c>
      <c r="G437" s="294"/>
      <c r="H437" s="294" t="s">
        <v>813</v>
      </c>
      <c r="I437" s="268"/>
      <c r="J437" s="325" t="s">
        <v>833</v>
      </c>
    </row>
    <row r="438" spans="1:10" ht="17.25">
      <c r="A438">
        <v>437</v>
      </c>
      <c r="B438" s="237" t="str">
        <f t="shared" si="7"/>
        <v>06X20</v>
      </c>
      <c r="C438" s="271" t="s">
        <v>155</v>
      </c>
      <c r="D438" s="271" t="s">
        <v>847</v>
      </c>
      <c r="E438" s="294" t="s">
        <v>19</v>
      </c>
      <c r="F438" s="294" t="s">
        <v>10</v>
      </c>
      <c r="G438" s="294" t="s">
        <v>27</v>
      </c>
      <c r="H438" s="294" t="s">
        <v>813</v>
      </c>
      <c r="I438" s="268"/>
      <c r="J438" s="325" t="s">
        <v>849</v>
      </c>
    </row>
    <row r="439" spans="1:10" ht="17.25">
      <c r="A439">
        <v>438</v>
      </c>
      <c r="B439" s="237" t="str">
        <f t="shared" si="7"/>
        <v>06X21</v>
      </c>
      <c r="C439" s="271" t="s">
        <v>155</v>
      </c>
      <c r="D439" s="271" t="s">
        <v>848</v>
      </c>
      <c r="E439" s="294" t="s">
        <v>19</v>
      </c>
      <c r="F439" s="294" t="s">
        <v>10</v>
      </c>
      <c r="G439" s="294" t="s">
        <v>27</v>
      </c>
      <c r="H439" s="294" t="s">
        <v>813</v>
      </c>
      <c r="I439" s="268"/>
      <c r="J439" s="325" t="s">
        <v>850</v>
      </c>
    </row>
    <row r="440" spans="1:10" ht="17.25">
      <c r="A440">
        <v>439</v>
      </c>
      <c r="B440" s="237" t="str">
        <f t="shared" si="7"/>
        <v>06Y47</v>
      </c>
      <c r="C440" s="310" t="s">
        <v>155</v>
      </c>
      <c r="D440" s="310" t="s">
        <v>1475</v>
      </c>
      <c r="E440" s="319" t="s">
        <v>19</v>
      </c>
      <c r="F440" s="319" t="s">
        <v>10</v>
      </c>
      <c r="G440" s="319" t="s">
        <v>175</v>
      </c>
      <c r="H440" s="319" t="s">
        <v>733</v>
      </c>
      <c r="I440" s="268"/>
      <c r="J440" s="326" t="s">
        <v>1476</v>
      </c>
    </row>
    <row r="441" spans="1:10" ht="17.25">
      <c r="A441">
        <v>440</v>
      </c>
      <c r="B441" s="237" t="str">
        <f t="shared" si="7"/>
        <v>07A25</v>
      </c>
      <c r="C441" s="271" t="s">
        <v>155</v>
      </c>
      <c r="D441" s="271" t="s">
        <v>210</v>
      </c>
      <c r="E441" s="271" t="s">
        <v>33</v>
      </c>
      <c r="F441" s="271" t="s">
        <v>10</v>
      </c>
      <c r="G441" s="293" t="s">
        <v>27</v>
      </c>
      <c r="H441" s="314" t="s">
        <v>201</v>
      </c>
      <c r="I441" s="268"/>
      <c r="J441" s="315" t="s">
        <v>209</v>
      </c>
    </row>
    <row r="442" spans="1:10" ht="17.25">
      <c r="A442">
        <v>441</v>
      </c>
      <c r="B442" s="237" t="str">
        <f t="shared" si="7"/>
        <v>07A25</v>
      </c>
      <c r="C442" s="271" t="s">
        <v>155</v>
      </c>
      <c r="D442" s="271" t="s">
        <v>210</v>
      </c>
      <c r="E442" s="271" t="s">
        <v>33</v>
      </c>
      <c r="F442" s="271" t="s">
        <v>10</v>
      </c>
      <c r="G442" s="293" t="s">
        <v>27</v>
      </c>
      <c r="H442" s="314" t="s">
        <v>201</v>
      </c>
      <c r="I442" s="268"/>
      <c r="J442" s="315" t="s">
        <v>209</v>
      </c>
    </row>
    <row r="443" spans="1:10" ht="17.25">
      <c r="A443">
        <v>442</v>
      </c>
      <c r="B443" s="237" t="str">
        <f t="shared" si="7"/>
        <v>07A42</v>
      </c>
      <c r="C443" s="271" t="s">
        <v>155</v>
      </c>
      <c r="D443" s="271" t="s">
        <v>177</v>
      </c>
      <c r="E443" s="271" t="s">
        <v>37</v>
      </c>
      <c r="F443" s="271" t="s">
        <v>10</v>
      </c>
      <c r="G443" s="293" t="s">
        <v>175</v>
      </c>
      <c r="H443" s="314" t="s">
        <v>150</v>
      </c>
      <c r="I443" s="268"/>
      <c r="J443" s="315" t="s">
        <v>178</v>
      </c>
    </row>
    <row r="444" spans="1:10" ht="17.25">
      <c r="A444">
        <v>443</v>
      </c>
      <c r="B444" s="237" t="str">
        <f t="shared" si="7"/>
        <v>07A43</v>
      </c>
      <c r="C444" s="271" t="s">
        <v>155</v>
      </c>
      <c r="D444" s="271" t="s">
        <v>174</v>
      </c>
      <c r="E444" s="271" t="s">
        <v>37</v>
      </c>
      <c r="F444" s="271" t="s">
        <v>10</v>
      </c>
      <c r="G444" s="293" t="s">
        <v>175</v>
      </c>
      <c r="H444" s="314" t="s">
        <v>150</v>
      </c>
      <c r="I444" s="268"/>
      <c r="J444" s="315" t="s">
        <v>176</v>
      </c>
    </row>
    <row r="445" spans="1:10" ht="17.25">
      <c r="A445">
        <v>444</v>
      </c>
      <c r="B445" s="237" t="str">
        <f t="shared" si="7"/>
        <v>07A60</v>
      </c>
      <c r="C445" s="266" t="s">
        <v>155</v>
      </c>
      <c r="D445" s="266" t="s">
        <v>187</v>
      </c>
      <c r="E445" s="266" t="s">
        <v>37</v>
      </c>
      <c r="F445" s="266" t="s">
        <v>10</v>
      </c>
      <c r="G445" s="313" t="s">
        <v>175</v>
      </c>
      <c r="H445" s="269" t="s">
        <v>150</v>
      </c>
      <c r="I445" s="268"/>
      <c r="J445" s="312" t="s">
        <v>188</v>
      </c>
    </row>
    <row r="446" spans="1:10" ht="17.25">
      <c r="A446">
        <v>445</v>
      </c>
      <c r="B446" s="237" t="str">
        <f t="shared" si="7"/>
        <v>07A77</v>
      </c>
      <c r="C446" s="271" t="s">
        <v>155</v>
      </c>
      <c r="D446" s="271" t="s">
        <v>1260</v>
      </c>
      <c r="E446" s="271" t="s">
        <v>33</v>
      </c>
      <c r="F446" s="271" t="s">
        <v>10</v>
      </c>
      <c r="G446" s="271" t="s">
        <v>165</v>
      </c>
      <c r="H446" s="254" t="s">
        <v>1266</v>
      </c>
      <c r="I446" s="268"/>
      <c r="J446" s="272" t="s">
        <v>1281</v>
      </c>
    </row>
    <row r="447" spans="1:10" ht="17.25">
      <c r="A447">
        <v>446</v>
      </c>
      <c r="B447" s="237" t="str">
        <f t="shared" si="7"/>
        <v>07H32</v>
      </c>
      <c r="C447" s="271" t="s">
        <v>155</v>
      </c>
      <c r="D447" s="271" t="s">
        <v>1262</v>
      </c>
      <c r="E447" s="271" t="s">
        <v>33</v>
      </c>
      <c r="F447" s="271" t="s">
        <v>1265</v>
      </c>
      <c r="G447" s="271" t="s">
        <v>58</v>
      </c>
      <c r="H447" s="254" t="s">
        <v>1266</v>
      </c>
      <c r="I447" s="268"/>
      <c r="J447" s="272" t="s">
        <v>1279</v>
      </c>
    </row>
    <row r="448" spans="1:10" ht="17.25">
      <c r="A448">
        <v>447</v>
      </c>
      <c r="B448" s="237" t="str">
        <f t="shared" si="7"/>
        <v>07H33</v>
      </c>
      <c r="C448" s="271" t="s">
        <v>155</v>
      </c>
      <c r="D448" s="271" t="s">
        <v>1261</v>
      </c>
      <c r="E448" s="271" t="s">
        <v>33</v>
      </c>
      <c r="F448" s="271" t="s">
        <v>10</v>
      </c>
      <c r="G448" s="271" t="s">
        <v>58</v>
      </c>
      <c r="H448" s="254" t="s">
        <v>1266</v>
      </c>
      <c r="I448" s="268"/>
      <c r="J448" s="272" t="s">
        <v>1277</v>
      </c>
    </row>
    <row r="449" spans="1:10" ht="17.25">
      <c r="A449">
        <v>448</v>
      </c>
      <c r="B449" s="237" t="str">
        <f t="shared" si="7"/>
        <v>07H67</v>
      </c>
      <c r="C449" s="271" t="s">
        <v>155</v>
      </c>
      <c r="D449" s="271" t="s">
        <v>1264</v>
      </c>
      <c r="E449" s="271" t="s">
        <v>33</v>
      </c>
      <c r="F449" s="271" t="s">
        <v>1265</v>
      </c>
      <c r="G449" s="271" t="s">
        <v>58</v>
      </c>
      <c r="H449" s="254" t="s">
        <v>1266</v>
      </c>
      <c r="I449" s="268"/>
      <c r="J449" s="272" t="s">
        <v>1280</v>
      </c>
    </row>
    <row r="450" spans="1:10" ht="17.25">
      <c r="A450">
        <v>449</v>
      </c>
      <c r="B450" s="237" t="str">
        <f t="shared" si="7"/>
        <v>07H68</v>
      </c>
      <c r="C450" s="271" t="s">
        <v>155</v>
      </c>
      <c r="D450" s="271" t="s">
        <v>1263</v>
      </c>
      <c r="E450" s="271" t="s">
        <v>33</v>
      </c>
      <c r="F450" s="271" t="s">
        <v>10</v>
      </c>
      <c r="G450" s="271" t="s">
        <v>58</v>
      </c>
      <c r="H450" s="254" t="s">
        <v>1266</v>
      </c>
      <c r="I450" s="268"/>
      <c r="J450" s="272" t="s">
        <v>1278</v>
      </c>
    </row>
    <row r="451" spans="1:10" ht="17.25">
      <c r="A451">
        <v>450</v>
      </c>
      <c r="B451" s="237" t="str">
        <f t="shared" si="7"/>
        <v>08A72</v>
      </c>
      <c r="C451" s="271" t="s">
        <v>155</v>
      </c>
      <c r="D451" s="271" t="s">
        <v>390</v>
      </c>
      <c r="E451" s="294" t="s">
        <v>42</v>
      </c>
      <c r="F451" s="294" t="s">
        <v>10</v>
      </c>
      <c r="G451" s="294" t="s">
        <v>175</v>
      </c>
      <c r="H451" s="294" t="s">
        <v>733</v>
      </c>
      <c r="I451" s="268"/>
      <c r="J451" s="325" t="s">
        <v>760</v>
      </c>
    </row>
    <row r="452" spans="1:10" ht="17.25">
      <c r="A452">
        <v>451</v>
      </c>
      <c r="B452" s="237" t="str">
        <f t="shared" si="7"/>
        <v>08A73</v>
      </c>
      <c r="C452" s="271" t="s">
        <v>155</v>
      </c>
      <c r="D452" s="271" t="s">
        <v>391</v>
      </c>
      <c r="E452" s="294" t="s">
        <v>42</v>
      </c>
      <c r="F452" s="294" t="s">
        <v>10</v>
      </c>
      <c r="G452" s="294" t="s">
        <v>175</v>
      </c>
      <c r="H452" s="294" t="s">
        <v>733</v>
      </c>
      <c r="I452" s="268"/>
      <c r="J452" s="325" t="s">
        <v>761</v>
      </c>
    </row>
    <row r="453" spans="1:10" ht="17.25">
      <c r="A453">
        <v>452</v>
      </c>
      <c r="B453" s="237" t="str">
        <f t="shared" si="7"/>
        <v>08A84</v>
      </c>
      <c r="C453" s="271" t="s">
        <v>155</v>
      </c>
      <c r="D453" s="273" t="s">
        <v>360</v>
      </c>
      <c r="E453" s="294" t="s">
        <v>42</v>
      </c>
      <c r="F453" s="294" t="s">
        <v>10</v>
      </c>
      <c r="G453" s="294" t="s">
        <v>29</v>
      </c>
      <c r="H453" s="294" t="s">
        <v>733</v>
      </c>
      <c r="I453" s="268"/>
      <c r="J453" s="295" t="s">
        <v>744</v>
      </c>
    </row>
    <row r="454" spans="1:10" ht="17.25">
      <c r="A454">
        <v>453</v>
      </c>
      <c r="B454" s="237" t="str">
        <f t="shared" ref="B454:B518" si="8">D454</f>
        <v>08F07</v>
      </c>
      <c r="C454" s="271" t="s">
        <v>155</v>
      </c>
      <c r="D454" s="273" t="s">
        <v>204</v>
      </c>
      <c r="E454" s="271" t="s">
        <v>19</v>
      </c>
      <c r="F454" s="271" t="s">
        <v>10</v>
      </c>
      <c r="G454" s="271" t="s">
        <v>165</v>
      </c>
      <c r="H454" s="271" t="s">
        <v>192</v>
      </c>
      <c r="I454" s="268"/>
      <c r="J454" s="315" t="s">
        <v>203</v>
      </c>
    </row>
    <row r="455" spans="1:10" ht="17.25">
      <c r="A455">
        <v>454</v>
      </c>
      <c r="B455" s="237" t="str">
        <f t="shared" si="8"/>
        <v>08F09</v>
      </c>
      <c r="C455" s="271" t="s">
        <v>155</v>
      </c>
      <c r="D455" s="273" t="s">
        <v>199</v>
      </c>
      <c r="E455" s="271" t="s">
        <v>19</v>
      </c>
      <c r="F455" s="271" t="s">
        <v>10</v>
      </c>
      <c r="G455" s="271" t="s">
        <v>27</v>
      </c>
      <c r="H455" s="271" t="s">
        <v>192</v>
      </c>
      <c r="I455" s="268"/>
      <c r="J455" s="315" t="s">
        <v>198</v>
      </c>
    </row>
    <row r="456" spans="1:10" ht="17.25">
      <c r="A456">
        <v>455</v>
      </c>
      <c r="B456" s="237" t="str">
        <f t="shared" si="8"/>
        <v>09D30</v>
      </c>
      <c r="C456" s="266" t="s">
        <v>155</v>
      </c>
      <c r="D456" s="266" t="s">
        <v>172</v>
      </c>
      <c r="E456" s="266" t="s">
        <v>37</v>
      </c>
      <c r="F456" s="266" t="s">
        <v>10</v>
      </c>
      <c r="G456" s="313" t="s">
        <v>149</v>
      </c>
      <c r="H456" s="269" t="s">
        <v>150</v>
      </c>
      <c r="I456" s="268"/>
      <c r="J456" s="312" t="s">
        <v>173</v>
      </c>
    </row>
    <row r="457" spans="1:10" ht="17.25">
      <c r="A457">
        <v>456</v>
      </c>
      <c r="B457" s="237" t="str">
        <f t="shared" si="8"/>
        <v>60A28</v>
      </c>
      <c r="C457" s="266" t="s">
        <v>155</v>
      </c>
      <c r="D457" s="266" t="s">
        <v>157</v>
      </c>
      <c r="E457" s="266" t="s">
        <v>37</v>
      </c>
      <c r="F457" s="266" t="s">
        <v>10</v>
      </c>
      <c r="G457" s="313" t="s">
        <v>29</v>
      </c>
      <c r="H457" s="269" t="s">
        <v>150</v>
      </c>
      <c r="I457" s="268"/>
      <c r="J457" s="312" t="s">
        <v>158</v>
      </c>
    </row>
    <row r="458" spans="1:10" ht="17.25">
      <c r="A458">
        <v>457</v>
      </c>
      <c r="B458" s="237" t="str">
        <f t="shared" si="8"/>
        <v>60A30</v>
      </c>
      <c r="C458" s="271" t="s">
        <v>155</v>
      </c>
      <c r="D458" s="271" t="s">
        <v>189</v>
      </c>
      <c r="E458" s="271" t="s">
        <v>37</v>
      </c>
      <c r="F458" s="271" t="s">
        <v>10</v>
      </c>
      <c r="G458" s="293" t="s">
        <v>29</v>
      </c>
      <c r="H458" s="314" t="s">
        <v>150</v>
      </c>
      <c r="I458" s="268"/>
      <c r="J458" s="315" t="s">
        <v>190</v>
      </c>
    </row>
    <row r="459" spans="1:10" ht="17.25">
      <c r="A459">
        <v>458</v>
      </c>
      <c r="B459" s="237" t="str">
        <f t="shared" si="8"/>
        <v>06Z25</v>
      </c>
      <c r="C459" s="271" t="s">
        <v>155</v>
      </c>
      <c r="D459" s="271" t="s">
        <v>1767</v>
      </c>
      <c r="E459" s="271" t="s">
        <v>1766</v>
      </c>
      <c r="F459" s="271" t="s">
        <v>10</v>
      </c>
      <c r="G459" s="293" t="s">
        <v>30</v>
      </c>
      <c r="H459" s="314" t="s">
        <v>150</v>
      </c>
      <c r="I459" s="268"/>
      <c r="J459" s="315" t="s">
        <v>1768</v>
      </c>
    </row>
    <row r="460" spans="1:10" ht="17.25">
      <c r="A460">
        <v>459</v>
      </c>
      <c r="B460" s="237">
        <f t="shared" si="8"/>
        <v>0</v>
      </c>
      <c r="C460" s="271" t="s">
        <v>155</v>
      </c>
      <c r="D460" s="271"/>
      <c r="E460" s="294" t="s">
        <v>19</v>
      </c>
      <c r="F460" s="294" t="s">
        <v>10</v>
      </c>
      <c r="G460" s="294" t="s">
        <v>29</v>
      </c>
      <c r="H460" s="294" t="s">
        <v>733</v>
      </c>
      <c r="I460" s="268"/>
      <c r="J460" s="325" t="s">
        <v>828</v>
      </c>
    </row>
    <row r="461" spans="1:10" ht="17.25">
      <c r="A461">
        <v>460</v>
      </c>
      <c r="B461" s="237">
        <f t="shared" si="8"/>
        <v>0</v>
      </c>
      <c r="C461" s="271" t="s">
        <v>155</v>
      </c>
      <c r="D461" s="271"/>
      <c r="E461" s="294" t="s">
        <v>19</v>
      </c>
      <c r="F461" s="294" t="s">
        <v>10</v>
      </c>
      <c r="G461" s="294" t="s">
        <v>29</v>
      </c>
      <c r="H461" s="294" t="s">
        <v>733</v>
      </c>
      <c r="I461" s="268"/>
      <c r="J461" s="325" t="s">
        <v>834</v>
      </c>
    </row>
    <row r="462" spans="1:10" ht="17.25">
      <c r="A462">
        <v>461</v>
      </c>
      <c r="B462" s="237">
        <f t="shared" si="8"/>
        <v>0</v>
      </c>
      <c r="C462" s="271" t="s">
        <v>155</v>
      </c>
      <c r="D462" s="271"/>
      <c r="E462" s="294" t="s">
        <v>19</v>
      </c>
      <c r="F462" s="294" t="s">
        <v>10</v>
      </c>
      <c r="G462" s="294"/>
      <c r="H462" s="294" t="s">
        <v>733</v>
      </c>
      <c r="I462" s="268"/>
      <c r="J462" s="325" t="s">
        <v>858</v>
      </c>
    </row>
    <row r="463" spans="1:10" ht="17.25">
      <c r="A463">
        <v>462</v>
      </c>
      <c r="B463" s="237">
        <f t="shared" si="8"/>
        <v>1621</v>
      </c>
      <c r="C463" s="288" t="s">
        <v>131</v>
      </c>
      <c r="D463" s="288">
        <v>1621</v>
      </c>
      <c r="E463" s="288" t="s">
        <v>37</v>
      </c>
      <c r="F463" s="288" t="s">
        <v>34</v>
      </c>
      <c r="G463" s="288" t="s">
        <v>49</v>
      </c>
      <c r="H463" s="329" t="s">
        <v>323</v>
      </c>
      <c r="I463" s="278"/>
      <c r="J463" s="329" t="s">
        <v>1508</v>
      </c>
    </row>
    <row r="464" spans="1:10" ht="17.25">
      <c r="A464">
        <v>463</v>
      </c>
      <c r="B464" s="237">
        <f t="shared" si="8"/>
        <v>1900</v>
      </c>
      <c r="C464" s="330" t="s">
        <v>131</v>
      </c>
      <c r="D464" s="330">
        <v>1900</v>
      </c>
      <c r="E464" s="330" t="s">
        <v>37</v>
      </c>
      <c r="F464" s="330" t="s">
        <v>34</v>
      </c>
      <c r="G464" s="331" t="s">
        <v>23</v>
      </c>
      <c r="H464" s="332" t="s">
        <v>323</v>
      </c>
      <c r="I464" s="278"/>
      <c r="J464" s="332" t="s">
        <v>1509</v>
      </c>
    </row>
    <row r="465" spans="1:10" ht="17.25">
      <c r="A465">
        <v>464</v>
      </c>
      <c r="B465" s="237">
        <f t="shared" si="8"/>
        <v>2834</v>
      </c>
      <c r="C465" s="276" t="s">
        <v>131</v>
      </c>
      <c r="D465" s="276">
        <v>2834</v>
      </c>
      <c r="E465" s="276"/>
      <c r="F465" s="276" t="s">
        <v>34</v>
      </c>
      <c r="G465" s="284" t="s">
        <v>241</v>
      </c>
      <c r="H465" s="329" t="s">
        <v>1536</v>
      </c>
      <c r="I465" s="278"/>
      <c r="J465" s="329" t="s">
        <v>1539</v>
      </c>
    </row>
    <row r="466" spans="1:10" ht="17.25">
      <c r="A466">
        <v>465</v>
      </c>
      <c r="B466" s="237">
        <f t="shared" si="8"/>
        <v>2835</v>
      </c>
      <c r="C466" s="276" t="s">
        <v>131</v>
      </c>
      <c r="D466" s="276">
        <v>2835</v>
      </c>
      <c r="E466" s="276"/>
      <c r="F466" s="276" t="s">
        <v>34</v>
      </c>
      <c r="G466" s="284" t="s">
        <v>241</v>
      </c>
      <c r="H466" s="329" t="s">
        <v>1536</v>
      </c>
      <c r="I466" s="278"/>
      <c r="J466" s="329" t="s">
        <v>1538</v>
      </c>
    </row>
    <row r="467" spans="1:10" ht="17.25">
      <c r="A467">
        <v>466</v>
      </c>
      <c r="B467" s="237">
        <f t="shared" si="8"/>
        <v>2881</v>
      </c>
      <c r="C467" s="288" t="s">
        <v>131</v>
      </c>
      <c r="D467" s="288">
        <v>2881</v>
      </c>
      <c r="E467" s="288" t="s">
        <v>42</v>
      </c>
      <c r="F467" s="288" t="s">
        <v>34</v>
      </c>
      <c r="G467" s="288" t="s">
        <v>23</v>
      </c>
      <c r="H467" s="329" t="s">
        <v>1507</v>
      </c>
      <c r="I467" s="278"/>
      <c r="J467" s="284" t="s">
        <v>147</v>
      </c>
    </row>
    <row r="468" spans="1:10" ht="17.25">
      <c r="A468">
        <v>467</v>
      </c>
      <c r="B468" s="237">
        <f t="shared" si="8"/>
        <v>2882</v>
      </c>
      <c r="C468" s="276" t="s">
        <v>131</v>
      </c>
      <c r="D468" s="276">
        <v>2882</v>
      </c>
      <c r="E468" s="276"/>
      <c r="F468" s="276" t="s">
        <v>34</v>
      </c>
      <c r="G468" s="284" t="s">
        <v>23</v>
      </c>
      <c r="H468" s="329" t="s">
        <v>1536</v>
      </c>
      <c r="I468" s="278"/>
      <c r="J468" s="329" t="s">
        <v>1540</v>
      </c>
    </row>
    <row r="469" spans="1:10" ht="17.25">
      <c r="A469">
        <v>468</v>
      </c>
      <c r="B469" s="237">
        <f t="shared" si="8"/>
        <v>2883</v>
      </c>
      <c r="C469" s="288" t="s">
        <v>131</v>
      </c>
      <c r="D469" s="288">
        <v>2883</v>
      </c>
      <c r="E469" s="288" t="s">
        <v>42</v>
      </c>
      <c r="F469" s="288" t="s">
        <v>34</v>
      </c>
      <c r="G469" s="288" t="s">
        <v>49</v>
      </c>
      <c r="H469" s="329" t="s">
        <v>1507</v>
      </c>
      <c r="I469" s="278"/>
      <c r="J469" s="329" t="s">
        <v>146</v>
      </c>
    </row>
    <row r="470" spans="1:10" ht="17.25">
      <c r="A470">
        <v>469</v>
      </c>
      <c r="B470" s="237">
        <f t="shared" si="8"/>
        <v>2884</v>
      </c>
      <c r="C470" s="288" t="s">
        <v>131</v>
      </c>
      <c r="D470" s="288">
        <v>2884</v>
      </c>
      <c r="E470" s="288" t="s">
        <v>42</v>
      </c>
      <c r="F470" s="288" t="s">
        <v>34</v>
      </c>
      <c r="G470" s="288" t="s">
        <v>49</v>
      </c>
      <c r="H470" s="329" t="s">
        <v>1507</v>
      </c>
      <c r="I470" s="278"/>
      <c r="J470" s="284" t="s">
        <v>145</v>
      </c>
    </row>
    <row r="471" spans="1:10" ht="17.25">
      <c r="A471">
        <v>470</v>
      </c>
      <c r="B471" s="237">
        <f t="shared" si="8"/>
        <v>2885</v>
      </c>
      <c r="C471" s="288" t="s">
        <v>131</v>
      </c>
      <c r="D471" s="288">
        <v>2885</v>
      </c>
      <c r="E471" s="288" t="s">
        <v>42</v>
      </c>
      <c r="F471" s="288" t="s">
        <v>34</v>
      </c>
      <c r="G471" s="284" t="s">
        <v>23</v>
      </c>
      <c r="H471" s="329" t="s">
        <v>1507</v>
      </c>
      <c r="I471" s="278"/>
      <c r="J471" s="329" t="s">
        <v>145</v>
      </c>
    </row>
    <row r="472" spans="1:10" ht="17.25">
      <c r="A472">
        <v>471</v>
      </c>
      <c r="B472" s="237">
        <f t="shared" si="8"/>
        <v>2891</v>
      </c>
      <c r="C472" s="276" t="s">
        <v>131</v>
      </c>
      <c r="D472" s="276">
        <v>2891</v>
      </c>
      <c r="E472" s="276" t="s">
        <v>42</v>
      </c>
      <c r="F472" s="276" t="s">
        <v>34</v>
      </c>
      <c r="G472" s="284" t="s">
        <v>31</v>
      </c>
      <c r="H472" s="329" t="s">
        <v>1510</v>
      </c>
      <c r="I472" s="278"/>
      <c r="J472" s="329" t="s">
        <v>1512</v>
      </c>
    </row>
    <row r="473" spans="1:10" ht="17.25">
      <c r="A473">
        <v>472</v>
      </c>
      <c r="B473" s="237">
        <f t="shared" si="8"/>
        <v>2892</v>
      </c>
      <c r="C473" s="329" t="s">
        <v>131</v>
      </c>
      <c r="D473" s="329">
        <v>2892</v>
      </c>
      <c r="E473" s="329" t="s">
        <v>42</v>
      </c>
      <c r="F473" s="329" t="s">
        <v>34</v>
      </c>
      <c r="G473" s="329" t="s">
        <v>31</v>
      </c>
      <c r="H473" s="329" t="s">
        <v>1510</v>
      </c>
      <c r="I473" s="278"/>
      <c r="J473" s="329" t="s">
        <v>1518</v>
      </c>
    </row>
    <row r="474" spans="1:10" ht="17.25">
      <c r="A474">
        <v>473</v>
      </c>
      <c r="B474" s="237">
        <f t="shared" si="8"/>
        <v>2893</v>
      </c>
      <c r="C474" s="276" t="s">
        <v>131</v>
      </c>
      <c r="D474" s="276">
        <v>2893</v>
      </c>
      <c r="E474" s="276" t="s">
        <v>42</v>
      </c>
      <c r="F474" s="276" t="s">
        <v>34</v>
      </c>
      <c r="G474" s="284" t="s">
        <v>31</v>
      </c>
      <c r="H474" s="329" t="s">
        <v>1510</v>
      </c>
      <c r="I474" s="278"/>
      <c r="J474" s="329" t="s">
        <v>1512</v>
      </c>
    </row>
    <row r="475" spans="1:10" ht="17.25">
      <c r="A475">
        <v>474</v>
      </c>
      <c r="B475" s="237">
        <f t="shared" si="8"/>
        <v>2900</v>
      </c>
      <c r="C475" s="288" t="s">
        <v>131</v>
      </c>
      <c r="D475" s="288">
        <v>2900</v>
      </c>
      <c r="E475" s="288" t="s">
        <v>42</v>
      </c>
      <c r="F475" s="288" t="s">
        <v>34</v>
      </c>
      <c r="G475" s="284" t="s">
        <v>84</v>
      </c>
      <c r="H475" s="329" t="s">
        <v>1507</v>
      </c>
      <c r="I475" s="278"/>
      <c r="J475" s="329" t="s">
        <v>144</v>
      </c>
    </row>
    <row r="476" spans="1:10" ht="17.25">
      <c r="A476">
        <v>475</v>
      </c>
      <c r="B476" s="237">
        <f t="shared" si="8"/>
        <v>2910</v>
      </c>
      <c r="C476" s="329" t="s">
        <v>131</v>
      </c>
      <c r="D476" s="329">
        <v>2910</v>
      </c>
      <c r="E476" s="329" t="s">
        <v>1515</v>
      </c>
      <c r="F476" s="329" t="s">
        <v>34</v>
      </c>
      <c r="G476" s="329" t="s">
        <v>31</v>
      </c>
      <c r="H476" s="329" t="s">
        <v>1529</v>
      </c>
      <c r="I476" s="278"/>
      <c r="J476" s="329" t="s">
        <v>1533</v>
      </c>
    </row>
    <row r="477" spans="1:10" ht="17.25">
      <c r="A477">
        <v>476</v>
      </c>
      <c r="B477" s="237">
        <f t="shared" si="8"/>
        <v>2911</v>
      </c>
      <c r="C477" s="329" t="s">
        <v>131</v>
      </c>
      <c r="D477" s="329">
        <v>2911</v>
      </c>
      <c r="E477" s="329" t="s">
        <v>42</v>
      </c>
      <c r="F477" s="329" t="s">
        <v>34</v>
      </c>
      <c r="G477" s="329" t="s">
        <v>31</v>
      </c>
      <c r="H477" s="329" t="s">
        <v>1510</v>
      </c>
      <c r="I477" s="278"/>
      <c r="J477" s="329" t="s">
        <v>1521</v>
      </c>
    </row>
    <row r="478" spans="1:10" ht="17.25">
      <c r="A478">
        <v>477</v>
      </c>
      <c r="B478" s="237">
        <f t="shared" si="8"/>
        <v>5330</v>
      </c>
      <c r="C478" s="329" t="s">
        <v>131</v>
      </c>
      <c r="D478" s="329">
        <v>5330</v>
      </c>
      <c r="E478" s="329" t="s">
        <v>1523</v>
      </c>
      <c r="F478" s="329" t="s">
        <v>34</v>
      </c>
      <c r="G478" s="329" t="s">
        <v>30</v>
      </c>
      <c r="H478" s="329" t="s">
        <v>1524</v>
      </c>
      <c r="I478" s="278"/>
      <c r="J478" s="329" t="s">
        <v>1526</v>
      </c>
    </row>
    <row r="479" spans="1:10" ht="17.25">
      <c r="A479">
        <v>478</v>
      </c>
      <c r="B479" s="237">
        <f t="shared" si="8"/>
        <v>8010</v>
      </c>
      <c r="C479" s="276" t="s">
        <v>131</v>
      </c>
      <c r="D479" s="276">
        <v>8010</v>
      </c>
      <c r="E479" s="276" t="s">
        <v>37</v>
      </c>
      <c r="F479" s="276" t="s">
        <v>34</v>
      </c>
      <c r="G479" s="276" t="s">
        <v>30</v>
      </c>
      <c r="H479" s="329" t="s">
        <v>323</v>
      </c>
      <c r="I479" s="278"/>
      <c r="J479" s="284" t="s">
        <v>324</v>
      </c>
    </row>
    <row r="480" spans="1:10" ht="17.25">
      <c r="A480">
        <v>479</v>
      </c>
      <c r="B480" s="237">
        <f t="shared" si="8"/>
        <v>8011</v>
      </c>
      <c r="C480" s="288" t="s">
        <v>131</v>
      </c>
      <c r="D480" s="288">
        <v>8011</v>
      </c>
      <c r="E480" s="288" t="s">
        <v>37</v>
      </c>
      <c r="F480" s="288" t="s">
        <v>34</v>
      </c>
      <c r="G480" s="284" t="s">
        <v>30</v>
      </c>
      <c r="H480" s="329" t="s">
        <v>323</v>
      </c>
      <c r="I480" s="278"/>
      <c r="J480" s="329" t="s">
        <v>319</v>
      </c>
    </row>
    <row r="481" spans="1:10" ht="17.25">
      <c r="A481">
        <v>480</v>
      </c>
      <c r="B481" s="237">
        <f t="shared" si="8"/>
        <v>8031</v>
      </c>
      <c r="C481" s="288" t="s">
        <v>131</v>
      </c>
      <c r="D481" s="288">
        <v>8031</v>
      </c>
      <c r="E481" s="288" t="s">
        <v>37</v>
      </c>
      <c r="F481" s="288" t="s">
        <v>34</v>
      </c>
      <c r="G481" s="284" t="s">
        <v>30</v>
      </c>
      <c r="H481" s="329" t="s">
        <v>323</v>
      </c>
      <c r="I481" s="278"/>
      <c r="J481" s="329" t="s">
        <v>320</v>
      </c>
    </row>
    <row r="482" spans="1:10" ht="17.25">
      <c r="A482">
        <v>481</v>
      </c>
      <c r="B482" s="237">
        <f t="shared" si="8"/>
        <v>8300</v>
      </c>
      <c r="C482" s="288" t="s">
        <v>131</v>
      </c>
      <c r="D482" s="288">
        <v>8300</v>
      </c>
      <c r="E482" s="288" t="s">
        <v>37</v>
      </c>
      <c r="F482" s="288" t="s">
        <v>34</v>
      </c>
      <c r="G482" s="284" t="s">
        <v>30</v>
      </c>
      <c r="H482" s="329" t="s">
        <v>323</v>
      </c>
      <c r="I482" s="278"/>
      <c r="J482" s="329" t="s">
        <v>321</v>
      </c>
    </row>
    <row r="483" spans="1:10" ht="17.25">
      <c r="A483">
        <v>482</v>
      </c>
      <c r="B483" s="237">
        <f t="shared" si="8"/>
        <v>8420</v>
      </c>
      <c r="C483" s="329" t="s">
        <v>131</v>
      </c>
      <c r="D483" s="329">
        <v>8420</v>
      </c>
      <c r="E483" s="329" t="s">
        <v>1523</v>
      </c>
      <c r="F483" s="329" t="s">
        <v>34</v>
      </c>
      <c r="G483" s="329" t="s">
        <v>49</v>
      </c>
      <c r="H483" s="329" t="s">
        <v>1524</v>
      </c>
      <c r="I483" s="278"/>
      <c r="J483" s="329" t="s">
        <v>1525</v>
      </c>
    </row>
    <row r="484" spans="1:10" ht="17.25">
      <c r="A484">
        <v>483</v>
      </c>
      <c r="B484" s="237">
        <f t="shared" si="8"/>
        <v>8785</v>
      </c>
      <c r="C484" s="333" t="s">
        <v>131</v>
      </c>
      <c r="D484" s="333">
        <v>8785</v>
      </c>
      <c r="E484" s="333" t="s">
        <v>42</v>
      </c>
      <c r="F484" s="333" t="s">
        <v>34</v>
      </c>
      <c r="G484" s="333" t="s">
        <v>49</v>
      </c>
      <c r="H484" s="333" t="s">
        <v>1546</v>
      </c>
      <c r="I484" s="278"/>
      <c r="J484" s="334" t="s">
        <v>132</v>
      </c>
    </row>
    <row r="485" spans="1:10" ht="17.25">
      <c r="A485">
        <v>484</v>
      </c>
      <c r="B485" s="237">
        <f t="shared" si="8"/>
        <v>111981</v>
      </c>
      <c r="C485" s="276" t="s">
        <v>131</v>
      </c>
      <c r="D485" s="276">
        <v>111981</v>
      </c>
      <c r="E485" s="276" t="s">
        <v>1515</v>
      </c>
      <c r="F485" s="276" t="s">
        <v>34</v>
      </c>
      <c r="G485" s="284" t="s">
        <v>83</v>
      </c>
      <c r="H485" s="329" t="s">
        <v>1516</v>
      </c>
      <c r="I485" s="278"/>
      <c r="J485" s="329" t="s">
        <v>1517</v>
      </c>
    </row>
    <row r="486" spans="1:10" ht="17.25">
      <c r="A486">
        <v>485</v>
      </c>
      <c r="B486" s="237">
        <f t="shared" si="8"/>
        <v>112021</v>
      </c>
      <c r="C486" s="276" t="s">
        <v>131</v>
      </c>
      <c r="D486" s="276">
        <v>112021</v>
      </c>
      <c r="E486" s="276" t="s">
        <v>1515</v>
      </c>
      <c r="F486" s="276" t="s">
        <v>34</v>
      </c>
      <c r="G486" s="284" t="s">
        <v>83</v>
      </c>
      <c r="H486" s="329" t="s">
        <v>1529</v>
      </c>
      <c r="I486" s="278"/>
      <c r="J486" s="329" t="s">
        <v>1530</v>
      </c>
    </row>
    <row r="487" spans="1:10" ht="17.25">
      <c r="A487">
        <v>486</v>
      </c>
      <c r="B487" s="237">
        <f t="shared" si="8"/>
        <v>116810</v>
      </c>
      <c r="C487" s="329" t="s">
        <v>131</v>
      </c>
      <c r="D487" s="329">
        <v>116810</v>
      </c>
      <c r="E487" s="329" t="s">
        <v>42</v>
      </c>
      <c r="F487" s="329" t="s">
        <v>34</v>
      </c>
      <c r="G487" s="329" t="s">
        <v>49</v>
      </c>
      <c r="H487" s="329" t="s">
        <v>1519</v>
      </c>
      <c r="I487" s="278"/>
      <c r="J487" s="329" t="s">
        <v>1520</v>
      </c>
    </row>
    <row r="488" spans="1:10" ht="17.25">
      <c r="A488">
        <v>487</v>
      </c>
      <c r="B488" s="237">
        <f t="shared" si="8"/>
        <v>157800</v>
      </c>
      <c r="C488" s="280" t="s">
        <v>131</v>
      </c>
      <c r="D488" s="280">
        <v>157800</v>
      </c>
      <c r="E488" s="280" t="s">
        <v>37</v>
      </c>
      <c r="F488" s="280" t="s">
        <v>34</v>
      </c>
      <c r="G488" s="281" t="s">
        <v>31</v>
      </c>
      <c r="H488" s="282" t="s">
        <v>1543</v>
      </c>
      <c r="I488" s="278"/>
      <c r="J488" s="282" t="s">
        <v>1544</v>
      </c>
    </row>
    <row r="489" spans="1:10" ht="17.25">
      <c r="A489">
        <v>488</v>
      </c>
      <c r="B489" s="237">
        <f t="shared" si="8"/>
        <v>162080</v>
      </c>
      <c r="C489" s="276" t="s">
        <v>131</v>
      </c>
      <c r="D489" s="276">
        <v>162080</v>
      </c>
      <c r="E489" s="276" t="s">
        <v>37</v>
      </c>
      <c r="F489" s="276" t="s">
        <v>34</v>
      </c>
      <c r="G489" s="284" t="s">
        <v>31</v>
      </c>
      <c r="H489" s="329" t="s">
        <v>1510</v>
      </c>
      <c r="I489" s="278"/>
      <c r="J489" s="329" t="s">
        <v>1514</v>
      </c>
    </row>
    <row r="490" spans="1:10" ht="17.25">
      <c r="A490">
        <v>489</v>
      </c>
      <c r="B490" s="237">
        <f t="shared" si="8"/>
        <v>162120</v>
      </c>
      <c r="C490" s="329" t="s">
        <v>131</v>
      </c>
      <c r="D490" s="329">
        <v>162120</v>
      </c>
      <c r="E490" s="329" t="s">
        <v>1515</v>
      </c>
      <c r="F490" s="329" t="s">
        <v>34</v>
      </c>
      <c r="G490" s="329" t="s">
        <v>31</v>
      </c>
      <c r="H490" s="329" t="s">
        <v>1527</v>
      </c>
      <c r="I490" s="278"/>
      <c r="J490" s="329" t="s">
        <v>1528</v>
      </c>
    </row>
    <row r="491" spans="1:10" ht="17.25">
      <c r="A491">
        <v>490</v>
      </c>
      <c r="B491" s="237">
        <f t="shared" si="8"/>
        <v>165109</v>
      </c>
      <c r="C491" s="288" t="s">
        <v>131</v>
      </c>
      <c r="D491" s="288">
        <v>165109</v>
      </c>
      <c r="E491" s="288" t="s">
        <v>37</v>
      </c>
      <c r="F491" s="288" t="s">
        <v>34</v>
      </c>
      <c r="G491" s="284" t="s">
        <v>30</v>
      </c>
      <c r="H491" s="329" t="s">
        <v>323</v>
      </c>
      <c r="I491" s="278"/>
      <c r="J491" s="329" t="s">
        <v>322</v>
      </c>
    </row>
    <row r="492" spans="1:10" ht="17.25">
      <c r="A492">
        <v>491</v>
      </c>
      <c r="B492" s="237">
        <f t="shared" si="8"/>
        <v>169240</v>
      </c>
      <c r="C492" s="276" t="s">
        <v>131</v>
      </c>
      <c r="D492" s="276">
        <v>169240</v>
      </c>
      <c r="E492" s="276"/>
      <c r="F492" s="276" t="s">
        <v>34</v>
      </c>
      <c r="G492" s="284" t="s">
        <v>30</v>
      </c>
      <c r="H492" s="329" t="s">
        <v>1536</v>
      </c>
      <c r="I492" s="278"/>
      <c r="J492" s="329" t="s">
        <v>1541</v>
      </c>
    </row>
    <row r="493" spans="1:10" ht="17.25">
      <c r="A493">
        <v>492</v>
      </c>
      <c r="B493" s="237">
        <f t="shared" si="8"/>
        <v>169241</v>
      </c>
      <c r="C493" s="276" t="s">
        <v>131</v>
      </c>
      <c r="D493" s="276">
        <v>169241</v>
      </c>
      <c r="E493" s="276"/>
      <c r="F493" s="276" t="s">
        <v>34</v>
      </c>
      <c r="G493" s="284" t="s">
        <v>30</v>
      </c>
      <c r="H493" s="329" t="s">
        <v>1536</v>
      </c>
      <c r="I493" s="278"/>
      <c r="J493" s="329" t="s">
        <v>1537</v>
      </c>
    </row>
    <row r="494" spans="1:10" ht="17.25">
      <c r="A494">
        <v>493</v>
      </c>
      <c r="B494" s="237">
        <f t="shared" si="8"/>
        <v>169260</v>
      </c>
      <c r="C494" s="276" t="s">
        <v>131</v>
      </c>
      <c r="D494" s="276">
        <v>169260</v>
      </c>
      <c r="E494" s="276"/>
      <c r="F494" s="276" t="s">
        <v>34</v>
      </c>
      <c r="G494" s="284" t="s">
        <v>30</v>
      </c>
      <c r="H494" s="329" t="s">
        <v>1536</v>
      </c>
      <c r="I494" s="278"/>
      <c r="J494" s="329" t="s">
        <v>1541</v>
      </c>
    </row>
    <row r="495" spans="1:10" ht="17.25">
      <c r="A495">
        <v>494</v>
      </c>
      <c r="B495" s="237">
        <f t="shared" si="8"/>
        <v>169280</v>
      </c>
      <c r="C495" s="276" t="s">
        <v>131</v>
      </c>
      <c r="D495" s="276">
        <v>169280</v>
      </c>
      <c r="E495" s="276"/>
      <c r="F495" s="276" t="s">
        <v>34</v>
      </c>
      <c r="G495" s="284" t="s">
        <v>30</v>
      </c>
      <c r="H495" s="329" t="s">
        <v>1536</v>
      </c>
      <c r="I495" s="278"/>
      <c r="J495" s="329" t="s">
        <v>1537</v>
      </c>
    </row>
    <row r="496" spans="1:10" ht="17.25">
      <c r="A496">
        <v>495</v>
      </c>
      <c r="B496" s="237">
        <f t="shared" si="8"/>
        <v>169445</v>
      </c>
      <c r="C496" s="276" t="s">
        <v>131</v>
      </c>
      <c r="D496" s="276">
        <v>169445</v>
      </c>
      <c r="E496" s="276" t="s">
        <v>42</v>
      </c>
      <c r="F496" s="276" t="s">
        <v>34</v>
      </c>
      <c r="G496" s="284" t="s">
        <v>30</v>
      </c>
      <c r="H496" s="329" t="s">
        <v>1510</v>
      </c>
      <c r="I496" s="278"/>
      <c r="J496" s="329" t="s">
        <v>1513</v>
      </c>
    </row>
    <row r="497" spans="1:10" ht="17.25">
      <c r="A497">
        <v>496</v>
      </c>
      <c r="B497" s="237">
        <f t="shared" si="8"/>
        <v>169446</v>
      </c>
      <c r="C497" s="329" t="s">
        <v>131</v>
      </c>
      <c r="D497" s="288">
        <v>169446</v>
      </c>
      <c r="E497" s="288" t="s">
        <v>1515</v>
      </c>
      <c r="F497" s="288" t="s">
        <v>34</v>
      </c>
      <c r="G497" s="284" t="s">
        <v>83</v>
      </c>
      <c r="H497" s="329" t="s">
        <v>1529</v>
      </c>
      <c r="I497" s="278"/>
      <c r="J497" s="329" t="s">
        <v>1534</v>
      </c>
    </row>
    <row r="498" spans="1:10" ht="17.25">
      <c r="A498">
        <v>497</v>
      </c>
      <c r="B498" s="237">
        <f t="shared" si="8"/>
        <v>169447</v>
      </c>
      <c r="C498" s="329" t="s">
        <v>131</v>
      </c>
      <c r="D498" s="329">
        <v>169447</v>
      </c>
      <c r="E498" s="329" t="s">
        <v>42</v>
      </c>
      <c r="F498" s="329" t="s">
        <v>34</v>
      </c>
      <c r="G498" s="329" t="s">
        <v>30</v>
      </c>
      <c r="H498" s="329" t="s">
        <v>1510</v>
      </c>
      <c r="I498" s="278"/>
      <c r="J498" s="329" t="s">
        <v>1522</v>
      </c>
    </row>
    <row r="499" spans="1:10" ht="17.25">
      <c r="A499">
        <v>498</v>
      </c>
      <c r="B499" s="237">
        <f t="shared" si="8"/>
        <v>200000</v>
      </c>
      <c r="C499" s="282" t="s">
        <v>131</v>
      </c>
      <c r="D499" s="282">
        <v>200000</v>
      </c>
      <c r="E499" s="282" t="s">
        <v>37</v>
      </c>
      <c r="F499" s="282" t="s">
        <v>34</v>
      </c>
      <c r="G499" s="282" t="s">
        <v>31</v>
      </c>
      <c r="H499" s="282" t="s">
        <v>1547</v>
      </c>
      <c r="I499" s="278"/>
      <c r="J499" s="281" t="s">
        <v>143</v>
      </c>
    </row>
    <row r="500" spans="1:10" ht="17.25">
      <c r="A500">
        <v>499</v>
      </c>
      <c r="B500" s="237">
        <f t="shared" si="8"/>
        <v>200020</v>
      </c>
      <c r="C500" s="288" t="s">
        <v>131</v>
      </c>
      <c r="D500" s="288">
        <v>200020</v>
      </c>
      <c r="E500" s="288" t="s">
        <v>37</v>
      </c>
      <c r="F500" s="288" t="s">
        <v>34</v>
      </c>
      <c r="G500" s="288" t="s">
        <v>31</v>
      </c>
      <c r="H500" s="329" t="s">
        <v>1507</v>
      </c>
      <c r="I500" s="278"/>
      <c r="J500" s="284" t="s">
        <v>142</v>
      </c>
    </row>
    <row r="501" spans="1:10" ht="17.25">
      <c r="A501">
        <v>500</v>
      </c>
      <c r="B501" s="237">
        <f t="shared" si="8"/>
        <v>200070</v>
      </c>
      <c r="C501" s="288" t="s">
        <v>131</v>
      </c>
      <c r="D501" s="288">
        <v>200070</v>
      </c>
      <c r="E501" s="288" t="s">
        <v>37</v>
      </c>
      <c r="F501" s="288" t="s">
        <v>34</v>
      </c>
      <c r="G501" s="288" t="s">
        <v>31</v>
      </c>
      <c r="H501" s="329" t="s">
        <v>1507</v>
      </c>
      <c r="I501" s="278"/>
      <c r="J501" s="329" t="s">
        <v>141</v>
      </c>
    </row>
    <row r="502" spans="1:10" ht="17.25">
      <c r="A502">
        <v>501</v>
      </c>
      <c r="B502" s="237">
        <f t="shared" si="8"/>
        <v>200130</v>
      </c>
      <c r="C502" s="288" t="s">
        <v>131</v>
      </c>
      <c r="D502" s="288">
        <v>200130</v>
      </c>
      <c r="E502" s="288" t="s">
        <v>37</v>
      </c>
      <c r="F502" s="288" t="s">
        <v>34</v>
      </c>
      <c r="G502" s="288" t="s">
        <v>23</v>
      </c>
      <c r="H502" s="329" t="s">
        <v>1507</v>
      </c>
      <c r="I502" s="278"/>
      <c r="J502" s="284" t="s">
        <v>140</v>
      </c>
    </row>
    <row r="503" spans="1:10" ht="17.25">
      <c r="A503">
        <v>502</v>
      </c>
      <c r="B503" s="237">
        <f t="shared" si="8"/>
        <v>200170</v>
      </c>
      <c r="C503" s="282" t="s">
        <v>131</v>
      </c>
      <c r="D503" s="282">
        <v>200170</v>
      </c>
      <c r="E503" s="282" t="s">
        <v>37</v>
      </c>
      <c r="F503" s="282" t="s">
        <v>34</v>
      </c>
      <c r="G503" s="281" t="s">
        <v>23</v>
      </c>
      <c r="H503" s="282" t="s">
        <v>1547</v>
      </c>
      <c r="I503" s="278"/>
      <c r="J503" s="282" t="s">
        <v>139</v>
      </c>
    </row>
    <row r="504" spans="1:10" ht="17.25">
      <c r="A504">
        <v>503</v>
      </c>
      <c r="B504" s="237">
        <f t="shared" si="8"/>
        <v>200260</v>
      </c>
      <c r="C504" s="288" t="s">
        <v>131</v>
      </c>
      <c r="D504" s="288">
        <v>200260</v>
      </c>
      <c r="E504" s="288" t="s">
        <v>37</v>
      </c>
      <c r="F504" s="288" t="s">
        <v>34</v>
      </c>
      <c r="G504" s="284" t="s">
        <v>31</v>
      </c>
      <c r="H504" s="329" t="s">
        <v>1507</v>
      </c>
      <c r="I504" s="278"/>
      <c r="J504" s="329" t="s">
        <v>138</v>
      </c>
    </row>
    <row r="505" spans="1:10" ht="17.25">
      <c r="A505">
        <v>504</v>
      </c>
      <c r="B505" s="237">
        <f t="shared" si="8"/>
        <v>200290</v>
      </c>
      <c r="C505" s="288" t="s">
        <v>131</v>
      </c>
      <c r="D505" s="288">
        <v>200290</v>
      </c>
      <c r="E505" s="288" t="s">
        <v>37</v>
      </c>
      <c r="F505" s="288" t="s">
        <v>34</v>
      </c>
      <c r="G505" s="284" t="s">
        <v>23</v>
      </c>
      <c r="H505" s="329" t="s">
        <v>1507</v>
      </c>
      <c r="I505" s="278"/>
      <c r="J505" s="329" t="s">
        <v>137</v>
      </c>
    </row>
    <row r="506" spans="1:10" ht="17.25">
      <c r="A506">
        <v>505</v>
      </c>
      <c r="B506" s="237">
        <f t="shared" si="8"/>
        <v>200350</v>
      </c>
      <c r="C506" s="288" t="s">
        <v>131</v>
      </c>
      <c r="D506" s="288">
        <v>200350</v>
      </c>
      <c r="E506" s="288" t="s">
        <v>37</v>
      </c>
      <c r="F506" s="288" t="s">
        <v>34</v>
      </c>
      <c r="G506" s="284" t="s">
        <v>23</v>
      </c>
      <c r="H506" s="329" t="s">
        <v>1507</v>
      </c>
      <c r="I506" s="278"/>
      <c r="J506" s="329" t="s">
        <v>136</v>
      </c>
    </row>
    <row r="507" spans="1:10" ht="17.25">
      <c r="A507">
        <v>506</v>
      </c>
      <c r="B507" s="237">
        <f t="shared" si="8"/>
        <v>200370</v>
      </c>
      <c r="C507" s="288" t="s">
        <v>131</v>
      </c>
      <c r="D507" s="288">
        <v>200370</v>
      </c>
      <c r="E507" s="288" t="s">
        <v>37</v>
      </c>
      <c r="F507" s="288" t="s">
        <v>34</v>
      </c>
      <c r="G507" s="284" t="s">
        <v>31</v>
      </c>
      <c r="H507" s="329" t="s">
        <v>1507</v>
      </c>
      <c r="I507" s="278"/>
      <c r="J507" s="329" t="s">
        <v>135</v>
      </c>
    </row>
    <row r="508" spans="1:10" ht="17.25">
      <c r="A508">
        <v>507</v>
      </c>
      <c r="B508" s="237">
        <f t="shared" si="8"/>
        <v>200371</v>
      </c>
      <c r="C508" s="288" t="s">
        <v>131</v>
      </c>
      <c r="D508" s="288">
        <v>200371</v>
      </c>
      <c r="E508" s="288" t="s">
        <v>37</v>
      </c>
      <c r="F508" s="288" t="s">
        <v>34</v>
      </c>
      <c r="G508" s="284" t="s">
        <v>31</v>
      </c>
      <c r="H508" s="329" t="s">
        <v>1507</v>
      </c>
      <c r="I508" s="278"/>
      <c r="J508" s="329" t="s">
        <v>134</v>
      </c>
    </row>
    <row r="509" spans="1:10" ht="17.25">
      <c r="A509">
        <v>508</v>
      </c>
      <c r="B509" s="237">
        <f t="shared" si="8"/>
        <v>200411</v>
      </c>
      <c r="C509" s="288" t="s">
        <v>131</v>
      </c>
      <c r="D509" s="288">
        <v>200411</v>
      </c>
      <c r="E509" s="288" t="s">
        <v>37</v>
      </c>
      <c r="F509" s="288" t="s">
        <v>34</v>
      </c>
      <c r="G509" s="284" t="s">
        <v>31</v>
      </c>
      <c r="H509" s="329" t="s">
        <v>1507</v>
      </c>
      <c r="I509" s="278"/>
      <c r="J509" s="329" t="s">
        <v>133</v>
      </c>
    </row>
    <row r="510" spans="1:10" ht="17.25">
      <c r="A510">
        <v>509</v>
      </c>
      <c r="B510" s="237">
        <f t="shared" si="8"/>
        <v>19100</v>
      </c>
      <c r="C510" s="290" t="s">
        <v>22</v>
      </c>
      <c r="D510" s="290">
        <v>19100</v>
      </c>
      <c r="E510" s="290" t="s">
        <v>19</v>
      </c>
      <c r="F510" s="290" t="s">
        <v>10</v>
      </c>
      <c r="G510" s="290" t="s">
        <v>23</v>
      </c>
      <c r="H510" s="335" t="s">
        <v>91</v>
      </c>
      <c r="I510" s="292"/>
      <c r="J510" s="336" t="s">
        <v>92</v>
      </c>
    </row>
    <row r="511" spans="1:10" ht="17.25">
      <c r="A511">
        <v>510</v>
      </c>
      <c r="B511" s="237">
        <f t="shared" si="8"/>
        <v>19117</v>
      </c>
      <c r="C511" s="337" t="s">
        <v>22</v>
      </c>
      <c r="D511" s="337">
        <v>19117</v>
      </c>
      <c r="E511" s="337" t="s">
        <v>19</v>
      </c>
      <c r="F511" s="337" t="s">
        <v>10</v>
      </c>
      <c r="G511" s="337" t="s">
        <v>29</v>
      </c>
      <c r="H511" s="338" t="s">
        <v>91</v>
      </c>
      <c r="I511" s="292"/>
      <c r="J511" s="339" t="s">
        <v>24</v>
      </c>
    </row>
    <row r="512" spans="1:10" ht="17.25">
      <c r="A512">
        <v>511</v>
      </c>
      <c r="B512" s="237">
        <f t="shared" si="8"/>
        <v>19118</v>
      </c>
      <c r="C512" s="290" t="s">
        <v>22</v>
      </c>
      <c r="D512" s="290">
        <v>19118</v>
      </c>
      <c r="E512" s="290" t="s">
        <v>19</v>
      </c>
      <c r="F512" s="290" t="s">
        <v>10</v>
      </c>
      <c r="G512" s="290" t="s">
        <v>29</v>
      </c>
      <c r="H512" s="335" t="s">
        <v>91</v>
      </c>
      <c r="I512" s="292"/>
      <c r="J512" s="340" t="s">
        <v>25</v>
      </c>
    </row>
    <row r="513" spans="1:10" ht="17.25">
      <c r="A513">
        <v>512</v>
      </c>
      <c r="B513" s="237">
        <f t="shared" si="8"/>
        <v>50146</v>
      </c>
      <c r="C513" s="337" t="s">
        <v>26</v>
      </c>
      <c r="D513" s="337">
        <v>50146</v>
      </c>
      <c r="E513" s="337" t="s">
        <v>19</v>
      </c>
      <c r="F513" s="337" t="s">
        <v>10</v>
      </c>
      <c r="G513" s="337" t="s">
        <v>28</v>
      </c>
      <c r="H513" s="338" t="s">
        <v>778</v>
      </c>
      <c r="I513" s="292"/>
      <c r="J513" s="339" t="s">
        <v>788</v>
      </c>
    </row>
    <row r="514" spans="1:10" ht="17.25">
      <c r="A514">
        <v>513</v>
      </c>
      <c r="B514" s="237">
        <f t="shared" si="8"/>
        <v>74067</v>
      </c>
      <c r="C514" s="290" t="s">
        <v>26</v>
      </c>
      <c r="D514" s="290">
        <v>74067</v>
      </c>
      <c r="E514" s="290" t="s">
        <v>19</v>
      </c>
      <c r="F514" s="290" t="s">
        <v>10</v>
      </c>
      <c r="G514" s="290" t="s">
        <v>27</v>
      </c>
      <c r="H514" s="335" t="s">
        <v>91</v>
      </c>
      <c r="I514" s="292"/>
      <c r="J514" s="340" t="s">
        <v>93</v>
      </c>
    </row>
    <row r="515" spans="1:10" ht="17.25">
      <c r="A515">
        <v>514</v>
      </c>
      <c r="B515" s="237">
        <f t="shared" si="8"/>
        <v>74088</v>
      </c>
      <c r="C515" s="337" t="s">
        <v>26</v>
      </c>
      <c r="D515" s="337">
        <v>74088</v>
      </c>
      <c r="E515" s="337" t="s">
        <v>19</v>
      </c>
      <c r="F515" s="337" t="s">
        <v>10</v>
      </c>
      <c r="G515" s="337" t="s">
        <v>27</v>
      </c>
      <c r="H515" s="338" t="s">
        <v>778</v>
      </c>
      <c r="I515" s="292"/>
      <c r="J515" s="339" t="s">
        <v>797</v>
      </c>
    </row>
    <row r="516" spans="1:10" ht="17.25">
      <c r="A516">
        <v>515</v>
      </c>
      <c r="B516" s="237">
        <f t="shared" si="8"/>
        <v>0</v>
      </c>
      <c r="C516" s="290" t="s">
        <v>22</v>
      </c>
      <c r="D516" s="290"/>
      <c r="E516" s="290" t="s">
        <v>19</v>
      </c>
      <c r="F516" s="290" t="s">
        <v>10</v>
      </c>
      <c r="G516" s="290"/>
      <c r="H516" s="335" t="s">
        <v>778</v>
      </c>
      <c r="I516" s="292"/>
      <c r="J516" s="340" t="s">
        <v>779</v>
      </c>
    </row>
    <row r="517" spans="1:10" ht="17.25">
      <c r="A517">
        <v>516</v>
      </c>
      <c r="B517" s="237">
        <f t="shared" si="8"/>
        <v>0</v>
      </c>
      <c r="C517" s="290" t="s">
        <v>26</v>
      </c>
      <c r="D517" s="290"/>
      <c r="E517" s="290" t="s">
        <v>19</v>
      </c>
      <c r="F517" s="290" t="s">
        <v>10</v>
      </c>
      <c r="G517" s="290"/>
      <c r="H517" s="335" t="s">
        <v>778</v>
      </c>
      <c r="I517" s="292"/>
      <c r="J517" s="340" t="s">
        <v>780</v>
      </c>
    </row>
    <row r="518" spans="1:10" ht="17.25">
      <c r="A518">
        <v>517</v>
      </c>
      <c r="B518" s="237">
        <f t="shared" si="8"/>
        <v>161130</v>
      </c>
      <c r="C518" s="302" t="s">
        <v>113</v>
      </c>
      <c r="D518" s="341">
        <v>161130</v>
      </c>
      <c r="E518" s="341" t="s">
        <v>815</v>
      </c>
      <c r="F518" s="302" t="s">
        <v>10</v>
      </c>
      <c r="G518" s="341" t="s">
        <v>27</v>
      </c>
      <c r="H518" s="342" t="s">
        <v>1306</v>
      </c>
      <c r="I518" s="304"/>
      <c r="J518" s="304" t="s">
        <v>1307</v>
      </c>
    </row>
    <row r="519" spans="1:10" ht="17.25">
      <c r="A519">
        <v>518</v>
      </c>
      <c r="B519" s="237">
        <f t="shared" ref="B519:B552" si="9">D519</f>
        <v>162013</v>
      </c>
      <c r="C519" s="302" t="s">
        <v>113</v>
      </c>
      <c r="D519" s="302">
        <v>162013</v>
      </c>
      <c r="E519" s="302" t="s">
        <v>19</v>
      </c>
      <c r="F519" s="302" t="s">
        <v>10</v>
      </c>
      <c r="G519" s="302" t="s">
        <v>84</v>
      </c>
      <c r="H519" s="342" t="s">
        <v>114</v>
      </c>
      <c r="I519" s="304"/>
      <c r="J519" s="342" t="s">
        <v>115</v>
      </c>
    </row>
    <row r="520" spans="1:10" ht="17.25">
      <c r="A520">
        <v>519</v>
      </c>
      <c r="B520" s="237">
        <f t="shared" si="9"/>
        <v>162014</v>
      </c>
      <c r="C520" s="302" t="s">
        <v>113</v>
      </c>
      <c r="D520" s="302">
        <v>162014</v>
      </c>
      <c r="E520" s="302" t="s">
        <v>19</v>
      </c>
      <c r="F520" s="302" t="s">
        <v>10</v>
      </c>
      <c r="G520" s="302" t="s">
        <v>84</v>
      </c>
      <c r="H520" s="342" t="s">
        <v>114</v>
      </c>
      <c r="I520" s="304"/>
      <c r="J520" s="342" t="s">
        <v>116</v>
      </c>
    </row>
    <row r="521" spans="1:10" ht="17.25">
      <c r="A521">
        <v>520</v>
      </c>
      <c r="B521" s="237">
        <f t="shared" si="9"/>
        <v>162017</v>
      </c>
      <c r="C521" s="343" t="s">
        <v>113</v>
      </c>
      <c r="D521" s="343">
        <v>162017</v>
      </c>
      <c r="E521" s="343" t="s">
        <v>19</v>
      </c>
      <c r="F521" s="343" t="s">
        <v>10</v>
      </c>
      <c r="G521" s="343" t="s">
        <v>84</v>
      </c>
      <c r="H521" s="344" t="s">
        <v>114</v>
      </c>
      <c r="I521" s="304"/>
      <c r="J521" s="345" t="s">
        <v>117</v>
      </c>
    </row>
    <row r="522" spans="1:10" ht="17.25">
      <c r="A522">
        <v>521</v>
      </c>
      <c r="B522" s="237">
        <f t="shared" si="9"/>
        <v>162021</v>
      </c>
      <c r="C522" s="302" t="s">
        <v>113</v>
      </c>
      <c r="D522" s="302">
        <v>162021</v>
      </c>
      <c r="E522" s="302" t="s">
        <v>19</v>
      </c>
      <c r="F522" s="302" t="s">
        <v>10</v>
      </c>
      <c r="G522" s="346" t="s">
        <v>84</v>
      </c>
      <c r="H522" s="342" t="s">
        <v>114</v>
      </c>
      <c r="I522" s="304"/>
      <c r="J522" s="304" t="s">
        <v>118</v>
      </c>
    </row>
    <row r="523" spans="1:10" ht="17.25">
      <c r="A523">
        <v>522</v>
      </c>
      <c r="B523" s="237">
        <f t="shared" si="9"/>
        <v>162023</v>
      </c>
      <c r="C523" s="343" t="s">
        <v>113</v>
      </c>
      <c r="D523" s="343">
        <v>162023</v>
      </c>
      <c r="E523" s="343" t="s">
        <v>19</v>
      </c>
      <c r="F523" s="343" t="s">
        <v>10</v>
      </c>
      <c r="G523" s="347" t="s">
        <v>83</v>
      </c>
      <c r="H523" s="344" t="s">
        <v>114</v>
      </c>
      <c r="I523" s="304"/>
      <c r="J523" s="348" t="s">
        <v>119</v>
      </c>
    </row>
    <row r="524" spans="1:10" ht="17.25">
      <c r="A524">
        <v>523</v>
      </c>
      <c r="B524" s="237">
        <f t="shared" si="9"/>
        <v>162026</v>
      </c>
      <c r="C524" s="302" t="s">
        <v>113</v>
      </c>
      <c r="D524" s="302">
        <v>162026</v>
      </c>
      <c r="E524" s="302" t="s">
        <v>19</v>
      </c>
      <c r="F524" s="302" t="s">
        <v>10</v>
      </c>
      <c r="G524" s="346" t="s">
        <v>83</v>
      </c>
      <c r="H524" s="342" t="s">
        <v>114</v>
      </c>
      <c r="I524" s="304"/>
      <c r="J524" s="304" t="s">
        <v>120</v>
      </c>
    </row>
    <row r="525" spans="1:10" ht="17.25">
      <c r="A525">
        <v>524</v>
      </c>
      <c r="B525" s="237">
        <f t="shared" si="9"/>
        <v>302012</v>
      </c>
      <c r="C525" s="302" t="s">
        <v>113</v>
      </c>
      <c r="D525" s="302">
        <v>302012</v>
      </c>
      <c r="E525" s="302" t="s">
        <v>19</v>
      </c>
      <c r="F525" s="302" t="s">
        <v>10</v>
      </c>
      <c r="G525" s="302" t="s">
        <v>84</v>
      </c>
      <c r="H525" s="342" t="s">
        <v>121</v>
      </c>
      <c r="I525" s="304"/>
      <c r="J525" s="305" t="s">
        <v>122</v>
      </c>
    </row>
    <row r="526" spans="1:10" ht="17.25">
      <c r="A526">
        <v>525</v>
      </c>
      <c r="B526" s="237">
        <f t="shared" si="9"/>
        <v>302033</v>
      </c>
      <c r="C526" s="343" t="s">
        <v>113</v>
      </c>
      <c r="D526" s="349">
        <v>302033</v>
      </c>
      <c r="E526" s="349" t="s">
        <v>19</v>
      </c>
      <c r="F526" s="343" t="s">
        <v>10</v>
      </c>
      <c r="G526" s="349" t="s">
        <v>73</v>
      </c>
      <c r="H526" s="344" t="s">
        <v>1388</v>
      </c>
      <c r="I526" s="304"/>
      <c r="J526" s="348" t="s">
        <v>1628</v>
      </c>
    </row>
    <row r="527" spans="1:10" ht="17.25">
      <c r="A527">
        <v>526</v>
      </c>
      <c r="B527" s="237">
        <f t="shared" si="9"/>
        <v>402012</v>
      </c>
      <c r="C527" s="343" t="s">
        <v>113</v>
      </c>
      <c r="D527" s="343">
        <v>402012</v>
      </c>
      <c r="E527" s="343" t="s">
        <v>19</v>
      </c>
      <c r="F527" s="343" t="s">
        <v>10</v>
      </c>
      <c r="G527" s="343" t="s">
        <v>84</v>
      </c>
      <c r="H527" s="344" t="s">
        <v>123</v>
      </c>
      <c r="I527" s="304"/>
      <c r="J527" s="344" t="s">
        <v>124</v>
      </c>
    </row>
    <row r="528" spans="1:10" ht="17.25">
      <c r="A528">
        <v>527</v>
      </c>
      <c r="B528" s="237">
        <f t="shared" si="9"/>
        <v>402021</v>
      </c>
      <c r="C528" s="343" t="s">
        <v>113</v>
      </c>
      <c r="D528" s="349">
        <v>402021</v>
      </c>
      <c r="E528" s="349" t="s">
        <v>19</v>
      </c>
      <c r="F528" s="343" t="s">
        <v>10</v>
      </c>
      <c r="G528" s="349" t="s">
        <v>11</v>
      </c>
      <c r="H528" s="344" t="s">
        <v>1589</v>
      </c>
      <c r="I528" s="304"/>
      <c r="J528" s="348" t="s">
        <v>1627</v>
      </c>
    </row>
    <row r="529" spans="1:10" ht="17.25">
      <c r="A529">
        <v>528</v>
      </c>
      <c r="B529" s="237">
        <f t="shared" si="9"/>
        <v>402023</v>
      </c>
      <c r="C529" s="343" t="s">
        <v>113</v>
      </c>
      <c r="D529" s="343">
        <v>402023</v>
      </c>
      <c r="E529" s="343" t="s">
        <v>19</v>
      </c>
      <c r="F529" s="343" t="s">
        <v>10</v>
      </c>
      <c r="G529" s="343" t="s">
        <v>125</v>
      </c>
      <c r="H529" s="344" t="s">
        <v>1589</v>
      </c>
      <c r="I529" s="304"/>
      <c r="J529" s="345" t="s">
        <v>1623</v>
      </c>
    </row>
    <row r="530" spans="1:10" ht="17.25">
      <c r="A530">
        <v>529</v>
      </c>
      <c r="B530" s="237">
        <f t="shared" si="9"/>
        <v>402026</v>
      </c>
      <c r="C530" s="302" t="s">
        <v>113</v>
      </c>
      <c r="D530" s="341">
        <v>402026</v>
      </c>
      <c r="E530" s="341" t="s">
        <v>19</v>
      </c>
      <c r="F530" s="302" t="s">
        <v>10</v>
      </c>
      <c r="G530" s="341" t="s">
        <v>73</v>
      </c>
      <c r="H530" s="342" t="s">
        <v>1388</v>
      </c>
      <c r="I530" s="304"/>
      <c r="J530" s="304" t="s">
        <v>1394</v>
      </c>
    </row>
    <row r="531" spans="1:10" ht="17.25">
      <c r="A531">
        <v>530</v>
      </c>
      <c r="B531" s="237">
        <f t="shared" si="9"/>
        <v>402028</v>
      </c>
      <c r="C531" s="302" t="s">
        <v>113</v>
      </c>
      <c r="D531" s="302">
        <v>402028</v>
      </c>
      <c r="E531" s="302" t="s">
        <v>19</v>
      </c>
      <c r="F531" s="302" t="s">
        <v>10</v>
      </c>
      <c r="G531" s="346" t="s">
        <v>125</v>
      </c>
      <c r="H531" s="342" t="s">
        <v>123</v>
      </c>
      <c r="I531" s="304"/>
      <c r="J531" s="304" t="s">
        <v>128</v>
      </c>
    </row>
    <row r="532" spans="1:10" ht="17.25">
      <c r="A532">
        <v>531</v>
      </c>
      <c r="B532" s="237">
        <f t="shared" si="9"/>
        <v>402029</v>
      </c>
      <c r="C532" s="302" t="s">
        <v>113</v>
      </c>
      <c r="D532" s="302">
        <v>402029</v>
      </c>
      <c r="E532" s="302" t="s">
        <v>19</v>
      </c>
      <c r="F532" s="302" t="s">
        <v>10</v>
      </c>
      <c r="G532" s="346" t="s">
        <v>125</v>
      </c>
      <c r="H532" s="342" t="s">
        <v>123</v>
      </c>
      <c r="I532" s="304"/>
      <c r="J532" s="304" t="s">
        <v>126</v>
      </c>
    </row>
    <row r="533" spans="1:10" ht="17.25">
      <c r="A533">
        <v>532</v>
      </c>
      <c r="B533" s="237">
        <f t="shared" si="9"/>
        <v>402033</v>
      </c>
      <c r="C533" s="343" t="s">
        <v>113</v>
      </c>
      <c r="D533" s="349">
        <v>402033</v>
      </c>
      <c r="E533" s="349" t="s">
        <v>19</v>
      </c>
      <c r="F533" s="343" t="s">
        <v>10</v>
      </c>
      <c r="G533" s="349" t="s">
        <v>11</v>
      </c>
      <c r="H533" s="344" t="s">
        <v>123</v>
      </c>
      <c r="I533" s="304"/>
      <c r="J533" s="348" t="s">
        <v>1626</v>
      </c>
    </row>
    <row r="534" spans="1:10" ht="17.25">
      <c r="A534">
        <v>533</v>
      </c>
      <c r="B534" s="237">
        <f t="shared" si="9"/>
        <v>402035</v>
      </c>
      <c r="C534" s="302" t="s">
        <v>113</v>
      </c>
      <c r="D534" s="341">
        <v>402035</v>
      </c>
      <c r="E534" s="341" t="s">
        <v>19</v>
      </c>
      <c r="F534" s="302" t="s">
        <v>10</v>
      </c>
      <c r="G534" s="341" t="s">
        <v>125</v>
      </c>
      <c r="H534" s="342" t="s">
        <v>123</v>
      </c>
      <c r="I534" s="304"/>
      <c r="J534" s="305" t="s">
        <v>129</v>
      </c>
    </row>
    <row r="535" spans="1:10" ht="17.25">
      <c r="A535">
        <v>534</v>
      </c>
      <c r="B535" s="237">
        <f t="shared" si="9"/>
        <v>402036</v>
      </c>
      <c r="C535" s="343" t="s">
        <v>113</v>
      </c>
      <c r="D535" s="343">
        <v>402036</v>
      </c>
      <c r="E535" s="343" t="s">
        <v>19</v>
      </c>
      <c r="F535" s="343" t="s">
        <v>10</v>
      </c>
      <c r="G535" s="347" t="s">
        <v>125</v>
      </c>
      <c r="H535" s="344" t="s">
        <v>1589</v>
      </c>
      <c r="I535" s="304"/>
      <c r="J535" s="348" t="s">
        <v>1624</v>
      </c>
    </row>
    <row r="536" spans="1:10" ht="17.25">
      <c r="A536">
        <v>535</v>
      </c>
      <c r="B536" s="237">
        <f t="shared" si="9"/>
        <v>402037</v>
      </c>
      <c r="C536" s="343" t="s">
        <v>113</v>
      </c>
      <c r="D536" s="343">
        <v>402037</v>
      </c>
      <c r="E536" s="343" t="s">
        <v>19</v>
      </c>
      <c r="F536" s="343" t="s">
        <v>10</v>
      </c>
      <c r="G536" s="347" t="s">
        <v>125</v>
      </c>
      <c r="H536" s="344" t="s">
        <v>1589</v>
      </c>
      <c r="I536" s="304"/>
      <c r="J536" s="348" t="s">
        <v>1625</v>
      </c>
    </row>
    <row r="537" spans="1:10" ht="17.25">
      <c r="A537">
        <v>536</v>
      </c>
      <c r="B537" s="237">
        <f t="shared" si="9"/>
        <v>402046</v>
      </c>
      <c r="C537" s="302" t="s">
        <v>113</v>
      </c>
      <c r="D537" s="302">
        <v>402046</v>
      </c>
      <c r="E537" s="302" t="s">
        <v>19</v>
      </c>
      <c r="F537" s="302" t="s">
        <v>10</v>
      </c>
      <c r="G537" s="346" t="s">
        <v>125</v>
      </c>
      <c r="H537" s="342" t="s">
        <v>123</v>
      </c>
      <c r="I537" s="304"/>
      <c r="J537" s="304" t="s">
        <v>127</v>
      </c>
    </row>
    <row r="538" spans="1:10" ht="17.25">
      <c r="A538">
        <v>537</v>
      </c>
      <c r="B538" s="237">
        <f t="shared" si="9"/>
        <v>402054</v>
      </c>
      <c r="C538" s="302" t="s">
        <v>113</v>
      </c>
      <c r="D538" s="341">
        <v>402054</v>
      </c>
      <c r="E538" s="341" t="s">
        <v>19</v>
      </c>
      <c r="F538" s="302" t="s">
        <v>10</v>
      </c>
      <c r="G538" s="341" t="s">
        <v>125</v>
      </c>
      <c r="H538" s="342" t="s">
        <v>123</v>
      </c>
      <c r="I538" s="304"/>
      <c r="J538" s="304" t="s">
        <v>130</v>
      </c>
    </row>
    <row r="539" spans="1:10" ht="34.5">
      <c r="A539">
        <v>538</v>
      </c>
      <c r="B539" s="237">
        <f t="shared" si="9"/>
        <v>1390</v>
      </c>
      <c r="C539" s="246" t="s">
        <v>94</v>
      </c>
      <c r="D539" s="246">
        <v>1390</v>
      </c>
      <c r="E539" s="246" t="s">
        <v>19</v>
      </c>
      <c r="F539" s="249"/>
      <c r="G539" s="246" t="s">
        <v>58</v>
      </c>
      <c r="H539" s="350" t="s">
        <v>1615</v>
      </c>
      <c r="I539" s="249"/>
      <c r="J539" s="255" t="s">
        <v>1612</v>
      </c>
    </row>
    <row r="540" spans="1:10" ht="34.5">
      <c r="A540">
        <v>539</v>
      </c>
      <c r="B540" s="237">
        <f t="shared" si="9"/>
        <v>1391</v>
      </c>
      <c r="C540" s="246" t="s">
        <v>94</v>
      </c>
      <c r="D540" s="246">
        <v>1391</v>
      </c>
      <c r="E540" s="246" t="s">
        <v>19</v>
      </c>
      <c r="F540" s="249"/>
      <c r="G540" s="246" t="s">
        <v>58</v>
      </c>
      <c r="H540" s="350" t="s">
        <v>1614</v>
      </c>
      <c r="I540" s="249"/>
      <c r="J540" s="255" t="s">
        <v>1613</v>
      </c>
    </row>
    <row r="541" spans="1:10" ht="17.25">
      <c r="A541">
        <v>540</v>
      </c>
      <c r="B541" s="237" t="str">
        <f t="shared" si="9"/>
        <v>D9394</v>
      </c>
      <c r="C541" s="246" t="s">
        <v>94</v>
      </c>
      <c r="D541" s="246" t="s">
        <v>1315</v>
      </c>
      <c r="E541" s="246"/>
      <c r="F541" s="249"/>
      <c r="G541" s="246" t="s">
        <v>27</v>
      </c>
      <c r="H541" s="350" t="s">
        <v>231</v>
      </c>
      <c r="I541" s="249"/>
      <c r="J541" s="255" t="s">
        <v>1313</v>
      </c>
    </row>
    <row r="542" spans="1:10" ht="17.25">
      <c r="A542">
        <v>541</v>
      </c>
      <c r="B542" s="237" t="str">
        <f t="shared" si="9"/>
        <v>DD41</v>
      </c>
      <c r="C542" s="246" t="s">
        <v>94</v>
      </c>
      <c r="D542" s="246" t="s">
        <v>95</v>
      </c>
      <c r="E542" s="246"/>
      <c r="F542" s="249"/>
      <c r="G542" s="246" t="s">
        <v>27</v>
      </c>
      <c r="H542" s="350" t="s">
        <v>231</v>
      </c>
      <c r="I542" s="249"/>
      <c r="J542" s="255" t="s">
        <v>96</v>
      </c>
    </row>
    <row r="543" spans="1:10" ht="17.25">
      <c r="A543">
        <v>542</v>
      </c>
      <c r="B543" s="237" t="str">
        <f t="shared" si="9"/>
        <v>DD97</v>
      </c>
      <c r="C543" s="246" t="s">
        <v>94</v>
      </c>
      <c r="D543" s="246" t="s">
        <v>98</v>
      </c>
      <c r="E543" s="246"/>
      <c r="F543" s="249"/>
      <c r="G543" s="246" t="s">
        <v>28</v>
      </c>
      <c r="H543" s="350" t="s">
        <v>231</v>
      </c>
      <c r="I543" s="249"/>
      <c r="J543" s="351" t="s">
        <v>99</v>
      </c>
    </row>
    <row r="544" spans="1:10" ht="17.25">
      <c r="A544">
        <v>543</v>
      </c>
      <c r="B544" s="237" t="str">
        <f t="shared" si="9"/>
        <v>M050</v>
      </c>
      <c r="C544" s="246" t="s">
        <v>94</v>
      </c>
      <c r="D544" s="246" t="s">
        <v>101</v>
      </c>
      <c r="E544" s="246"/>
      <c r="F544" s="249"/>
      <c r="G544" s="246" t="s">
        <v>31</v>
      </c>
      <c r="H544" s="255" t="s">
        <v>102</v>
      </c>
      <c r="I544" s="249"/>
      <c r="J544" s="255" t="s">
        <v>103</v>
      </c>
    </row>
    <row r="545" spans="1:10" ht="17.25">
      <c r="A545">
        <v>544</v>
      </c>
      <c r="B545" s="237" t="str">
        <f t="shared" si="9"/>
        <v>M051</v>
      </c>
      <c r="C545" s="241" t="s">
        <v>94</v>
      </c>
      <c r="D545" s="241" t="s">
        <v>105</v>
      </c>
      <c r="E545" s="241" t="s">
        <v>33</v>
      </c>
      <c r="F545" s="249"/>
      <c r="G545" s="241" t="s">
        <v>31</v>
      </c>
      <c r="H545" s="256" t="s">
        <v>1565</v>
      </c>
      <c r="I545" s="249"/>
      <c r="J545" s="256" t="s">
        <v>1568</v>
      </c>
    </row>
    <row r="546" spans="1:10" ht="17.25">
      <c r="A546">
        <v>545</v>
      </c>
      <c r="B546" s="237" t="str">
        <f t="shared" si="9"/>
        <v>M070</v>
      </c>
      <c r="C546" s="246" t="s">
        <v>94</v>
      </c>
      <c r="D546" s="246" t="s">
        <v>106</v>
      </c>
      <c r="E546" s="246"/>
      <c r="F546" s="249"/>
      <c r="G546" s="246" t="s">
        <v>31</v>
      </c>
      <c r="H546" s="255" t="s">
        <v>102</v>
      </c>
      <c r="I546" s="249"/>
      <c r="J546" s="255" t="s">
        <v>107</v>
      </c>
    </row>
    <row r="547" spans="1:10" ht="17.25">
      <c r="A547">
        <v>546</v>
      </c>
      <c r="B547" s="237" t="str">
        <f t="shared" si="9"/>
        <v>M240</v>
      </c>
      <c r="C547" s="246" t="s">
        <v>94</v>
      </c>
      <c r="D547" s="246" t="s">
        <v>108</v>
      </c>
      <c r="E547" s="246"/>
      <c r="F547" s="249"/>
      <c r="G547" s="246" t="s">
        <v>27</v>
      </c>
      <c r="H547" s="350" t="s">
        <v>231</v>
      </c>
      <c r="I547" s="249"/>
      <c r="J547" s="255" t="s">
        <v>109</v>
      </c>
    </row>
    <row r="548" spans="1:10" ht="17.25">
      <c r="A548">
        <v>547</v>
      </c>
      <c r="B548" s="237" t="str">
        <f t="shared" si="9"/>
        <v>M241</v>
      </c>
      <c r="C548" s="241" t="s">
        <v>94</v>
      </c>
      <c r="D548" s="241" t="s">
        <v>111</v>
      </c>
      <c r="E548" s="241" t="s">
        <v>33</v>
      </c>
      <c r="F548" s="249"/>
      <c r="G548" s="241" t="s">
        <v>27</v>
      </c>
      <c r="H548" s="352" t="s">
        <v>1563</v>
      </c>
      <c r="I548" s="249"/>
      <c r="J548" s="256" t="s">
        <v>112</v>
      </c>
    </row>
    <row r="549" spans="1:10" ht="17.25">
      <c r="A549">
        <v>548</v>
      </c>
      <c r="B549" s="237" t="str">
        <f t="shared" si="9"/>
        <v>M280</v>
      </c>
      <c r="C549" s="246" t="s">
        <v>94</v>
      </c>
      <c r="D549" s="246" t="s">
        <v>827</v>
      </c>
      <c r="E549" s="246"/>
      <c r="F549" s="249"/>
      <c r="G549" s="246" t="s">
        <v>28</v>
      </c>
      <c r="H549" s="350" t="s">
        <v>817</v>
      </c>
      <c r="I549" s="249"/>
      <c r="J549" s="255" t="s">
        <v>818</v>
      </c>
    </row>
    <row r="550" spans="1:10" ht="17.25">
      <c r="A550">
        <v>549</v>
      </c>
      <c r="B550" s="237" t="str">
        <f t="shared" si="9"/>
        <v>MM20</v>
      </c>
      <c r="C550" s="241" t="s">
        <v>94</v>
      </c>
      <c r="D550" s="241" t="s">
        <v>822</v>
      </c>
      <c r="E550" s="241" t="s">
        <v>33</v>
      </c>
      <c r="F550" s="249"/>
      <c r="G550" s="241" t="s">
        <v>28</v>
      </c>
      <c r="H550" s="352" t="s">
        <v>1564</v>
      </c>
      <c r="I550" s="249"/>
      <c r="J550" s="256" t="s">
        <v>820</v>
      </c>
    </row>
    <row r="551" spans="1:10" ht="17.25">
      <c r="A551">
        <v>550</v>
      </c>
      <c r="B551" s="237" t="str">
        <f t="shared" si="9"/>
        <v>MM50</v>
      </c>
      <c r="C551" s="241" t="s">
        <v>94</v>
      </c>
      <c r="D551" s="241" t="s">
        <v>553</v>
      </c>
      <c r="E551" s="241" t="s">
        <v>19</v>
      </c>
      <c r="F551" s="249"/>
      <c r="G551" s="241" t="s">
        <v>28</v>
      </c>
      <c r="H551" s="352" t="s">
        <v>1564</v>
      </c>
      <c r="I551" s="249"/>
      <c r="J551" s="256" t="s">
        <v>825</v>
      </c>
    </row>
    <row r="552" spans="1:10" ht="17.25">
      <c r="A552">
        <v>551</v>
      </c>
      <c r="B552" s="237" t="str">
        <f t="shared" si="9"/>
        <v>MM82</v>
      </c>
      <c r="C552" s="241" t="s">
        <v>94</v>
      </c>
      <c r="D552" s="241" t="s">
        <v>555</v>
      </c>
      <c r="E552" s="241" t="s">
        <v>19</v>
      </c>
      <c r="F552" s="249"/>
      <c r="G552" s="241" t="s">
        <v>28</v>
      </c>
      <c r="H552" s="352" t="s">
        <v>1564</v>
      </c>
      <c r="I552" s="249"/>
      <c r="J552" s="256" t="s">
        <v>826</v>
      </c>
    </row>
  </sheetData>
  <sortState xmlns:xlrd2="http://schemas.microsoft.com/office/spreadsheetml/2017/richdata2" ref="C2:J552">
    <sortCondition ref="C2:C552"/>
    <sortCondition ref="D2:D552"/>
    <sortCondition descending="1" ref="E2:E552"/>
  </sortState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5"/>
  <dimension ref="A1:J1205"/>
  <sheetViews>
    <sheetView tabSelected="1" topLeftCell="A1191" zoomScale="115" zoomScaleNormal="115" workbookViewId="0">
      <selection activeCell="B1206" sqref="B1206"/>
    </sheetView>
  </sheetViews>
  <sheetFormatPr defaultRowHeight="16.5"/>
  <cols>
    <col min="1" max="1" width="20" bestFit="1" customWidth="1"/>
    <col min="3" max="3" width="15.125" bestFit="1" customWidth="1"/>
    <col min="4" max="4" width="11.25" style="237" customWidth="1"/>
    <col min="8" max="8" width="15.625" bestFit="1" customWidth="1"/>
    <col min="10" max="10" width="21" bestFit="1" customWidth="1"/>
  </cols>
  <sheetData>
    <row r="1" spans="1:4" ht="18" thickBot="1">
      <c r="A1" s="70" t="s">
        <v>0</v>
      </c>
      <c r="B1" s="71" t="s">
        <v>1</v>
      </c>
      <c r="C1" s="72" t="s">
        <v>3</v>
      </c>
      <c r="D1" s="498"/>
    </row>
    <row r="2" spans="1:4">
      <c r="A2" s="69" t="s">
        <v>559</v>
      </c>
      <c r="B2" s="61">
        <v>28019</v>
      </c>
      <c r="C2" s="61" t="s">
        <v>175</v>
      </c>
      <c r="D2" s="499"/>
    </row>
    <row r="3" spans="1:4">
      <c r="A3" s="65" t="s">
        <v>559</v>
      </c>
      <c r="B3" s="35">
        <v>28024</v>
      </c>
      <c r="C3" s="35" t="s">
        <v>28</v>
      </c>
      <c r="D3" s="499"/>
    </row>
    <row r="4" spans="1:4">
      <c r="A4" s="65" t="s">
        <v>559</v>
      </c>
      <c r="B4" s="35">
        <v>28025</v>
      </c>
      <c r="C4" s="35" t="s">
        <v>28</v>
      </c>
      <c r="D4" s="499"/>
    </row>
    <row r="5" spans="1:4">
      <c r="A5" s="65" t="s">
        <v>559</v>
      </c>
      <c r="B5" s="35">
        <v>28032</v>
      </c>
      <c r="C5" s="35" t="s">
        <v>28</v>
      </c>
      <c r="D5" s="499"/>
    </row>
    <row r="6" spans="1:4">
      <c r="A6" s="65" t="s">
        <v>559</v>
      </c>
      <c r="B6" s="35">
        <v>28036</v>
      </c>
      <c r="C6" s="35" t="s">
        <v>28</v>
      </c>
      <c r="D6" s="499"/>
    </row>
    <row r="7" spans="1:4">
      <c r="A7" s="65" t="s">
        <v>559</v>
      </c>
      <c r="B7" s="35">
        <v>28041</v>
      </c>
      <c r="C7" s="35" t="s">
        <v>28</v>
      </c>
      <c r="D7" s="499"/>
    </row>
    <row r="8" spans="1:4">
      <c r="A8" s="65" t="s">
        <v>559</v>
      </c>
      <c r="B8" s="35">
        <v>66301</v>
      </c>
      <c r="C8" s="35" t="s">
        <v>28</v>
      </c>
      <c r="D8" s="499"/>
    </row>
    <row r="9" spans="1:4">
      <c r="A9" s="65" t="s">
        <v>559</v>
      </c>
      <c r="B9" s="35">
        <v>66361</v>
      </c>
      <c r="C9" s="35" t="s">
        <v>175</v>
      </c>
      <c r="D9" s="499"/>
    </row>
    <row r="10" spans="1:4">
      <c r="A10" s="65" t="s">
        <v>559</v>
      </c>
      <c r="B10" s="35">
        <v>66381</v>
      </c>
      <c r="C10" s="35" t="s">
        <v>28</v>
      </c>
      <c r="D10" s="499"/>
    </row>
    <row r="11" spans="1:4">
      <c r="A11" s="65" t="s">
        <v>559</v>
      </c>
      <c r="B11" s="35">
        <v>66391</v>
      </c>
      <c r="C11" s="35" t="s">
        <v>28</v>
      </c>
      <c r="D11" s="499"/>
    </row>
    <row r="12" spans="1:4">
      <c r="A12" s="65" t="s">
        <v>559</v>
      </c>
      <c r="B12" s="35">
        <v>66431</v>
      </c>
      <c r="C12" s="35" t="s">
        <v>28</v>
      </c>
      <c r="D12" s="499"/>
    </row>
    <row r="13" spans="1:4">
      <c r="A13" s="65" t="s">
        <v>559</v>
      </c>
      <c r="B13" s="35">
        <v>66441</v>
      </c>
      <c r="C13" s="35" t="s">
        <v>28</v>
      </c>
      <c r="D13" s="499"/>
    </row>
    <row r="14" spans="1:4">
      <c r="A14" s="65" t="s">
        <v>559</v>
      </c>
      <c r="B14" s="35">
        <v>66461</v>
      </c>
      <c r="C14" s="35" t="s">
        <v>29</v>
      </c>
      <c r="D14" s="499"/>
    </row>
    <row r="15" spans="1:4">
      <c r="A15" s="65" t="s">
        <v>559</v>
      </c>
      <c r="B15" s="35">
        <v>66471</v>
      </c>
      <c r="C15" s="35" t="s">
        <v>29</v>
      </c>
      <c r="D15" s="499"/>
    </row>
    <row r="16" spans="1:4">
      <c r="A16" s="65" t="s">
        <v>559</v>
      </c>
      <c r="B16" s="35">
        <v>66481</v>
      </c>
      <c r="C16" s="35" t="s">
        <v>29</v>
      </c>
      <c r="D16" s="499"/>
    </row>
    <row r="17" spans="1:4">
      <c r="A17" s="65" t="s">
        <v>559</v>
      </c>
      <c r="B17" s="35">
        <v>66482</v>
      </c>
      <c r="C17" s="35" t="s">
        <v>29</v>
      </c>
      <c r="D17" s="499"/>
    </row>
    <row r="18" spans="1:4">
      <c r="A18" s="65" t="s">
        <v>559</v>
      </c>
      <c r="B18" s="35">
        <v>66492</v>
      </c>
      <c r="C18" s="35" t="s">
        <v>27</v>
      </c>
      <c r="D18" s="499"/>
    </row>
    <row r="19" spans="1:4">
      <c r="A19" s="65" t="s">
        <v>1368</v>
      </c>
      <c r="B19" s="35">
        <v>17900</v>
      </c>
      <c r="C19" s="35" t="s">
        <v>27</v>
      </c>
      <c r="D19" s="499"/>
    </row>
    <row r="20" spans="1:4">
      <c r="A20" s="65" t="s">
        <v>1368</v>
      </c>
      <c r="B20" s="35">
        <v>18000</v>
      </c>
      <c r="C20" s="35" t="s">
        <v>1369</v>
      </c>
      <c r="D20" s="499"/>
    </row>
    <row r="21" spans="1:4">
      <c r="A21" s="65" t="s">
        <v>1368</v>
      </c>
      <c r="B21" s="35">
        <v>67900</v>
      </c>
      <c r="C21" s="35" t="s">
        <v>165</v>
      </c>
      <c r="D21" s="499"/>
    </row>
    <row r="22" spans="1:4">
      <c r="A22" s="65" t="s">
        <v>572</v>
      </c>
      <c r="B22" s="35">
        <v>67000</v>
      </c>
      <c r="C22" s="35" t="s">
        <v>1836</v>
      </c>
      <c r="D22" s="499"/>
    </row>
    <row r="23" spans="1:4">
      <c r="A23" s="63" t="s">
        <v>572</v>
      </c>
      <c r="B23" s="35">
        <v>15623</v>
      </c>
      <c r="C23" s="35" t="s">
        <v>27</v>
      </c>
      <c r="D23" s="499"/>
    </row>
    <row r="24" spans="1:4">
      <c r="A24" s="63" t="s">
        <v>572</v>
      </c>
      <c r="B24" s="35">
        <v>55914</v>
      </c>
      <c r="C24" s="35" t="s">
        <v>27</v>
      </c>
      <c r="D24" s="499"/>
    </row>
    <row r="25" spans="1:4">
      <c r="A25" s="63" t="s">
        <v>572</v>
      </c>
      <c r="B25" s="35">
        <v>63141</v>
      </c>
      <c r="C25" s="35" t="s">
        <v>165</v>
      </c>
      <c r="D25" s="499"/>
    </row>
    <row r="26" spans="1:4">
      <c r="A26" s="63" t="s">
        <v>572</v>
      </c>
      <c r="B26" s="35">
        <v>63331</v>
      </c>
      <c r="C26" s="35" t="s">
        <v>28</v>
      </c>
      <c r="D26" s="499"/>
    </row>
    <row r="27" spans="1:4">
      <c r="A27" s="63" t="s">
        <v>572</v>
      </c>
      <c r="B27" s="35">
        <v>63380</v>
      </c>
      <c r="C27" s="35" t="s">
        <v>58</v>
      </c>
      <c r="D27" s="499"/>
    </row>
    <row r="28" spans="1:4">
      <c r="A28" s="63" t="s">
        <v>572</v>
      </c>
      <c r="B28" s="35">
        <v>65211</v>
      </c>
      <c r="C28" s="35" t="s">
        <v>58</v>
      </c>
      <c r="D28" s="499"/>
    </row>
    <row r="29" spans="1:4">
      <c r="A29" s="63" t="s">
        <v>572</v>
      </c>
      <c r="B29" s="35">
        <v>65311</v>
      </c>
      <c r="C29" s="35" t="s">
        <v>58</v>
      </c>
      <c r="D29" s="499"/>
    </row>
    <row r="30" spans="1:4">
      <c r="A30" s="63" t="s">
        <v>572</v>
      </c>
      <c r="B30" s="35">
        <v>65650</v>
      </c>
      <c r="C30" s="35" t="s">
        <v>27</v>
      </c>
      <c r="D30" s="499"/>
    </row>
    <row r="31" spans="1:4">
      <c r="A31" s="63" t="s">
        <v>572</v>
      </c>
      <c r="B31" s="35">
        <v>65680</v>
      </c>
      <c r="C31" s="35" t="s">
        <v>27</v>
      </c>
      <c r="D31" s="499"/>
    </row>
    <row r="32" spans="1:4">
      <c r="A32" s="63" t="s">
        <v>572</v>
      </c>
      <c r="B32" s="35">
        <v>65681</v>
      </c>
      <c r="C32" s="35" t="s">
        <v>27</v>
      </c>
      <c r="D32" s="499"/>
    </row>
    <row r="33" spans="1:4">
      <c r="A33" s="63" t="s">
        <v>572</v>
      </c>
      <c r="B33" s="35">
        <v>66100</v>
      </c>
      <c r="C33" s="35" t="s">
        <v>27</v>
      </c>
      <c r="D33" s="499"/>
    </row>
    <row r="34" spans="1:4">
      <c r="A34" s="63" t="s">
        <v>572</v>
      </c>
      <c r="B34" s="35">
        <v>66101</v>
      </c>
      <c r="C34" s="35" t="s">
        <v>27</v>
      </c>
      <c r="D34" s="499"/>
    </row>
    <row r="35" spans="1:4">
      <c r="A35" s="63" t="s">
        <v>572</v>
      </c>
      <c r="B35" s="35">
        <v>66400</v>
      </c>
      <c r="C35" s="35" t="s">
        <v>27</v>
      </c>
      <c r="D35" s="499"/>
    </row>
    <row r="36" spans="1:4">
      <c r="A36" s="63" t="s">
        <v>572</v>
      </c>
      <c r="B36" s="35" t="s">
        <v>571</v>
      </c>
      <c r="C36" s="35" t="s">
        <v>149</v>
      </c>
      <c r="D36" s="499"/>
    </row>
    <row r="37" spans="1:4">
      <c r="A37" s="63" t="s">
        <v>558</v>
      </c>
      <c r="B37" s="35">
        <v>1217</v>
      </c>
      <c r="C37" s="35" t="s">
        <v>29</v>
      </c>
      <c r="D37" s="499"/>
    </row>
    <row r="38" spans="1:4">
      <c r="A38" s="63" t="s">
        <v>558</v>
      </c>
      <c r="B38" s="35">
        <v>1512</v>
      </c>
      <c r="C38" s="35" t="s">
        <v>27</v>
      </c>
      <c r="D38" s="499"/>
    </row>
    <row r="39" spans="1:4">
      <c r="A39" s="63" t="s">
        <v>558</v>
      </c>
      <c r="B39" s="35">
        <v>1513</v>
      </c>
      <c r="C39" s="35" t="s">
        <v>27</v>
      </c>
      <c r="D39" s="499"/>
    </row>
    <row r="40" spans="1:4">
      <c r="A40" s="63" t="s">
        <v>558</v>
      </c>
      <c r="B40" s="35">
        <v>1711</v>
      </c>
      <c r="C40" s="35" t="s">
        <v>29</v>
      </c>
      <c r="D40" s="499"/>
    </row>
    <row r="41" spans="1:4">
      <c r="A41" s="63" t="s">
        <v>558</v>
      </c>
      <c r="B41" s="57">
        <v>1731</v>
      </c>
      <c r="C41" s="35" t="s">
        <v>11</v>
      </c>
      <c r="D41" s="499"/>
    </row>
    <row r="42" spans="1:4">
      <c r="A42" s="63" t="s">
        <v>558</v>
      </c>
      <c r="B42" s="35">
        <v>1800</v>
      </c>
      <c r="C42" s="35" t="s">
        <v>29</v>
      </c>
      <c r="D42" s="499"/>
    </row>
    <row r="43" spans="1:4">
      <c r="A43" s="63" t="s">
        <v>558</v>
      </c>
      <c r="B43" s="35">
        <v>1804</v>
      </c>
      <c r="C43" s="35" t="s">
        <v>27</v>
      </c>
      <c r="D43" s="499"/>
    </row>
    <row r="44" spans="1:4">
      <c r="A44" s="63" t="s">
        <v>558</v>
      </c>
      <c r="B44" s="35">
        <v>1805</v>
      </c>
      <c r="C44" s="35" t="s">
        <v>27</v>
      </c>
      <c r="D44" s="499"/>
    </row>
    <row r="45" spans="1:4">
      <c r="A45" s="63" t="s">
        <v>558</v>
      </c>
      <c r="B45" s="35">
        <v>1810</v>
      </c>
      <c r="C45" s="35" t="s">
        <v>11</v>
      </c>
      <c r="D45" s="499"/>
    </row>
    <row r="46" spans="1:4">
      <c r="A46" s="63" t="s">
        <v>558</v>
      </c>
      <c r="B46" s="35">
        <v>1820</v>
      </c>
      <c r="C46" s="35" t="s">
        <v>11</v>
      </c>
      <c r="D46" s="499"/>
    </row>
    <row r="47" spans="1:4">
      <c r="A47" s="63" t="s">
        <v>558</v>
      </c>
      <c r="B47" s="35">
        <v>1830</v>
      </c>
      <c r="C47" s="35" t="s">
        <v>27</v>
      </c>
      <c r="D47" s="499"/>
    </row>
    <row r="48" spans="1:4">
      <c r="A48" s="63" t="s">
        <v>558</v>
      </c>
      <c r="B48" s="35">
        <v>1831</v>
      </c>
      <c r="C48" s="35" t="s">
        <v>27</v>
      </c>
      <c r="D48" s="499"/>
    </row>
    <row r="49" spans="1:4">
      <c r="A49" s="63" t="s">
        <v>558</v>
      </c>
      <c r="B49" s="35">
        <v>8150</v>
      </c>
      <c r="C49" s="35" t="s">
        <v>11</v>
      </c>
      <c r="D49" s="499"/>
    </row>
    <row r="50" spans="1:4">
      <c r="A50" s="63" t="s">
        <v>558</v>
      </c>
      <c r="B50" s="35">
        <v>8155</v>
      </c>
      <c r="C50" s="35" t="s">
        <v>11</v>
      </c>
      <c r="D50" s="499"/>
    </row>
    <row r="51" spans="1:4">
      <c r="A51" s="63" t="s">
        <v>558</v>
      </c>
      <c r="B51" s="35">
        <v>8164</v>
      </c>
      <c r="C51" s="35" t="s">
        <v>11</v>
      </c>
      <c r="D51" s="499"/>
    </row>
    <row r="52" spans="1:4">
      <c r="A52" s="63" t="s">
        <v>558</v>
      </c>
      <c r="B52" s="35">
        <v>8169</v>
      </c>
      <c r="C52" s="35" t="s">
        <v>73</v>
      </c>
      <c r="D52" s="499"/>
    </row>
    <row r="53" spans="1:4">
      <c r="A53" s="63" t="s">
        <v>558</v>
      </c>
      <c r="B53" s="35">
        <v>73070</v>
      </c>
      <c r="C53" s="35" t="s">
        <v>11</v>
      </c>
      <c r="D53" s="499"/>
    </row>
    <row r="54" spans="1:4">
      <c r="A54" s="63" t="s">
        <v>558</v>
      </c>
      <c r="B54" s="35">
        <v>99800</v>
      </c>
      <c r="C54" s="35" t="s">
        <v>1373</v>
      </c>
      <c r="D54" s="499"/>
    </row>
    <row r="55" spans="1:4">
      <c r="A55" s="63" t="s">
        <v>558</v>
      </c>
      <c r="B55" s="57">
        <v>97000</v>
      </c>
      <c r="C55" s="35" t="s">
        <v>29</v>
      </c>
      <c r="D55" s="499"/>
    </row>
    <row r="56" spans="1:4">
      <c r="A56" s="68" t="s">
        <v>567</v>
      </c>
      <c r="B56" s="62">
        <v>1621</v>
      </c>
      <c r="C56" s="64" t="s">
        <v>29</v>
      </c>
      <c r="D56" s="500"/>
    </row>
    <row r="57" spans="1:4">
      <c r="A57" s="68" t="s">
        <v>567</v>
      </c>
      <c r="B57" s="64">
        <v>1900</v>
      </c>
      <c r="C57" s="64" t="s">
        <v>28</v>
      </c>
      <c r="D57" s="500"/>
    </row>
    <row r="58" spans="1:4">
      <c r="A58" s="68" t="s">
        <v>567</v>
      </c>
      <c r="B58" s="64">
        <v>2834</v>
      </c>
      <c r="C58" s="64" t="s">
        <v>165</v>
      </c>
      <c r="D58" s="500"/>
    </row>
    <row r="59" spans="1:4">
      <c r="A59" s="68" t="s">
        <v>567</v>
      </c>
      <c r="B59" s="64">
        <v>2835</v>
      </c>
      <c r="C59" s="64" t="s">
        <v>165</v>
      </c>
      <c r="D59" s="500"/>
    </row>
    <row r="60" spans="1:4">
      <c r="A60" s="68" t="s">
        <v>567</v>
      </c>
      <c r="B60" s="64">
        <v>2881</v>
      </c>
      <c r="C60" s="64" t="s">
        <v>28</v>
      </c>
      <c r="D60" s="500"/>
    </row>
    <row r="61" spans="1:4">
      <c r="A61" s="68" t="s">
        <v>567</v>
      </c>
      <c r="B61" s="64">
        <v>2882</v>
      </c>
      <c r="C61" s="64" t="s">
        <v>28</v>
      </c>
      <c r="D61" s="500"/>
    </row>
    <row r="62" spans="1:4">
      <c r="A62" s="68" t="s">
        <v>567</v>
      </c>
      <c r="B62" s="64">
        <v>2883</v>
      </c>
      <c r="C62" s="64" t="s">
        <v>29</v>
      </c>
      <c r="D62" s="500"/>
    </row>
    <row r="63" spans="1:4">
      <c r="A63" s="68" t="s">
        <v>567</v>
      </c>
      <c r="B63" s="64">
        <v>2900</v>
      </c>
      <c r="C63" s="64" t="s">
        <v>175</v>
      </c>
      <c r="D63" s="500"/>
    </row>
    <row r="64" spans="1:4">
      <c r="A64" s="68" t="s">
        <v>567</v>
      </c>
      <c r="B64" s="64">
        <v>8010</v>
      </c>
      <c r="C64" s="64" t="s">
        <v>58</v>
      </c>
      <c r="D64" s="500"/>
    </row>
    <row r="65" spans="1:4">
      <c r="A65" s="68" t="s">
        <v>567</v>
      </c>
      <c r="B65" s="64">
        <v>8011</v>
      </c>
      <c r="C65" s="64" t="s">
        <v>58</v>
      </c>
      <c r="D65" s="500"/>
    </row>
    <row r="66" spans="1:4">
      <c r="A66" s="68" t="s">
        <v>567</v>
      </c>
      <c r="B66" s="64">
        <v>8031</v>
      </c>
      <c r="C66" s="64" t="s">
        <v>58</v>
      </c>
      <c r="D66" s="500"/>
    </row>
    <row r="67" spans="1:4">
      <c r="A67" s="68" t="s">
        <v>567</v>
      </c>
      <c r="B67" s="64">
        <v>8300</v>
      </c>
      <c r="C67" s="35" t="s">
        <v>58</v>
      </c>
      <c r="D67" s="499"/>
    </row>
    <row r="68" spans="1:4">
      <c r="A68" s="68" t="s">
        <v>567</v>
      </c>
      <c r="B68" s="64">
        <v>8785</v>
      </c>
      <c r="C68" s="64" t="s">
        <v>29</v>
      </c>
      <c r="D68" s="500"/>
    </row>
    <row r="69" spans="1:4">
      <c r="A69" s="68" t="s">
        <v>567</v>
      </c>
      <c r="B69" s="64">
        <v>114861</v>
      </c>
      <c r="C69" s="64" t="s">
        <v>165</v>
      </c>
      <c r="D69" s="500"/>
    </row>
    <row r="70" spans="1:4">
      <c r="A70" s="68" t="s">
        <v>567</v>
      </c>
      <c r="B70" s="64">
        <v>116810</v>
      </c>
      <c r="C70" s="35" t="s">
        <v>29</v>
      </c>
      <c r="D70" s="499"/>
    </row>
    <row r="71" spans="1:4">
      <c r="A71" s="68" t="s">
        <v>567</v>
      </c>
      <c r="B71" s="64">
        <v>140800</v>
      </c>
      <c r="C71" s="64" t="s">
        <v>28</v>
      </c>
      <c r="D71" s="500"/>
    </row>
    <row r="72" spans="1:4">
      <c r="A72" s="68" t="s">
        <v>567</v>
      </c>
      <c r="B72" s="64">
        <v>169448</v>
      </c>
      <c r="C72" s="64" t="s">
        <v>1505</v>
      </c>
      <c r="D72" s="500"/>
    </row>
    <row r="73" spans="1:4">
      <c r="A73" s="68" t="s">
        <v>567</v>
      </c>
      <c r="B73" s="64">
        <v>157020</v>
      </c>
      <c r="C73" s="64" t="s">
        <v>28</v>
      </c>
      <c r="D73" s="500"/>
    </row>
    <row r="74" spans="1:4">
      <c r="A74" s="68" t="s">
        <v>567</v>
      </c>
      <c r="B74" s="62">
        <v>165109</v>
      </c>
      <c r="C74" s="64" t="s">
        <v>58</v>
      </c>
      <c r="D74" s="500"/>
    </row>
    <row r="75" spans="1:4">
      <c r="A75" s="68" t="s">
        <v>567</v>
      </c>
      <c r="B75" s="64">
        <v>168130</v>
      </c>
      <c r="C75" s="64" t="s">
        <v>29</v>
      </c>
      <c r="D75" s="500"/>
    </row>
    <row r="76" spans="1:4">
      <c r="A76" s="68" t="s">
        <v>567</v>
      </c>
      <c r="B76" s="64">
        <v>169240</v>
      </c>
      <c r="C76" s="64" t="s">
        <v>58</v>
      </c>
      <c r="D76" s="500"/>
    </row>
    <row r="77" spans="1:4">
      <c r="A77" s="68" t="s">
        <v>567</v>
      </c>
      <c r="B77" s="64">
        <v>169241</v>
      </c>
      <c r="C77" s="64" t="s">
        <v>58</v>
      </c>
      <c r="D77" s="500"/>
    </row>
    <row r="78" spans="1:4">
      <c r="A78" s="68" t="s">
        <v>567</v>
      </c>
      <c r="B78" s="64">
        <v>169260</v>
      </c>
      <c r="C78" s="64" t="s">
        <v>58</v>
      </c>
      <c r="D78" s="500"/>
    </row>
    <row r="79" spans="1:4">
      <c r="A79" s="68" t="s">
        <v>567</v>
      </c>
      <c r="B79" s="64">
        <v>169280</v>
      </c>
      <c r="C79" s="64" t="s">
        <v>58</v>
      </c>
      <c r="D79" s="500"/>
    </row>
    <row r="80" spans="1:4">
      <c r="A80" s="68" t="s">
        <v>567</v>
      </c>
      <c r="B80" s="64">
        <v>200000</v>
      </c>
      <c r="C80" s="64" t="s">
        <v>149</v>
      </c>
      <c r="D80" s="500"/>
    </row>
    <row r="81" spans="1:4">
      <c r="A81" s="68" t="s">
        <v>567</v>
      </c>
      <c r="B81" s="64">
        <v>200020</v>
      </c>
      <c r="C81" s="64" t="s">
        <v>149</v>
      </c>
      <c r="D81" s="500"/>
    </row>
    <row r="82" spans="1:4">
      <c r="A82" s="68" t="s">
        <v>567</v>
      </c>
      <c r="B82" s="64">
        <v>200070</v>
      </c>
      <c r="C82" s="64" t="s">
        <v>149</v>
      </c>
      <c r="D82" s="500"/>
    </row>
    <row r="83" spans="1:4">
      <c r="A83" s="68" t="s">
        <v>567</v>
      </c>
      <c r="B83" s="64">
        <v>200130</v>
      </c>
      <c r="C83" s="64" t="s">
        <v>28</v>
      </c>
      <c r="D83" s="500"/>
    </row>
    <row r="84" spans="1:4">
      <c r="A84" s="68" t="s">
        <v>567</v>
      </c>
      <c r="B84" s="64">
        <v>200170</v>
      </c>
      <c r="C84" s="64" t="s">
        <v>28</v>
      </c>
      <c r="D84" s="500"/>
    </row>
    <row r="85" spans="1:4">
      <c r="A85" s="68" t="s">
        <v>567</v>
      </c>
      <c r="B85" s="64">
        <v>200200</v>
      </c>
      <c r="C85" s="64" t="s">
        <v>28</v>
      </c>
      <c r="D85" s="500"/>
    </row>
    <row r="86" spans="1:4">
      <c r="A86" s="68" t="s">
        <v>567</v>
      </c>
      <c r="B86" s="64">
        <v>200260</v>
      </c>
      <c r="C86" s="64" t="s">
        <v>149</v>
      </c>
      <c r="D86" s="500"/>
    </row>
    <row r="87" spans="1:4">
      <c r="A87" s="68" t="s">
        <v>567</v>
      </c>
      <c r="B87" s="64">
        <v>200290</v>
      </c>
      <c r="C87" s="64" t="s">
        <v>28</v>
      </c>
      <c r="D87" s="500"/>
    </row>
    <row r="88" spans="1:4">
      <c r="A88" s="68" t="s">
        <v>567</v>
      </c>
      <c r="B88" s="64">
        <v>200350</v>
      </c>
      <c r="C88" s="64" t="s">
        <v>28</v>
      </c>
      <c r="D88" s="500"/>
    </row>
    <row r="89" spans="1:4">
      <c r="A89" s="68" t="s">
        <v>567</v>
      </c>
      <c r="B89" s="64">
        <v>200370</v>
      </c>
      <c r="C89" s="64" t="s">
        <v>149</v>
      </c>
      <c r="D89" s="500"/>
    </row>
    <row r="90" spans="1:4">
      <c r="A90" s="68" t="s">
        <v>567</v>
      </c>
      <c r="B90" s="64">
        <v>200371</v>
      </c>
      <c r="C90" s="64" t="s">
        <v>149</v>
      </c>
      <c r="D90" s="500"/>
    </row>
    <row r="91" spans="1:4">
      <c r="A91" s="68" t="s">
        <v>567</v>
      </c>
      <c r="B91" s="64">
        <v>200411</v>
      </c>
      <c r="C91" s="64" t="s">
        <v>149</v>
      </c>
      <c r="D91" s="500"/>
    </row>
    <row r="92" spans="1:4">
      <c r="A92" s="63" t="s">
        <v>570</v>
      </c>
      <c r="B92" s="35" t="s">
        <v>544</v>
      </c>
      <c r="C92" s="35" t="s">
        <v>29</v>
      </c>
      <c r="D92" s="499"/>
    </row>
    <row r="93" spans="1:4">
      <c r="A93" s="63" t="s">
        <v>570</v>
      </c>
      <c r="B93" s="35" t="s">
        <v>545</v>
      </c>
      <c r="C93" s="35" t="s">
        <v>28</v>
      </c>
      <c r="D93" s="499"/>
    </row>
    <row r="94" spans="1:4">
      <c r="A94" s="63" t="s">
        <v>570</v>
      </c>
      <c r="B94" s="35" t="s">
        <v>546</v>
      </c>
      <c r="C94" s="35" t="s">
        <v>28</v>
      </c>
      <c r="D94" s="499"/>
    </row>
    <row r="95" spans="1:4">
      <c r="A95" s="63" t="s">
        <v>570</v>
      </c>
      <c r="B95" s="35" t="s">
        <v>543</v>
      </c>
      <c r="C95" s="35" t="s">
        <v>28</v>
      </c>
      <c r="D95" s="499"/>
    </row>
    <row r="96" spans="1:4">
      <c r="A96" s="63" t="s">
        <v>570</v>
      </c>
      <c r="B96" s="35" t="s">
        <v>542</v>
      </c>
      <c r="C96" s="35" t="s">
        <v>28</v>
      </c>
      <c r="D96" s="499"/>
    </row>
    <row r="97" spans="1:4">
      <c r="A97" s="63" t="s">
        <v>570</v>
      </c>
      <c r="B97" s="35" t="s">
        <v>551</v>
      </c>
      <c r="C97" s="35" t="s">
        <v>28</v>
      </c>
      <c r="D97" s="499"/>
    </row>
    <row r="98" spans="1:4">
      <c r="A98" s="63" t="s">
        <v>570</v>
      </c>
      <c r="B98" s="35" t="s">
        <v>95</v>
      </c>
      <c r="C98" s="35" t="s">
        <v>27</v>
      </c>
      <c r="D98" s="499"/>
    </row>
    <row r="99" spans="1:4">
      <c r="A99" s="63" t="s">
        <v>570</v>
      </c>
      <c r="B99" s="35" t="s">
        <v>547</v>
      </c>
      <c r="C99" s="35" t="s">
        <v>28</v>
      </c>
      <c r="D99" s="499"/>
    </row>
    <row r="100" spans="1:4">
      <c r="A100" s="63" t="s">
        <v>570</v>
      </c>
      <c r="B100" s="35" t="s">
        <v>98</v>
      </c>
      <c r="C100" s="35" t="s">
        <v>28</v>
      </c>
      <c r="D100" s="499"/>
    </row>
    <row r="101" spans="1:4">
      <c r="A101" s="63" t="s">
        <v>570</v>
      </c>
      <c r="B101" s="35" t="s">
        <v>548</v>
      </c>
      <c r="C101" s="35" t="s">
        <v>149</v>
      </c>
      <c r="D101" s="499"/>
    </row>
    <row r="102" spans="1:4">
      <c r="A102" s="63" t="s">
        <v>570</v>
      </c>
      <c r="B102" s="35" t="s">
        <v>105</v>
      </c>
      <c r="C102" s="35" t="s">
        <v>149</v>
      </c>
      <c r="D102" s="499"/>
    </row>
    <row r="103" spans="1:4">
      <c r="A103" s="63" t="s">
        <v>570</v>
      </c>
      <c r="B103" s="35" t="s">
        <v>106</v>
      </c>
      <c r="C103" s="35" t="s">
        <v>149</v>
      </c>
      <c r="D103" s="499"/>
    </row>
    <row r="104" spans="1:4">
      <c r="A104" s="63" t="s">
        <v>570</v>
      </c>
      <c r="B104" s="35" t="s">
        <v>550</v>
      </c>
      <c r="C104" s="35" t="s">
        <v>149</v>
      </c>
      <c r="D104" s="499"/>
    </row>
    <row r="105" spans="1:4">
      <c r="A105" s="63" t="s">
        <v>570</v>
      </c>
      <c r="B105" s="35" t="s">
        <v>549</v>
      </c>
      <c r="C105" s="35" t="s">
        <v>149</v>
      </c>
      <c r="D105" s="499"/>
    </row>
    <row r="106" spans="1:4">
      <c r="A106" s="63" t="s">
        <v>570</v>
      </c>
      <c r="B106" s="35" t="s">
        <v>111</v>
      </c>
      <c r="C106" s="35" t="s">
        <v>27</v>
      </c>
      <c r="D106" s="499"/>
    </row>
    <row r="107" spans="1:4">
      <c r="A107" s="63" t="s">
        <v>570</v>
      </c>
      <c r="B107" s="35" t="s">
        <v>552</v>
      </c>
      <c r="C107" s="35" t="s">
        <v>28</v>
      </c>
      <c r="D107" s="499"/>
    </row>
    <row r="108" spans="1:4">
      <c r="A108" s="63" t="s">
        <v>570</v>
      </c>
      <c r="B108" s="35" t="s">
        <v>553</v>
      </c>
      <c r="C108" s="35" t="s">
        <v>28</v>
      </c>
      <c r="D108" s="499"/>
    </row>
    <row r="109" spans="1:4">
      <c r="A109" s="63" t="s">
        <v>570</v>
      </c>
      <c r="B109" s="35" t="s">
        <v>555</v>
      </c>
      <c r="C109" s="35" t="s">
        <v>28</v>
      </c>
      <c r="D109" s="499"/>
    </row>
    <row r="110" spans="1:4">
      <c r="A110" s="63" t="s">
        <v>570</v>
      </c>
      <c r="B110" s="35" t="s">
        <v>554</v>
      </c>
      <c r="C110" s="35" t="s">
        <v>28</v>
      </c>
      <c r="D110" s="499"/>
    </row>
    <row r="111" spans="1:4">
      <c r="A111" s="63" t="s">
        <v>569</v>
      </c>
      <c r="B111" s="35">
        <v>122020</v>
      </c>
      <c r="C111" s="35" t="s">
        <v>175</v>
      </c>
      <c r="D111" s="499"/>
    </row>
    <row r="112" spans="1:4">
      <c r="A112" s="63" t="s">
        <v>569</v>
      </c>
      <c r="B112" s="35">
        <v>131023</v>
      </c>
      <c r="C112" s="35" t="s">
        <v>149</v>
      </c>
      <c r="D112" s="499"/>
    </row>
    <row r="113" spans="1:4">
      <c r="A113" s="63" t="s">
        <v>569</v>
      </c>
      <c r="B113" s="35">
        <v>152029</v>
      </c>
      <c r="C113" s="35" t="s">
        <v>28</v>
      </c>
      <c r="D113" s="499"/>
    </row>
    <row r="114" spans="1:4">
      <c r="A114" s="63" t="s">
        <v>569</v>
      </c>
      <c r="B114" s="35">
        <v>161024</v>
      </c>
      <c r="C114" s="35" t="s">
        <v>149</v>
      </c>
      <c r="D114" s="499"/>
    </row>
    <row r="115" spans="1:4">
      <c r="A115" s="63" t="s">
        <v>569</v>
      </c>
      <c r="B115" s="57">
        <v>161061</v>
      </c>
      <c r="C115" s="57" t="s">
        <v>175</v>
      </c>
      <c r="D115" s="501"/>
    </row>
    <row r="116" spans="1:4">
      <c r="A116" s="63" t="s">
        <v>569</v>
      </c>
      <c r="B116" s="35">
        <v>161074</v>
      </c>
      <c r="C116" s="35" t="s">
        <v>28</v>
      </c>
      <c r="D116" s="499"/>
    </row>
    <row r="117" spans="1:4">
      <c r="A117" s="63" t="s">
        <v>569</v>
      </c>
      <c r="B117" s="35">
        <v>161089</v>
      </c>
      <c r="C117" s="35" t="s">
        <v>28</v>
      </c>
      <c r="D117" s="499"/>
    </row>
    <row r="118" spans="1:4">
      <c r="A118" s="63" t="s">
        <v>569</v>
      </c>
      <c r="B118" s="35">
        <v>162006</v>
      </c>
      <c r="C118" s="35" t="s">
        <v>175</v>
      </c>
      <c r="D118" s="499"/>
    </row>
    <row r="119" spans="1:4">
      <c r="A119" s="63" t="s">
        <v>569</v>
      </c>
      <c r="B119" s="57">
        <v>162007</v>
      </c>
      <c r="C119" s="57" t="s">
        <v>175</v>
      </c>
      <c r="D119" s="501"/>
    </row>
    <row r="120" spans="1:4">
      <c r="A120" s="63" t="s">
        <v>569</v>
      </c>
      <c r="B120" s="35">
        <v>162010</v>
      </c>
      <c r="C120" s="35" t="s">
        <v>175</v>
      </c>
      <c r="D120" s="499"/>
    </row>
    <row r="121" spans="1:4">
      <c r="A121" s="63" t="s">
        <v>569</v>
      </c>
      <c r="B121" s="57">
        <v>162012</v>
      </c>
      <c r="C121" s="57" t="s">
        <v>175</v>
      </c>
      <c r="D121" s="501"/>
    </row>
    <row r="122" spans="1:4">
      <c r="A122" s="63" t="s">
        <v>569</v>
      </c>
      <c r="B122" s="57">
        <v>162013</v>
      </c>
      <c r="C122" s="57" t="s">
        <v>175</v>
      </c>
      <c r="D122" s="501"/>
    </row>
    <row r="123" spans="1:4">
      <c r="A123" s="63" t="s">
        <v>569</v>
      </c>
      <c r="B123" s="35">
        <v>162014</v>
      </c>
      <c r="C123" s="35" t="s">
        <v>175</v>
      </c>
      <c r="D123" s="499"/>
    </row>
    <row r="124" spans="1:4">
      <c r="A124" s="63" t="s">
        <v>569</v>
      </c>
      <c r="B124" s="35">
        <v>162015</v>
      </c>
      <c r="C124" s="35" t="s">
        <v>175</v>
      </c>
      <c r="D124" s="499"/>
    </row>
    <row r="125" spans="1:4">
      <c r="A125" s="63" t="s">
        <v>569</v>
      </c>
      <c r="B125" s="35">
        <v>162016</v>
      </c>
      <c r="C125" s="35" t="s">
        <v>175</v>
      </c>
      <c r="D125" s="499"/>
    </row>
    <row r="126" spans="1:4">
      <c r="A126" s="63" t="s">
        <v>569</v>
      </c>
      <c r="B126" s="35">
        <v>162017</v>
      </c>
      <c r="C126" s="57" t="s">
        <v>175</v>
      </c>
      <c r="D126" s="501"/>
    </row>
    <row r="127" spans="1:4">
      <c r="A127" s="63" t="s">
        <v>569</v>
      </c>
      <c r="B127" s="57">
        <v>162018</v>
      </c>
      <c r="C127" s="57" t="s">
        <v>175</v>
      </c>
      <c r="D127" s="501"/>
    </row>
    <row r="128" spans="1:4">
      <c r="A128" s="63" t="s">
        <v>569</v>
      </c>
      <c r="B128" s="35">
        <v>162020</v>
      </c>
      <c r="C128" s="35" t="s">
        <v>175</v>
      </c>
      <c r="D128" s="499"/>
    </row>
    <row r="129" spans="1:4">
      <c r="A129" s="63" t="s">
        <v>569</v>
      </c>
      <c r="B129" s="57">
        <v>162021</v>
      </c>
      <c r="C129" s="57" t="s">
        <v>175</v>
      </c>
      <c r="D129" s="501"/>
    </row>
    <row r="130" spans="1:4">
      <c r="A130" s="63" t="s">
        <v>569</v>
      </c>
      <c r="B130" s="35">
        <v>162022</v>
      </c>
      <c r="C130" s="35" t="s">
        <v>27</v>
      </c>
      <c r="D130" s="499"/>
    </row>
    <row r="131" spans="1:4">
      <c r="A131" s="63" t="s">
        <v>569</v>
      </c>
      <c r="B131" s="35">
        <v>162023</v>
      </c>
      <c r="C131" s="35" t="s">
        <v>27</v>
      </c>
      <c r="D131" s="499"/>
    </row>
    <row r="132" spans="1:4">
      <c r="A132" s="63" t="s">
        <v>569</v>
      </c>
      <c r="B132" s="35">
        <v>162024</v>
      </c>
      <c r="C132" s="35" t="s">
        <v>27</v>
      </c>
      <c r="D132" s="499"/>
    </row>
    <row r="133" spans="1:4">
      <c r="A133" s="63" t="s">
        <v>569</v>
      </c>
      <c r="B133" s="35">
        <v>162025</v>
      </c>
      <c r="C133" s="35" t="s">
        <v>27</v>
      </c>
      <c r="D133" s="499"/>
    </row>
    <row r="134" spans="1:4">
      <c r="A134" s="63" t="s">
        <v>569</v>
      </c>
      <c r="B134" s="35">
        <v>162026</v>
      </c>
      <c r="C134" s="35" t="s">
        <v>27</v>
      </c>
      <c r="D134" s="499"/>
    </row>
    <row r="135" spans="1:4">
      <c r="A135" s="63" t="s">
        <v>569</v>
      </c>
      <c r="B135" s="35">
        <v>162041</v>
      </c>
      <c r="C135" s="35" t="s">
        <v>165</v>
      </c>
      <c r="D135" s="499"/>
    </row>
    <row r="136" spans="1:4">
      <c r="A136" s="63" t="s">
        <v>569</v>
      </c>
      <c r="B136" s="35">
        <v>202018</v>
      </c>
      <c r="C136" s="35" t="s">
        <v>175</v>
      </c>
      <c r="D136" s="499"/>
    </row>
    <row r="137" spans="1:4">
      <c r="A137" s="63" t="s">
        <v>569</v>
      </c>
      <c r="B137" s="35">
        <v>302012</v>
      </c>
      <c r="C137" s="35" t="s">
        <v>175</v>
      </c>
      <c r="D137" s="499"/>
    </row>
    <row r="138" spans="1:4">
      <c r="A138" s="63" t="s">
        <v>569</v>
      </c>
      <c r="B138" s="35">
        <v>302020</v>
      </c>
      <c r="C138" s="35" t="s">
        <v>125</v>
      </c>
      <c r="D138" s="499"/>
    </row>
    <row r="139" spans="1:4">
      <c r="A139" s="63" t="s">
        <v>569</v>
      </c>
      <c r="B139" s="57">
        <v>302033</v>
      </c>
      <c r="C139" s="57" t="s">
        <v>73</v>
      </c>
      <c r="D139" s="501"/>
    </row>
    <row r="140" spans="1:4">
      <c r="A140" s="63" t="s">
        <v>569</v>
      </c>
      <c r="B140" s="57">
        <v>302034</v>
      </c>
      <c r="C140" s="57" t="s">
        <v>73</v>
      </c>
      <c r="D140" s="501"/>
    </row>
    <row r="141" spans="1:4">
      <c r="A141" s="63" t="s">
        <v>569</v>
      </c>
      <c r="B141" s="57">
        <v>302038</v>
      </c>
      <c r="C141" s="57" t="s">
        <v>73</v>
      </c>
      <c r="D141" s="501"/>
    </row>
    <row r="142" spans="1:4">
      <c r="A142" s="63" t="s">
        <v>569</v>
      </c>
      <c r="B142" s="57">
        <v>302040</v>
      </c>
      <c r="C142" s="57" t="s">
        <v>73</v>
      </c>
      <c r="D142" s="501"/>
    </row>
    <row r="143" spans="1:4">
      <c r="A143" s="63" t="s">
        <v>569</v>
      </c>
      <c r="B143" s="57">
        <v>302045</v>
      </c>
      <c r="C143" s="57" t="s">
        <v>73</v>
      </c>
      <c r="D143" s="501"/>
    </row>
    <row r="144" spans="1:4">
      <c r="A144" s="63" t="s">
        <v>569</v>
      </c>
      <c r="B144" s="57">
        <v>302059</v>
      </c>
      <c r="C144" s="57" t="s">
        <v>73</v>
      </c>
      <c r="D144" s="501"/>
    </row>
    <row r="145" spans="1:4">
      <c r="A145" s="63" t="s">
        <v>569</v>
      </c>
      <c r="B145" s="35">
        <v>402006</v>
      </c>
      <c r="C145" s="35" t="s">
        <v>29</v>
      </c>
      <c r="D145" s="499"/>
    </row>
    <row r="146" spans="1:4">
      <c r="A146" s="63" t="s">
        <v>569</v>
      </c>
      <c r="B146" s="35">
        <v>402007</v>
      </c>
      <c r="C146" s="35" t="s">
        <v>15</v>
      </c>
      <c r="D146" s="499"/>
    </row>
    <row r="147" spans="1:4">
      <c r="A147" s="63" t="s">
        <v>569</v>
      </c>
      <c r="B147" s="35">
        <v>402012</v>
      </c>
      <c r="C147" s="35" t="s">
        <v>175</v>
      </c>
      <c r="D147" s="499"/>
    </row>
    <row r="148" spans="1:4">
      <c r="A148" s="63" t="s">
        <v>569</v>
      </c>
      <c r="B148" s="35">
        <v>402015</v>
      </c>
      <c r="C148" s="35" t="s">
        <v>15</v>
      </c>
      <c r="D148" s="499"/>
    </row>
    <row r="149" spans="1:4">
      <c r="A149" s="63" t="s">
        <v>569</v>
      </c>
      <c r="B149" s="35">
        <v>402019</v>
      </c>
      <c r="C149" s="35" t="s">
        <v>125</v>
      </c>
      <c r="D149" s="499"/>
    </row>
    <row r="150" spans="1:4">
      <c r="A150" s="63" t="s">
        <v>569</v>
      </c>
      <c r="B150" s="35">
        <v>402021</v>
      </c>
      <c r="C150" s="35" t="s">
        <v>11</v>
      </c>
      <c r="D150" s="499"/>
    </row>
    <row r="151" spans="1:4">
      <c r="A151" s="63" t="s">
        <v>569</v>
      </c>
      <c r="B151" s="35">
        <v>402022</v>
      </c>
      <c r="C151" s="35" t="s">
        <v>125</v>
      </c>
      <c r="D151" s="499"/>
    </row>
    <row r="152" spans="1:4">
      <c r="A152" s="63" t="s">
        <v>569</v>
      </c>
      <c r="B152" s="35">
        <v>402023</v>
      </c>
      <c r="C152" s="35" t="s">
        <v>125</v>
      </c>
      <c r="D152" s="499"/>
    </row>
    <row r="153" spans="1:4">
      <c r="A153" s="63" t="s">
        <v>569</v>
      </c>
      <c r="B153" s="57">
        <v>402024</v>
      </c>
      <c r="C153" s="57" t="s">
        <v>73</v>
      </c>
      <c r="D153" s="501"/>
    </row>
    <row r="154" spans="1:4">
      <c r="A154" s="63" t="s">
        <v>569</v>
      </c>
      <c r="B154" s="57">
        <v>402028</v>
      </c>
      <c r="C154" s="57" t="s">
        <v>73</v>
      </c>
      <c r="D154" s="501"/>
    </row>
    <row r="155" spans="1:4">
      <c r="A155" s="63" t="s">
        <v>569</v>
      </c>
      <c r="B155" s="57">
        <v>402029</v>
      </c>
      <c r="C155" s="57" t="s">
        <v>73</v>
      </c>
      <c r="D155" s="501"/>
    </row>
    <row r="156" spans="1:4">
      <c r="A156" s="63" t="s">
        <v>569</v>
      </c>
      <c r="B156" s="57">
        <v>402030</v>
      </c>
      <c r="C156" s="57" t="s">
        <v>73</v>
      </c>
      <c r="D156" s="501"/>
    </row>
    <row r="157" spans="1:4">
      <c r="A157" s="63" t="s">
        <v>569</v>
      </c>
      <c r="B157" s="57">
        <v>402032</v>
      </c>
      <c r="C157" s="57" t="s">
        <v>73</v>
      </c>
      <c r="D157" s="501"/>
    </row>
    <row r="158" spans="1:4">
      <c r="A158" s="63" t="s">
        <v>569</v>
      </c>
      <c r="B158" s="57">
        <v>402033</v>
      </c>
      <c r="C158" s="57" t="s">
        <v>11</v>
      </c>
      <c r="D158" s="501"/>
    </row>
    <row r="159" spans="1:4">
      <c r="A159" s="63" t="s">
        <v>569</v>
      </c>
      <c r="B159" s="57">
        <v>402035</v>
      </c>
      <c r="C159" s="57" t="s">
        <v>73</v>
      </c>
      <c r="D159" s="501"/>
    </row>
    <row r="160" spans="1:4">
      <c r="A160" s="63" t="s">
        <v>569</v>
      </c>
      <c r="B160" s="57">
        <v>402036</v>
      </c>
      <c r="C160" s="57" t="s">
        <v>73</v>
      </c>
      <c r="D160" s="501"/>
    </row>
    <row r="161" spans="1:4">
      <c r="A161" s="63" t="s">
        <v>569</v>
      </c>
      <c r="B161" s="57">
        <v>402037</v>
      </c>
      <c r="C161" s="57" t="s">
        <v>73</v>
      </c>
      <c r="D161" s="501"/>
    </row>
    <row r="162" spans="1:4">
      <c r="A162" s="63" t="s">
        <v>569</v>
      </c>
      <c r="B162" s="57">
        <v>402038</v>
      </c>
      <c r="C162" s="57" t="s">
        <v>11</v>
      </c>
      <c r="D162" s="501"/>
    </row>
    <row r="163" spans="1:4">
      <c r="A163" s="63" t="s">
        <v>569</v>
      </c>
      <c r="B163" s="57">
        <v>402039</v>
      </c>
      <c r="C163" s="57" t="s">
        <v>73</v>
      </c>
      <c r="D163" s="501"/>
    </row>
    <row r="164" spans="1:4">
      <c r="A164" s="63" t="s">
        <v>569</v>
      </c>
      <c r="B164" s="57">
        <v>402045</v>
      </c>
      <c r="C164" s="57" t="s">
        <v>73</v>
      </c>
      <c r="D164" s="501"/>
    </row>
    <row r="165" spans="1:4">
      <c r="A165" s="63" t="s">
        <v>569</v>
      </c>
      <c r="B165" s="57">
        <v>402046</v>
      </c>
      <c r="C165" s="57" t="s">
        <v>73</v>
      </c>
      <c r="D165" s="501"/>
    </row>
    <row r="166" spans="1:4">
      <c r="A166" s="63" t="s">
        <v>569</v>
      </c>
      <c r="B166" s="57">
        <v>402048</v>
      </c>
      <c r="C166" s="57" t="s">
        <v>73</v>
      </c>
      <c r="D166" s="501"/>
    </row>
    <row r="167" spans="1:4">
      <c r="A167" s="63" t="s">
        <v>569</v>
      </c>
      <c r="B167" s="57">
        <v>402054</v>
      </c>
      <c r="C167" s="57" t="s">
        <v>73</v>
      </c>
      <c r="D167" s="501"/>
    </row>
    <row r="168" spans="1:4">
      <c r="A168" s="63" t="s">
        <v>569</v>
      </c>
      <c r="B168" s="57">
        <v>402055</v>
      </c>
      <c r="C168" s="57" t="s">
        <v>28</v>
      </c>
      <c r="D168" s="501"/>
    </row>
    <row r="169" spans="1:4">
      <c r="A169" s="63" t="s">
        <v>569</v>
      </c>
      <c r="B169" s="57">
        <v>402060</v>
      </c>
      <c r="C169" s="57" t="s">
        <v>28</v>
      </c>
      <c r="D169" s="501"/>
    </row>
    <row r="170" spans="1:4">
      <c r="A170" s="63" t="s">
        <v>569</v>
      </c>
      <c r="B170" s="57">
        <v>402061</v>
      </c>
      <c r="C170" s="57" t="s">
        <v>28</v>
      </c>
      <c r="D170" s="501"/>
    </row>
    <row r="171" spans="1:4">
      <c r="A171" s="63" t="s">
        <v>568</v>
      </c>
      <c r="B171" s="35">
        <v>10513</v>
      </c>
      <c r="C171" s="35" t="s">
        <v>29</v>
      </c>
      <c r="D171" s="499"/>
    </row>
    <row r="172" spans="1:4">
      <c r="A172" s="63" t="s">
        <v>568</v>
      </c>
      <c r="B172" s="35">
        <v>10515</v>
      </c>
      <c r="C172" s="35" t="s">
        <v>29</v>
      </c>
      <c r="D172" s="499"/>
    </row>
    <row r="173" spans="1:4">
      <c r="A173" s="63" t="s">
        <v>568</v>
      </c>
      <c r="B173" s="35">
        <v>19127</v>
      </c>
      <c r="C173" s="35" t="s">
        <v>29</v>
      </c>
      <c r="D173" s="499"/>
    </row>
    <row r="174" spans="1:4">
      <c r="A174" s="63" t="s">
        <v>568</v>
      </c>
      <c r="B174" s="35">
        <v>50133</v>
      </c>
      <c r="C174" s="35" t="s">
        <v>28</v>
      </c>
      <c r="D174" s="499"/>
    </row>
    <row r="175" spans="1:4">
      <c r="A175" s="63" t="s">
        <v>568</v>
      </c>
      <c r="B175" s="35">
        <v>50140</v>
      </c>
      <c r="C175" s="35" t="s">
        <v>28</v>
      </c>
      <c r="D175" s="499"/>
    </row>
    <row r="176" spans="1:4">
      <c r="A176" s="63" t="s">
        <v>568</v>
      </c>
      <c r="B176" s="35">
        <v>50145</v>
      </c>
      <c r="C176" s="35" t="s">
        <v>28</v>
      </c>
      <c r="D176" s="499"/>
    </row>
    <row r="177" spans="1:4">
      <c r="A177" s="63" t="s">
        <v>568</v>
      </c>
      <c r="B177" s="35">
        <v>74067</v>
      </c>
      <c r="C177" s="35" t="s">
        <v>27</v>
      </c>
      <c r="D177" s="499"/>
    </row>
    <row r="178" spans="1:4">
      <c r="A178" s="63" t="s">
        <v>568</v>
      </c>
      <c r="B178" s="35">
        <v>74069</v>
      </c>
      <c r="C178" s="35" t="s">
        <v>11</v>
      </c>
      <c r="D178" s="499"/>
    </row>
    <row r="179" spans="1:4">
      <c r="A179" s="63" t="s">
        <v>560</v>
      </c>
      <c r="B179" s="35">
        <v>265044</v>
      </c>
      <c r="C179" s="35" t="s">
        <v>1490</v>
      </c>
      <c r="D179" s="499"/>
    </row>
    <row r="180" spans="1:4">
      <c r="A180" s="63" t="s">
        <v>560</v>
      </c>
      <c r="B180" s="57">
        <v>220004</v>
      </c>
      <c r="C180" s="57" t="s">
        <v>149</v>
      </c>
      <c r="D180" s="501"/>
    </row>
    <row r="181" spans="1:4">
      <c r="A181" s="63" t="s">
        <v>560</v>
      </c>
      <c r="B181" s="35">
        <v>221081</v>
      </c>
      <c r="C181" s="56" t="s">
        <v>355</v>
      </c>
      <c r="D181" s="502"/>
    </row>
    <row r="182" spans="1:4">
      <c r="A182" s="63" t="s">
        <v>560</v>
      </c>
      <c r="B182" s="35">
        <v>228002</v>
      </c>
      <c r="C182" s="56" t="s">
        <v>11</v>
      </c>
      <c r="D182" s="502"/>
    </row>
    <row r="183" spans="1:4">
      <c r="A183" s="63" t="s">
        <v>560</v>
      </c>
      <c r="B183" s="35">
        <v>235301</v>
      </c>
      <c r="C183" s="35" t="s">
        <v>29</v>
      </c>
      <c r="D183" s="499"/>
    </row>
    <row r="184" spans="1:4">
      <c r="A184" s="63" t="s">
        <v>560</v>
      </c>
      <c r="B184" s="35">
        <v>247005</v>
      </c>
      <c r="C184" s="35" t="s">
        <v>29</v>
      </c>
      <c r="D184" s="499"/>
    </row>
    <row r="185" spans="1:4">
      <c r="A185" s="63" t="s">
        <v>560</v>
      </c>
      <c r="B185" s="35">
        <v>260012</v>
      </c>
      <c r="C185" s="35" t="s">
        <v>28</v>
      </c>
      <c r="D185" s="499"/>
    </row>
    <row r="186" spans="1:4">
      <c r="A186" s="63" t="s">
        <v>560</v>
      </c>
      <c r="B186" s="35">
        <v>260021</v>
      </c>
      <c r="C186" s="35" t="s">
        <v>28</v>
      </c>
      <c r="D186" s="499"/>
    </row>
    <row r="187" spans="1:4">
      <c r="A187" s="63" t="s">
        <v>560</v>
      </c>
      <c r="B187" s="57">
        <v>260061</v>
      </c>
      <c r="C187" s="57" t="s">
        <v>557</v>
      </c>
      <c r="D187" s="501"/>
    </row>
    <row r="188" spans="1:4">
      <c r="A188" s="63" t="s">
        <v>560</v>
      </c>
      <c r="B188" s="35">
        <v>260101</v>
      </c>
      <c r="C188" s="35" t="s">
        <v>28</v>
      </c>
      <c r="D188" s="499"/>
    </row>
    <row r="189" spans="1:4">
      <c r="A189" s="63" t="s">
        <v>560</v>
      </c>
      <c r="B189" s="35">
        <v>260150</v>
      </c>
      <c r="C189" s="56" t="s">
        <v>149</v>
      </c>
      <c r="D189" s="502"/>
    </row>
    <row r="190" spans="1:4">
      <c r="A190" s="63" t="s">
        <v>560</v>
      </c>
      <c r="B190" s="35">
        <v>260151</v>
      </c>
      <c r="C190" s="56" t="s">
        <v>149</v>
      </c>
      <c r="D190" s="502"/>
    </row>
    <row r="191" spans="1:4">
      <c r="A191" s="63" t="s">
        <v>560</v>
      </c>
      <c r="B191" s="35">
        <v>260201</v>
      </c>
      <c r="C191" s="35" t="s">
        <v>28</v>
      </c>
      <c r="D191" s="499"/>
    </row>
    <row r="192" spans="1:4">
      <c r="A192" s="63" t="s">
        <v>560</v>
      </c>
      <c r="B192" s="35">
        <v>260351</v>
      </c>
      <c r="C192" s="35" t="s">
        <v>28</v>
      </c>
      <c r="D192" s="499"/>
    </row>
    <row r="193" spans="1:4">
      <c r="A193" s="63" t="s">
        <v>560</v>
      </c>
      <c r="B193" s="35">
        <v>260451</v>
      </c>
      <c r="C193" s="35" t="s">
        <v>28</v>
      </c>
      <c r="D193" s="499"/>
    </row>
    <row r="194" spans="1:4">
      <c r="A194" s="63" t="s">
        <v>560</v>
      </c>
      <c r="B194" s="35">
        <v>262101</v>
      </c>
      <c r="C194" s="35" t="s">
        <v>28</v>
      </c>
      <c r="D194" s="499"/>
    </row>
    <row r="195" spans="1:4">
      <c r="A195" s="63" t="s">
        <v>560</v>
      </c>
      <c r="B195" s="57">
        <v>262401</v>
      </c>
      <c r="C195" s="57" t="s">
        <v>28</v>
      </c>
      <c r="D195" s="501"/>
    </row>
    <row r="196" spans="1:4">
      <c r="A196" s="63" t="s">
        <v>560</v>
      </c>
      <c r="B196" s="57">
        <v>262501</v>
      </c>
      <c r="C196" s="57" t="s">
        <v>175</v>
      </c>
      <c r="D196" s="501"/>
    </row>
    <row r="197" spans="1:4">
      <c r="A197" s="63" t="s">
        <v>560</v>
      </c>
      <c r="B197" s="57">
        <v>262502</v>
      </c>
      <c r="C197" s="57" t="s">
        <v>175</v>
      </c>
      <c r="D197" s="501"/>
    </row>
    <row r="198" spans="1:4">
      <c r="A198" s="63" t="s">
        <v>560</v>
      </c>
      <c r="B198" s="57">
        <v>262503</v>
      </c>
      <c r="C198" s="57" t="s">
        <v>175</v>
      </c>
      <c r="D198" s="501"/>
    </row>
    <row r="199" spans="1:4">
      <c r="A199" s="63" t="s">
        <v>560</v>
      </c>
      <c r="B199" s="57">
        <v>262505</v>
      </c>
      <c r="C199" s="35" t="s">
        <v>175</v>
      </c>
      <c r="D199" s="499"/>
    </row>
    <row r="200" spans="1:4">
      <c r="A200" s="63" t="s">
        <v>560</v>
      </c>
      <c r="B200" s="35">
        <v>262506</v>
      </c>
      <c r="C200" s="35" t="s">
        <v>175</v>
      </c>
      <c r="D200" s="499"/>
    </row>
    <row r="201" spans="1:4">
      <c r="A201" s="63" t="s">
        <v>560</v>
      </c>
      <c r="B201" s="57">
        <v>263011</v>
      </c>
      <c r="C201" s="57" t="s">
        <v>29</v>
      </c>
      <c r="D201" s="501"/>
    </row>
    <row r="202" spans="1:4">
      <c r="A202" s="63" t="s">
        <v>560</v>
      </c>
      <c r="B202" s="35">
        <v>270100</v>
      </c>
      <c r="C202" s="56" t="s">
        <v>28</v>
      </c>
      <c r="D202" s="502"/>
    </row>
    <row r="203" spans="1:4">
      <c r="A203" s="63" t="s">
        <v>560</v>
      </c>
      <c r="B203" s="35">
        <v>270126</v>
      </c>
      <c r="C203" s="56" t="s">
        <v>28</v>
      </c>
      <c r="D203" s="502"/>
    </row>
    <row r="204" spans="1:4">
      <c r="A204" s="63" t="s">
        <v>560</v>
      </c>
      <c r="B204" s="191">
        <v>270210</v>
      </c>
      <c r="C204" s="56" t="s">
        <v>27</v>
      </c>
      <c r="D204" s="502"/>
    </row>
    <row r="205" spans="1:4">
      <c r="A205" s="63" t="s">
        <v>560</v>
      </c>
      <c r="B205" s="57">
        <v>280031</v>
      </c>
      <c r="C205" s="57" t="s">
        <v>27</v>
      </c>
      <c r="D205" s="501"/>
    </row>
    <row r="206" spans="1:4">
      <c r="A206" s="63" t="s">
        <v>560</v>
      </c>
      <c r="B206" s="57">
        <v>280031</v>
      </c>
      <c r="C206" s="57" t="s">
        <v>28</v>
      </c>
      <c r="D206" s="501"/>
    </row>
    <row r="207" spans="1:4">
      <c r="A207" s="63" t="s">
        <v>560</v>
      </c>
      <c r="B207" s="35">
        <v>280051</v>
      </c>
      <c r="C207" s="56" t="s">
        <v>27</v>
      </c>
      <c r="D207" s="502"/>
    </row>
    <row r="208" spans="1:4">
      <c r="A208" s="63" t="s">
        <v>560</v>
      </c>
      <c r="B208" s="35">
        <v>280071</v>
      </c>
      <c r="C208" s="56" t="s">
        <v>27</v>
      </c>
      <c r="D208" s="502"/>
    </row>
    <row r="209" spans="1:4">
      <c r="A209" s="63" t="s">
        <v>560</v>
      </c>
      <c r="B209" s="35">
        <v>280096</v>
      </c>
      <c r="C209" s="56" t="s">
        <v>27</v>
      </c>
      <c r="D209" s="502"/>
    </row>
    <row r="210" spans="1:4">
      <c r="A210" s="63" t="s">
        <v>560</v>
      </c>
      <c r="B210" s="35">
        <v>280100</v>
      </c>
      <c r="C210" s="56" t="s">
        <v>27</v>
      </c>
      <c r="D210" s="502"/>
    </row>
    <row r="211" spans="1:4">
      <c r="A211" s="63" t="s">
        <v>560</v>
      </c>
      <c r="B211" s="35">
        <v>280106</v>
      </c>
      <c r="C211" s="56" t="s">
        <v>28</v>
      </c>
      <c r="D211" s="502"/>
    </row>
    <row r="212" spans="1:4">
      <c r="A212" s="63" t="s">
        <v>560</v>
      </c>
      <c r="B212" s="35">
        <v>280110</v>
      </c>
      <c r="C212" s="56" t="s">
        <v>27</v>
      </c>
      <c r="D212" s="502"/>
    </row>
    <row r="213" spans="1:4">
      <c r="A213" s="63" t="s">
        <v>560</v>
      </c>
      <c r="B213" s="35">
        <v>280120</v>
      </c>
      <c r="C213" s="56" t="s">
        <v>27</v>
      </c>
      <c r="D213" s="502"/>
    </row>
    <row r="214" spans="1:4">
      <c r="A214" s="63" t="s">
        <v>560</v>
      </c>
      <c r="B214" s="35">
        <v>280126</v>
      </c>
      <c r="C214" s="56" t="s">
        <v>28</v>
      </c>
      <c r="D214" s="502"/>
    </row>
    <row r="215" spans="1:4">
      <c r="A215" s="63" t="s">
        <v>560</v>
      </c>
      <c r="B215" s="35">
        <v>280130</v>
      </c>
      <c r="C215" s="56" t="s">
        <v>28</v>
      </c>
      <c r="D215" s="502"/>
    </row>
    <row r="216" spans="1:4">
      <c r="A216" s="63" t="s">
        <v>560</v>
      </c>
      <c r="B216" s="35">
        <v>280141</v>
      </c>
      <c r="C216" s="56" t="s">
        <v>27</v>
      </c>
      <c r="D216" s="502"/>
    </row>
    <row r="217" spans="1:4">
      <c r="A217" s="63" t="s">
        <v>560</v>
      </c>
      <c r="B217" s="35">
        <v>280150</v>
      </c>
      <c r="C217" s="56" t="s">
        <v>27</v>
      </c>
      <c r="D217" s="502"/>
    </row>
    <row r="218" spans="1:4">
      <c r="A218" s="63" t="s">
        <v>560</v>
      </c>
      <c r="B218" s="35">
        <v>280151</v>
      </c>
      <c r="C218" s="56" t="s">
        <v>27</v>
      </c>
      <c r="D218" s="502"/>
    </row>
    <row r="219" spans="1:4">
      <c r="A219" s="63" t="s">
        <v>560</v>
      </c>
      <c r="B219" s="35">
        <v>280165</v>
      </c>
      <c r="C219" s="56" t="s">
        <v>27</v>
      </c>
      <c r="D219" s="502"/>
    </row>
    <row r="220" spans="1:4">
      <c r="A220" s="63" t="s">
        <v>560</v>
      </c>
      <c r="B220" s="35">
        <v>280300</v>
      </c>
      <c r="C220" s="56" t="s">
        <v>28</v>
      </c>
      <c r="D220" s="502"/>
    </row>
    <row r="221" spans="1:4">
      <c r="A221" s="63" t="s">
        <v>560</v>
      </c>
      <c r="B221" s="35">
        <v>280301</v>
      </c>
      <c r="C221" s="56" t="s">
        <v>28</v>
      </c>
      <c r="D221" s="502"/>
    </row>
    <row r="222" spans="1:4">
      <c r="A222" s="63" t="s">
        <v>560</v>
      </c>
      <c r="B222" s="35">
        <v>296004</v>
      </c>
      <c r="C222" s="56" t="s">
        <v>28</v>
      </c>
      <c r="D222" s="502"/>
    </row>
    <row r="223" spans="1:4">
      <c r="A223" s="63" t="s">
        <v>560</v>
      </c>
      <c r="B223" s="35" t="s">
        <v>53</v>
      </c>
      <c r="C223" s="35" t="s">
        <v>28</v>
      </c>
      <c r="D223" s="499"/>
    </row>
    <row r="224" spans="1:4">
      <c r="A224" s="63" t="s">
        <v>560</v>
      </c>
      <c r="B224" s="57" t="s">
        <v>350</v>
      </c>
      <c r="C224" s="57" t="s">
        <v>28</v>
      </c>
      <c r="D224" s="501"/>
    </row>
    <row r="225" spans="1:4">
      <c r="A225" s="63" t="s">
        <v>560</v>
      </c>
      <c r="B225" s="57" t="s">
        <v>351</v>
      </c>
      <c r="C225" s="57" t="s">
        <v>29</v>
      </c>
      <c r="D225" s="501"/>
    </row>
    <row r="226" spans="1:4">
      <c r="A226" s="63" t="s">
        <v>560</v>
      </c>
      <c r="B226" s="57" t="s">
        <v>352</v>
      </c>
      <c r="C226" s="57" t="s">
        <v>29</v>
      </c>
      <c r="D226" s="501"/>
    </row>
    <row r="227" spans="1:4">
      <c r="A227" s="63" t="s">
        <v>560</v>
      </c>
      <c r="B227" s="57" t="s">
        <v>353</v>
      </c>
      <c r="C227" s="57" t="s">
        <v>29</v>
      </c>
      <c r="D227" s="501"/>
    </row>
    <row r="228" spans="1:4">
      <c r="A228" s="63" t="s">
        <v>560</v>
      </c>
      <c r="B228" s="57" t="s">
        <v>354</v>
      </c>
      <c r="C228" s="57" t="s">
        <v>29</v>
      </c>
      <c r="D228" s="501"/>
    </row>
    <row r="229" spans="1:4">
      <c r="A229" s="63" t="s">
        <v>560</v>
      </c>
      <c r="B229" s="35" t="s">
        <v>48</v>
      </c>
      <c r="C229" s="35" t="s">
        <v>29</v>
      </c>
      <c r="D229" s="499"/>
    </row>
    <row r="230" spans="1:4">
      <c r="A230" s="63" t="s">
        <v>560</v>
      </c>
      <c r="B230" s="35" t="s">
        <v>1372</v>
      </c>
      <c r="C230" s="35"/>
      <c r="D230" s="499"/>
    </row>
    <row r="231" spans="1:4">
      <c r="A231" s="63" t="s">
        <v>3092</v>
      </c>
      <c r="B231" s="35" t="s">
        <v>1795</v>
      </c>
      <c r="C231" s="35" t="s">
        <v>149</v>
      </c>
      <c r="D231" s="499"/>
    </row>
    <row r="232" spans="1:4">
      <c r="A232" s="63" t="s">
        <v>3092</v>
      </c>
      <c r="B232" s="35" t="s">
        <v>1787</v>
      </c>
      <c r="C232" s="35" t="s">
        <v>1789</v>
      </c>
      <c r="D232" s="499"/>
    </row>
    <row r="233" spans="1:4">
      <c r="A233" s="63" t="s">
        <v>3092</v>
      </c>
      <c r="B233" s="35" t="s">
        <v>1788</v>
      </c>
      <c r="C233" s="35" t="s">
        <v>1789</v>
      </c>
      <c r="D233" s="499"/>
    </row>
    <row r="234" spans="1:4">
      <c r="A234" s="63" t="s">
        <v>3092</v>
      </c>
      <c r="B234" s="35" t="s">
        <v>1775</v>
      </c>
      <c r="C234" s="35" t="s">
        <v>1776</v>
      </c>
      <c r="D234" s="499"/>
    </row>
    <row r="235" spans="1:4">
      <c r="A235" s="63" t="s">
        <v>3092</v>
      </c>
      <c r="B235" s="58">
        <v>6554</v>
      </c>
      <c r="C235" s="59" t="s">
        <v>28</v>
      </c>
      <c r="D235" s="503"/>
    </row>
    <row r="236" spans="1:4">
      <c r="A236" s="63" t="s">
        <v>3092</v>
      </c>
      <c r="B236" s="35">
        <v>10152</v>
      </c>
      <c r="C236" s="35" t="s">
        <v>408</v>
      </c>
      <c r="D236" s="499"/>
    </row>
    <row r="237" spans="1:4">
      <c r="A237" s="63" t="s">
        <v>3092</v>
      </c>
      <c r="B237" s="57">
        <v>70004</v>
      </c>
      <c r="C237" s="57" t="s">
        <v>149</v>
      </c>
      <c r="D237" s="501"/>
    </row>
    <row r="238" spans="1:4">
      <c r="A238" s="63" t="s">
        <v>3092</v>
      </c>
      <c r="B238" s="57">
        <v>70011</v>
      </c>
      <c r="C238" s="57" t="s">
        <v>149</v>
      </c>
      <c r="D238" s="501"/>
    </row>
    <row r="239" spans="1:4">
      <c r="A239" s="63" t="s">
        <v>3092</v>
      </c>
      <c r="B239" s="57">
        <v>70012</v>
      </c>
      <c r="C239" s="57" t="s">
        <v>402</v>
      </c>
      <c r="D239" s="501"/>
    </row>
    <row r="240" spans="1:4">
      <c r="A240" s="63" t="s">
        <v>3092</v>
      </c>
      <c r="B240" s="57">
        <v>70015</v>
      </c>
      <c r="C240" s="57" t="s">
        <v>149</v>
      </c>
      <c r="D240" s="501"/>
    </row>
    <row r="241" spans="1:4">
      <c r="A241" s="63" t="s">
        <v>3092</v>
      </c>
      <c r="B241" s="35" t="s">
        <v>161</v>
      </c>
      <c r="C241" s="56" t="s">
        <v>28</v>
      </c>
      <c r="D241" s="502"/>
    </row>
    <row r="242" spans="1:4">
      <c r="A242" s="63" t="s">
        <v>3092</v>
      </c>
      <c r="B242" s="35" t="s">
        <v>457</v>
      </c>
      <c r="C242" s="56" t="s">
        <v>29</v>
      </c>
      <c r="D242" s="502"/>
    </row>
    <row r="243" spans="1:4">
      <c r="A243" s="63" t="s">
        <v>3092</v>
      </c>
      <c r="B243" s="35" t="s">
        <v>472</v>
      </c>
      <c r="C243" s="56" t="s">
        <v>28</v>
      </c>
      <c r="D243" s="502"/>
    </row>
    <row r="244" spans="1:4">
      <c r="A244" s="63" t="s">
        <v>3092</v>
      </c>
      <c r="B244" s="35" t="s">
        <v>456</v>
      </c>
      <c r="C244" s="56" t="s">
        <v>28</v>
      </c>
      <c r="D244" s="502"/>
    </row>
    <row r="245" spans="1:4">
      <c r="A245" s="63" t="s">
        <v>3092</v>
      </c>
      <c r="B245" s="35" t="s">
        <v>399</v>
      </c>
      <c r="C245" s="56" t="s">
        <v>28</v>
      </c>
      <c r="D245" s="502"/>
    </row>
    <row r="246" spans="1:4">
      <c r="A246" s="63" t="s">
        <v>3092</v>
      </c>
      <c r="B246" s="35" t="s">
        <v>400</v>
      </c>
      <c r="C246" s="56" t="s">
        <v>28</v>
      </c>
      <c r="D246" s="502"/>
    </row>
    <row r="247" spans="1:4">
      <c r="A247" s="63" t="s">
        <v>3092</v>
      </c>
      <c r="B247" s="35" t="s">
        <v>156</v>
      </c>
      <c r="C247" s="56" t="s">
        <v>28</v>
      </c>
      <c r="D247" s="502"/>
    </row>
    <row r="248" spans="1:4">
      <c r="A248" s="63" t="s">
        <v>3092</v>
      </c>
      <c r="B248" s="35" t="s">
        <v>159</v>
      </c>
      <c r="C248" s="56" t="s">
        <v>29</v>
      </c>
      <c r="D248" s="502"/>
    </row>
    <row r="249" spans="1:4">
      <c r="A249" s="63" t="s">
        <v>3092</v>
      </c>
      <c r="B249" s="35" t="s">
        <v>179</v>
      </c>
      <c r="C249" s="56" t="s">
        <v>28</v>
      </c>
      <c r="D249" s="502"/>
    </row>
    <row r="250" spans="1:4">
      <c r="A250" s="63" t="s">
        <v>3092</v>
      </c>
      <c r="B250" s="58" t="s">
        <v>181</v>
      </c>
      <c r="C250" s="60" t="s">
        <v>28</v>
      </c>
      <c r="D250" s="504"/>
    </row>
    <row r="251" spans="1:4">
      <c r="A251" s="63" t="s">
        <v>3092</v>
      </c>
      <c r="B251" s="35" t="s">
        <v>162</v>
      </c>
      <c r="C251" s="56" t="s">
        <v>28</v>
      </c>
      <c r="D251" s="502"/>
    </row>
    <row r="252" spans="1:4">
      <c r="A252" s="63" t="s">
        <v>3092</v>
      </c>
      <c r="B252" s="58" t="s">
        <v>452</v>
      </c>
      <c r="C252" s="60" t="s">
        <v>28</v>
      </c>
      <c r="D252" s="504"/>
    </row>
    <row r="253" spans="1:4">
      <c r="A253" s="63" t="s">
        <v>3092</v>
      </c>
      <c r="B253" s="35" t="s">
        <v>153</v>
      </c>
      <c r="C253" s="35" t="s">
        <v>28</v>
      </c>
      <c r="D253" s="499"/>
    </row>
    <row r="254" spans="1:4">
      <c r="A254" s="63" t="s">
        <v>3092</v>
      </c>
      <c r="B254" s="35" t="s">
        <v>470</v>
      </c>
      <c r="C254" s="56" t="s">
        <v>28</v>
      </c>
      <c r="D254" s="502"/>
    </row>
    <row r="255" spans="1:4">
      <c r="A255" s="63" t="s">
        <v>3092</v>
      </c>
      <c r="B255" s="35" t="s">
        <v>404</v>
      </c>
      <c r="C255" s="35" t="s">
        <v>58</v>
      </c>
      <c r="D255" s="499"/>
    </row>
    <row r="256" spans="1:4">
      <c r="A256" s="63" t="s">
        <v>3092</v>
      </c>
      <c r="B256" s="35" t="s">
        <v>405</v>
      </c>
      <c r="C256" s="35" t="s">
        <v>58</v>
      </c>
      <c r="D256" s="499"/>
    </row>
    <row r="257" spans="1:4">
      <c r="A257" s="63" t="s">
        <v>3092</v>
      </c>
      <c r="B257" s="35" t="s">
        <v>407</v>
      </c>
      <c r="C257" s="35" t="s">
        <v>408</v>
      </c>
      <c r="D257" s="499"/>
    </row>
    <row r="258" spans="1:4">
      <c r="A258" s="63" t="s">
        <v>3092</v>
      </c>
      <c r="B258" s="58" t="s">
        <v>453</v>
      </c>
      <c r="C258" s="60" t="s">
        <v>27</v>
      </c>
      <c r="D258" s="504"/>
    </row>
    <row r="259" spans="1:4">
      <c r="A259" s="63" t="s">
        <v>3092</v>
      </c>
      <c r="B259" s="58" t="s">
        <v>417</v>
      </c>
      <c r="C259" s="60" t="s">
        <v>27</v>
      </c>
      <c r="D259" s="504"/>
    </row>
    <row r="260" spans="1:4">
      <c r="A260" s="63" t="s">
        <v>3092</v>
      </c>
      <c r="B260" s="35" t="s">
        <v>406</v>
      </c>
      <c r="C260" s="35" t="s">
        <v>58</v>
      </c>
      <c r="D260" s="499"/>
    </row>
    <row r="261" spans="1:4">
      <c r="A261" s="63" t="s">
        <v>3092</v>
      </c>
      <c r="B261" s="57" t="s">
        <v>435</v>
      </c>
      <c r="C261" s="57" t="s">
        <v>29</v>
      </c>
      <c r="D261" s="501"/>
    </row>
    <row r="262" spans="1:4">
      <c r="A262" s="63" t="s">
        <v>3092</v>
      </c>
      <c r="B262" s="58" t="s">
        <v>436</v>
      </c>
      <c r="C262" s="60" t="s">
        <v>27</v>
      </c>
      <c r="D262" s="504"/>
    </row>
    <row r="263" spans="1:4">
      <c r="A263" s="63" t="s">
        <v>3092</v>
      </c>
      <c r="B263" s="58" t="s">
        <v>437</v>
      </c>
      <c r="C263" s="60" t="s">
        <v>27</v>
      </c>
      <c r="D263" s="504"/>
    </row>
    <row r="264" spans="1:4">
      <c r="A264" s="63" t="s">
        <v>3092</v>
      </c>
      <c r="B264" s="58" t="s">
        <v>438</v>
      </c>
      <c r="C264" s="60" t="s">
        <v>27</v>
      </c>
      <c r="D264" s="504"/>
    </row>
    <row r="265" spans="1:4">
      <c r="A265" s="63" t="s">
        <v>3092</v>
      </c>
      <c r="B265" s="58" t="s">
        <v>409</v>
      </c>
      <c r="C265" s="60" t="s">
        <v>27</v>
      </c>
      <c r="D265" s="504"/>
    </row>
    <row r="266" spans="1:4">
      <c r="A266" s="63" t="s">
        <v>3092</v>
      </c>
      <c r="B266" s="58" t="s">
        <v>454</v>
      </c>
      <c r="C266" s="60" t="s">
        <v>15</v>
      </c>
      <c r="D266" s="504"/>
    </row>
    <row r="267" spans="1:4">
      <c r="A267" s="63" t="s">
        <v>3092</v>
      </c>
      <c r="B267" s="57" t="s">
        <v>357</v>
      </c>
      <c r="C267" s="57" t="s">
        <v>29</v>
      </c>
      <c r="D267" s="501"/>
    </row>
    <row r="268" spans="1:4">
      <c r="A268" s="63" t="s">
        <v>3092</v>
      </c>
      <c r="B268" s="57" t="s">
        <v>358</v>
      </c>
      <c r="C268" s="57" t="s">
        <v>175</v>
      </c>
      <c r="D268" s="501"/>
    </row>
    <row r="269" spans="1:4">
      <c r="A269" s="63" t="s">
        <v>3092</v>
      </c>
      <c r="B269" s="57" t="s">
        <v>398</v>
      </c>
      <c r="C269" s="57" t="s">
        <v>28</v>
      </c>
      <c r="D269" s="501"/>
    </row>
    <row r="270" spans="1:4">
      <c r="A270" s="63" t="s">
        <v>3092</v>
      </c>
      <c r="B270" s="35" t="s">
        <v>183</v>
      </c>
      <c r="C270" s="56" t="s">
        <v>165</v>
      </c>
      <c r="D270" s="502"/>
    </row>
    <row r="271" spans="1:4">
      <c r="A271" s="63" t="s">
        <v>3092</v>
      </c>
      <c r="B271" s="58" t="s">
        <v>166</v>
      </c>
      <c r="C271" s="60" t="s">
        <v>165</v>
      </c>
      <c r="D271" s="504"/>
    </row>
    <row r="272" spans="1:4">
      <c r="A272" s="63" t="s">
        <v>3092</v>
      </c>
      <c r="B272" s="57" t="s">
        <v>356</v>
      </c>
      <c r="C272" s="57" t="s">
        <v>29</v>
      </c>
      <c r="D272" s="501"/>
    </row>
    <row r="273" spans="1:4">
      <c r="A273" s="63" t="s">
        <v>3092</v>
      </c>
      <c r="B273" s="58" t="s">
        <v>226</v>
      </c>
      <c r="C273" s="60" t="s">
        <v>28</v>
      </c>
      <c r="D273" s="504"/>
    </row>
    <row r="274" spans="1:4">
      <c r="A274" s="63" t="s">
        <v>3092</v>
      </c>
      <c r="B274" s="35" t="s">
        <v>224</v>
      </c>
      <c r="C274" s="56" t="s">
        <v>28</v>
      </c>
      <c r="D274" s="502"/>
    </row>
    <row r="275" spans="1:4">
      <c r="A275" s="63" t="s">
        <v>3092</v>
      </c>
      <c r="B275" s="35" t="s">
        <v>380</v>
      </c>
      <c r="C275" s="56" t="s">
        <v>29</v>
      </c>
      <c r="D275" s="502"/>
    </row>
    <row r="276" spans="1:4">
      <c r="A276" s="63" t="s">
        <v>3092</v>
      </c>
      <c r="B276" s="35" t="s">
        <v>410</v>
      </c>
      <c r="C276" s="35" t="s">
        <v>29</v>
      </c>
      <c r="D276" s="499"/>
    </row>
    <row r="277" spans="1:4">
      <c r="A277" s="63" t="s">
        <v>3092</v>
      </c>
      <c r="B277" s="35" t="s">
        <v>411</v>
      </c>
      <c r="C277" s="35" t="s">
        <v>29</v>
      </c>
      <c r="D277" s="499"/>
    </row>
    <row r="278" spans="1:4">
      <c r="A278" s="63" t="s">
        <v>3092</v>
      </c>
      <c r="B278" s="35" t="s">
        <v>416</v>
      </c>
      <c r="C278" s="35" t="s">
        <v>29</v>
      </c>
      <c r="D278" s="499"/>
    </row>
    <row r="279" spans="1:4">
      <c r="A279" s="63" t="s">
        <v>3092</v>
      </c>
      <c r="B279" s="57" t="s">
        <v>460</v>
      </c>
      <c r="C279" s="56" t="s">
        <v>175</v>
      </c>
      <c r="D279" s="502"/>
    </row>
    <row r="280" spans="1:4">
      <c r="A280" s="63" t="s">
        <v>3092</v>
      </c>
      <c r="B280" s="35" t="s">
        <v>422</v>
      </c>
      <c r="C280" s="35" t="s">
        <v>29</v>
      </c>
      <c r="D280" s="499"/>
    </row>
    <row r="281" spans="1:4">
      <c r="A281" s="63" t="s">
        <v>3092</v>
      </c>
      <c r="B281" s="35" t="s">
        <v>418</v>
      </c>
      <c r="C281" s="35" t="s">
        <v>29</v>
      </c>
      <c r="D281" s="499"/>
    </row>
    <row r="282" spans="1:4">
      <c r="A282" s="63" t="s">
        <v>3092</v>
      </c>
      <c r="B282" s="35" t="s">
        <v>419</v>
      </c>
      <c r="C282" s="35" t="s">
        <v>29</v>
      </c>
      <c r="D282" s="499"/>
    </row>
    <row r="283" spans="1:4">
      <c r="A283" s="63" t="s">
        <v>3092</v>
      </c>
      <c r="B283" s="57" t="s">
        <v>421</v>
      </c>
      <c r="C283" s="57" t="s">
        <v>29</v>
      </c>
      <c r="D283" s="501"/>
    </row>
    <row r="284" spans="1:4">
      <c r="A284" s="63" t="s">
        <v>3092</v>
      </c>
      <c r="B284" s="57" t="s">
        <v>427</v>
      </c>
      <c r="C284" s="57" t="s">
        <v>29</v>
      </c>
      <c r="D284" s="501"/>
    </row>
    <row r="285" spans="1:4">
      <c r="A285" s="63" t="s">
        <v>3092</v>
      </c>
      <c r="B285" s="35" t="s">
        <v>420</v>
      </c>
      <c r="C285" s="35" t="s">
        <v>29</v>
      </c>
      <c r="D285" s="499"/>
    </row>
    <row r="286" spans="1:4">
      <c r="A286" s="63" t="s">
        <v>3092</v>
      </c>
      <c r="B286" s="35" t="s">
        <v>423</v>
      </c>
      <c r="C286" s="35" t="s">
        <v>29</v>
      </c>
      <c r="D286" s="499"/>
    </row>
    <row r="287" spans="1:4">
      <c r="A287" s="63" t="s">
        <v>3092</v>
      </c>
      <c r="B287" s="35" t="s">
        <v>424</v>
      </c>
      <c r="C287" s="35" t="s">
        <v>29</v>
      </c>
      <c r="D287" s="499"/>
    </row>
    <row r="288" spans="1:4">
      <c r="A288" s="63" t="s">
        <v>3092</v>
      </c>
      <c r="B288" s="35" t="s">
        <v>426</v>
      </c>
      <c r="C288" s="35" t="s">
        <v>29</v>
      </c>
      <c r="D288" s="499"/>
    </row>
    <row r="289" spans="1:4">
      <c r="A289" s="63" t="s">
        <v>3092</v>
      </c>
      <c r="B289" s="35" t="s">
        <v>461</v>
      </c>
      <c r="C289" s="56" t="s">
        <v>175</v>
      </c>
      <c r="D289" s="502"/>
    </row>
    <row r="290" spans="1:4">
      <c r="A290" s="63" t="s">
        <v>3092</v>
      </c>
      <c r="B290" s="57" t="s">
        <v>439</v>
      </c>
      <c r="C290" s="57" t="s">
        <v>29</v>
      </c>
      <c r="D290" s="501"/>
    </row>
    <row r="291" spans="1:4">
      <c r="A291" s="63" t="s">
        <v>3092</v>
      </c>
      <c r="B291" s="57" t="s">
        <v>446</v>
      </c>
      <c r="C291" s="57" t="s">
        <v>29</v>
      </c>
      <c r="D291" s="501"/>
    </row>
    <row r="292" spans="1:4">
      <c r="A292" s="63" t="s">
        <v>3092</v>
      </c>
      <c r="B292" s="35" t="s">
        <v>401</v>
      </c>
      <c r="C292" s="57" t="s">
        <v>402</v>
      </c>
      <c r="D292" s="501"/>
    </row>
    <row r="293" spans="1:4">
      <c r="A293" s="63" t="s">
        <v>3092</v>
      </c>
      <c r="B293" s="57" t="s">
        <v>451</v>
      </c>
      <c r="C293" s="57" t="s">
        <v>175</v>
      </c>
      <c r="D293" s="501"/>
    </row>
    <row r="294" spans="1:4">
      <c r="A294" s="63" t="s">
        <v>3092</v>
      </c>
      <c r="B294" s="57" t="s">
        <v>447</v>
      </c>
      <c r="C294" s="57" t="s">
        <v>175</v>
      </c>
      <c r="D294" s="501"/>
    </row>
    <row r="295" spans="1:4">
      <c r="A295" s="63" t="s">
        <v>3092</v>
      </c>
      <c r="B295" s="57" t="s">
        <v>443</v>
      </c>
      <c r="C295" s="57" t="s">
        <v>175</v>
      </c>
      <c r="D295" s="501"/>
    </row>
    <row r="296" spans="1:4">
      <c r="A296" s="63" t="s">
        <v>3092</v>
      </c>
      <c r="B296" s="35" t="s">
        <v>375</v>
      </c>
      <c r="C296" s="56" t="s">
        <v>28</v>
      </c>
      <c r="D296" s="502"/>
    </row>
    <row r="297" spans="1:4">
      <c r="A297" s="63" t="s">
        <v>3092</v>
      </c>
      <c r="B297" s="35" t="s">
        <v>167</v>
      </c>
      <c r="C297" s="56" t="s">
        <v>149</v>
      </c>
      <c r="D297" s="502"/>
    </row>
    <row r="298" spans="1:4">
      <c r="A298" s="63" t="s">
        <v>3092</v>
      </c>
      <c r="B298" s="35" t="s">
        <v>169</v>
      </c>
      <c r="C298" s="56" t="s">
        <v>29</v>
      </c>
      <c r="D298" s="502"/>
    </row>
    <row r="299" spans="1:4">
      <c r="A299" s="63" t="s">
        <v>3092</v>
      </c>
      <c r="B299" s="35" t="s">
        <v>202</v>
      </c>
      <c r="C299" s="56" t="s">
        <v>28</v>
      </c>
      <c r="D299" s="502"/>
    </row>
    <row r="300" spans="1:4">
      <c r="A300" s="63" t="s">
        <v>3092</v>
      </c>
      <c r="B300" s="57" t="s">
        <v>1444</v>
      </c>
      <c r="C300" s="57" t="s">
        <v>29</v>
      </c>
      <c r="D300" s="501"/>
    </row>
    <row r="301" spans="1:4">
      <c r="A301" s="63" t="s">
        <v>3092</v>
      </c>
      <c r="B301" s="57" t="s">
        <v>448</v>
      </c>
      <c r="C301" s="57" t="s">
        <v>29</v>
      </c>
      <c r="D301" s="501"/>
    </row>
    <row r="302" spans="1:4">
      <c r="A302" s="63" t="s">
        <v>3092</v>
      </c>
      <c r="B302" s="57" t="s">
        <v>442</v>
      </c>
      <c r="C302" s="57" t="s">
        <v>29</v>
      </c>
      <c r="D302" s="501"/>
    </row>
    <row r="303" spans="1:4">
      <c r="A303" s="63" t="s">
        <v>3092</v>
      </c>
      <c r="B303" s="57" t="s">
        <v>444</v>
      </c>
      <c r="C303" s="57" t="s">
        <v>15</v>
      </c>
      <c r="D303" s="501"/>
    </row>
    <row r="304" spans="1:4">
      <c r="A304" s="63" t="s">
        <v>3092</v>
      </c>
      <c r="B304" s="35" t="s">
        <v>185</v>
      </c>
      <c r="C304" s="56" t="s">
        <v>165</v>
      </c>
      <c r="D304" s="502"/>
    </row>
    <row r="305" spans="1:4">
      <c r="A305" s="63" t="s">
        <v>3092</v>
      </c>
      <c r="B305" s="57" t="s">
        <v>164</v>
      </c>
      <c r="C305" s="57" t="s">
        <v>165</v>
      </c>
      <c r="D305" s="501"/>
    </row>
    <row r="306" spans="1:4">
      <c r="A306" s="63" t="s">
        <v>3092</v>
      </c>
      <c r="B306" s="35" t="s">
        <v>376</v>
      </c>
      <c r="C306" s="56" t="s">
        <v>27</v>
      </c>
      <c r="D306" s="502"/>
    </row>
    <row r="307" spans="1:4">
      <c r="A307" s="63" t="s">
        <v>3092</v>
      </c>
      <c r="B307" s="35" t="s">
        <v>381</v>
      </c>
      <c r="C307" s="56" t="s">
        <v>27</v>
      </c>
      <c r="D307" s="502"/>
    </row>
    <row r="308" spans="1:4">
      <c r="A308" s="63" t="s">
        <v>3092</v>
      </c>
      <c r="B308" s="35" t="s">
        <v>1443</v>
      </c>
      <c r="C308" s="56" t="s">
        <v>1445</v>
      </c>
      <c r="D308" s="502"/>
    </row>
    <row r="309" spans="1:4">
      <c r="A309" s="63" t="s">
        <v>3092</v>
      </c>
      <c r="B309" s="35" t="s">
        <v>425</v>
      </c>
      <c r="C309" s="35" t="s">
        <v>175</v>
      </c>
      <c r="D309" s="499"/>
    </row>
    <row r="310" spans="1:4">
      <c r="A310" s="63" t="s">
        <v>3092</v>
      </c>
      <c r="B310" s="58" t="s">
        <v>428</v>
      </c>
      <c r="C310" s="60" t="s">
        <v>27</v>
      </c>
      <c r="D310" s="504"/>
    </row>
    <row r="311" spans="1:4">
      <c r="A311" s="63" t="s">
        <v>3092</v>
      </c>
      <c r="B311" s="58" t="s">
        <v>429</v>
      </c>
      <c r="C311" s="60" t="s">
        <v>27</v>
      </c>
      <c r="D311" s="504"/>
    </row>
    <row r="312" spans="1:4">
      <c r="A312" s="63" t="s">
        <v>3092</v>
      </c>
      <c r="B312" s="58" t="s">
        <v>430</v>
      </c>
      <c r="C312" s="60" t="s">
        <v>27</v>
      </c>
      <c r="D312" s="504"/>
    </row>
    <row r="313" spans="1:4">
      <c r="A313" s="63" t="s">
        <v>3092</v>
      </c>
      <c r="B313" s="57" t="s">
        <v>431</v>
      </c>
      <c r="C313" s="57" t="s">
        <v>29</v>
      </c>
      <c r="D313" s="501"/>
    </row>
    <row r="314" spans="1:4">
      <c r="A314" s="63" t="s">
        <v>3092</v>
      </c>
      <c r="B314" s="57" t="s">
        <v>432</v>
      </c>
      <c r="C314" s="57" t="s">
        <v>29</v>
      </c>
      <c r="D314" s="501"/>
    </row>
    <row r="315" spans="1:4">
      <c r="A315" s="63" t="s">
        <v>3092</v>
      </c>
      <c r="B315" s="57" t="s">
        <v>433</v>
      </c>
      <c r="C315" s="57" t="s">
        <v>29</v>
      </c>
      <c r="D315" s="501"/>
    </row>
    <row r="316" spans="1:4">
      <c r="A316" s="63" t="s">
        <v>3092</v>
      </c>
      <c r="B316" s="57" t="s">
        <v>434</v>
      </c>
      <c r="C316" s="57" t="s">
        <v>29</v>
      </c>
      <c r="D316" s="501"/>
    </row>
    <row r="317" spans="1:4">
      <c r="A317" s="63" t="s">
        <v>3092</v>
      </c>
      <c r="B317" s="57" t="s">
        <v>403</v>
      </c>
      <c r="C317" s="57" t="s">
        <v>29</v>
      </c>
      <c r="D317" s="501"/>
    </row>
    <row r="318" spans="1:4">
      <c r="A318" s="63" t="s">
        <v>3092</v>
      </c>
      <c r="B318" s="57" t="s">
        <v>445</v>
      </c>
      <c r="C318" s="57" t="s">
        <v>29</v>
      </c>
      <c r="D318" s="501"/>
    </row>
    <row r="319" spans="1:4">
      <c r="A319" s="63" t="s">
        <v>3092</v>
      </c>
      <c r="B319" s="58" t="s">
        <v>449</v>
      </c>
      <c r="C319" s="60" t="s">
        <v>27</v>
      </c>
      <c r="D319" s="504"/>
    </row>
    <row r="320" spans="1:4">
      <c r="A320" s="63" t="s">
        <v>3092</v>
      </c>
      <c r="B320" s="35" t="s">
        <v>465</v>
      </c>
      <c r="C320" s="56" t="s">
        <v>29</v>
      </c>
      <c r="D320" s="502"/>
    </row>
    <row r="321" spans="1:4">
      <c r="A321" s="63" t="s">
        <v>3092</v>
      </c>
      <c r="B321" s="35" t="s">
        <v>394</v>
      </c>
      <c r="C321" s="56" t="s">
        <v>27</v>
      </c>
      <c r="D321" s="502"/>
    </row>
    <row r="322" spans="1:4">
      <c r="A322" s="63" t="s">
        <v>3092</v>
      </c>
      <c r="B322" s="35" t="s">
        <v>462</v>
      </c>
      <c r="C322" s="56" t="s">
        <v>11</v>
      </c>
      <c r="D322" s="502"/>
    </row>
    <row r="323" spans="1:4">
      <c r="A323" s="63" t="s">
        <v>3092</v>
      </c>
      <c r="B323" s="35" t="s">
        <v>195</v>
      </c>
      <c r="C323" s="56" t="s">
        <v>27</v>
      </c>
      <c r="D323" s="502"/>
    </row>
    <row r="324" spans="1:4">
      <c r="A324" s="63" t="s">
        <v>3092</v>
      </c>
      <c r="B324" s="35" t="s">
        <v>395</v>
      </c>
      <c r="C324" s="56" t="s">
        <v>29</v>
      </c>
      <c r="D324" s="502"/>
    </row>
    <row r="325" spans="1:4">
      <c r="A325" s="63" t="s">
        <v>3092</v>
      </c>
      <c r="B325" s="58" t="s">
        <v>1666</v>
      </c>
      <c r="C325" s="60" t="s">
        <v>175</v>
      </c>
      <c r="D325" s="504"/>
    </row>
    <row r="326" spans="1:4">
      <c r="A326" s="63" t="s">
        <v>3092</v>
      </c>
      <c r="B326" s="58" t="s">
        <v>396</v>
      </c>
      <c r="C326" s="60" t="s">
        <v>175</v>
      </c>
      <c r="D326" s="504"/>
    </row>
    <row r="327" spans="1:4">
      <c r="A327" s="63" t="s">
        <v>3092</v>
      </c>
      <c r="B327" s="35" t="s">
        <v>466</v>
      </c>
      <c r="C327" s="56" t="s">
        <v>27</v>
      </c>
      <c r="D327" s="502"/>
    </row>
    <row r="328" spans="1:4">
      <c r="A328" s="63" t="s">
        <v>3092</v>
      </c>
      <c r="B328" s="35" t="s">
        <v>193</v>
      </c>
      <c r="C328" s="56" t="s">
        <v>27</v>
      </c>
      <c r="D328" s="502"/>
    </row>
    <row r="329" spans="1:4">
      <c r="A329" s="63" t="s">
        <v>3092</v>
      </c>
      <c r="B329" s="58" t="s">
        <v>397</v>
      </c>
      <c r="C329" s="60" t="s">
        <v>175</v>
      </c>
      <c r="D329" s="504"/>
    </row>
    <row r="330" spans="1:4">
      <c r="A330" s="63" t="s">
        <v>3092</v>
      </c>
      <c r="B330" s="35" t="s">
        <v>382</v>
      </c>
      <c r="C330" s="56" t="s">
        <v>175</v>
      </c>
      <c r="D330" s="502"/>
    </row>
    <row r="331" spans="1:4">
      <c r="A331" s="63" t="s">
        <v>3092</v>
      </c>
      <c r="B331" s="35" t="s">
        <v>455</v>
      </c>
      <c r="C331" s="56" t="s">
        <v>28</v>
      </c>
      <c r="D331" s="502"/>
    </row>
    <row r="332" spans="1:4">
      <c r="A332" s="63" t="s">
        <v>3092</v>
      </c>
      <c r="B332" s="35" t="s">
        <v>412</v>
      </c>
      <c r="C332" s="56" t="s">
        <v>28</v>
      </c>
      <c r="D332" s="502"/>
    </row>
    <row r="333" spans="1:4">
      <c r="A333" s="63" t="s">
        <v>3092</v>
      </c>
      <c r="B333" s="58" t="s">
        <v>359</v>
      </c>
      <c r="C333" s="60" t="s">
        <v>29</v>
      </c>
      <c r="D333" s="504"/>
    </row>
    <row r="334" spans="1:4">
      <c r="A334" s="63" t="s">
        <v>3092</v>
      </c>
      <c r="B334" s="35" t="s">
        <v>222</v>
      </c>
      <c r="C334" s="56" t="s">
        <v>29</v>
      </c>
      <c r="D334" s="502"/>
    </row>
    <row r="335" spans="1:4">
      <c r="A335" s="63" t="s">
        <v>3092</v>
      </c>
      <c r="B335" s="57" t="s">
        <v>458</v>
      </c>
      <c r="C335" s="56" t="s">
        <v>165</v>
      </c>
      <c r="D335" s="502"/>
    </row>
    <row r="336" spans="1:4">
      <c r="A336" s="63" t="s">
        <v>3092</v>
      </c>
      <c r="B336" s="57" t="s">
        <v>459</v>
      </c>
      <c r="C336" s="56" t="s">
        <v>165</v>
      </c>
      <c r="D336" s="502"/>
    </row>
    <row r="337" spans="1:4">
      <c r="A337" s="63" t="s">
        <v>3092</v>
      </c>
      <c r="B337" s="35" t="s">
        <v>414</v>
      </c>
      <c r="C337" s="56" t="s">
        <v>29</v>
      </c>
      <c r="D337" s="502"/>
    </row>
    <row r="338" spans="1:4">
      <c r="A338" s="63" t="s">
        <v>3092</v>
      </c>
      <c r="B338" s="35" t="s">
        <v>471</v>
      </c>
      <c r="C338" s="56" t="s">
        <v>28</v>
      </c>
      <c r="D338" s="502"/>
    </row>
    <row r="339" spans="1:4">
      <c r="A339" s="63" t="s">
        <v>3092</v>
      </c>
      <c r="B339" s="35" t="s">
        <v>383</v>
      </c>
      <c r="C339" s="56" t="s">
        <v>175</v>
      </c>
      <c r="D339" s="502"/>
    </row>
    <row r="340" spans="1:4">
      <c r="A340" s="63" t="s">
        <v>3092</v>
      </c>
      <c r="B340" s="57" t="s">
        <v>220</v>
      </c>
      <c r="C340" s="56" t="s">
        <v>29</v>
      </c>
      <c r="D340" s="502"/>
    </row>
    <row r="341" spans="1:4">
      <c r="A341" s="63" t="s">
        <v>3092</v>
      </c>
      <c r="B341" s="57" t="s">
        <v>393</v>
      </c>
      <c r="C341" s="56" t="s">
        <v>29</v>
      </c>
      <c r="D341" s="502"/>
    </row>
    <row r="342" spans="1:4">
      <c r="A342" s="63" t="s">
        <v>3092</v>
      </c>
      <c r="B342" s="35" t="s">
        <v>218</v>
      </c>
      <c r="C342" s="56" t="s">
        <v>27</v>
      </c>
      <c r="D342" s="502"/>
    </row>
    <row r="343" spans="1:4">
      <c r="A343" s="63" t="s">
        <v>3092</v>
      </c>
      <c r="B343" s="57" t="s">
        <v>197</v>
      </c>
      <c r="C343" s="56" t="s">
        <v>29</v>
      </c>
      <c r="D343" s="502"/>
    </row>
    <row r="344" spans="1:4">
      <c r="A344" s="63" t="s">
        <v>3092</v>
      </c>
      <c r="B344" s="57" t="s">
        <v>216</v>
      </c>
      <c r="C344" s="56" t="s">
        <v>27</v>
      </c>
      <c r="D344" s="502"/>
    </row>
    <row r="345" spans="1:4">
      <c r="A345" s="63" t="s">
        <v>3092</v>
      </c>
      <c r="B345" s="57" t="s">
        <v>214</v>
      </c>
      <c r="C345" s="56" t="s">
        <v>29</v>
      </c>
      <c r="D345" s="502"/>
    </row>
    <row r="346" spans="1:4">
      <c r="A346" s="63" t="s">
        <v>3092</v>
      </c>
      <c r="B346" s="35" t="s">
        <v>388</v>
      </c>
      <c r="C346" s="56" t="s">
        <v>11</v>
      </c>
      <c r="D346" s="502"/>
    </row>
    <row r="347" spans="1:4">
      <c r="A347" s="63" t="s">
        <v>3092</v>
      </c>
      <c r="B347" s="35" t="s">
        <v>384</v>
      </c>
      <c r="C347" s="56" t="s">
        <v>29</v>
      </c>
      <c r="D347" s="502"/>
    </row>
    <row r="348" spans="1:4">
      <c r="A348" s="63" t="s">
        <v>3092</v>
      </c>
      <c r="B348" s="35" t="s">
        <v>392</v>
      </c>
      <c r="C348" s="56" t="s">
        <v>27</v>
      </c>
      <c r="D348" s="502"/>
    </row>
    <row r="349" spans="1:4">
      <c r="A349" s="63" t="s">
        <v>3092</v>
      </c>
      <c r="B349" s="35" t="s">
        <v>464</v>
      </c>
      <c r="C349" s="56" t="s">
        <v>29</v>
      </c>
      <c r="D349" s="502"/>
    </row>
    <row r="350" spans="1:4">
      <c r="A350" s="63" t="s">
        <v>3092</v>
      </c>
      <c r="B350" s="35" t="s">
        <v>170</v>
      </c>
      <c r="C350" s="56" t="s">
        <v>27</v>
      </c>
      <c r="D350" s="502"/>
    </row>
    <row r="351" spans="1:4">
      <c r="A351" s="63" t="s">
        <v>3092</v>
      </c>
      <c r="B351" s="35" t="s">
        <v>369</v>
      </c>
      <c r="C351" s="56" t="s">
        <v>28</v>
      </c>
      <c r="D351" s="502"/>
    </row>
    <row r="352" spans="1:4">
      <c r="A352" s="63" t="s">
        <v>3092</v>
      </c>
      <c r="B352" s="35" t="s">
        <v>467</v>
      </c>
      <c r="C352" s="56" t="s">
        <v>28</v>
      </c>
      <c r="D352" s="502"/>
    </row>
    <row r="353" spans="1:4">
      <c r="A353" s="63" t="s">
        <v>3092</v>
      </c>
      <c r="B353" s="35" t="s">
        <v>468</v>
      </c>
      <c r="C353" s="56" t="s">
        <v>28</v>
      </c>
      <c r="D353" s="502"/>
    </row>
    <row r="354" spans="1:4">
      <c r="A354" s="63" t="s">
        <v>3092</v>
      </c>
      <c r="B354" s="35" t="s">
        <v>469</v>
      </c>
      <c r="C354" s="56" t="s">
        <v>28</v>
      </c>
      <c r="D354" s="502"/>
    </row>
    <row r="355" spans="1:4">
      <c r="A355" s="63" t="s">
        <v>3092</v>
      </c>
      <c r="B355" s="35" t="s">
        <v>387</v>
      </c>
      <c r="C355" s="56" t="s">
        <v>29</v>
      </c>
      <c r="D355" s="502"/>
    </row>
    <row r="356" spans="1:4">
      <c r="A356" s="63" t="s">
        <v>3092</v>
      </c>
      <c r="B356" s="35" t="s">
        <v>362</v>
      </c>
      <c r="C356" s="56" t="s">
        <v>29</v>
      </c>
      <c r="D356" s="502"/>
    </row>
    <row r="357" spans="1:4">
      <c r="A357" s="63" t="s">
        <v>3092</v>
      </c>
      <c r="B357" s="35" t="s">
        <v>389</v>
      </c>
      <c r="C357" s="56" t="s">
        <v>28</v>
      </c>
      <c r="D357" s="502"/>
    </row>
    <row r="358" spans="1:4">
      <c r="A358" s="63" t="s">
        <v>3092</v>
      </c>
      <c r="B358" s="35" t="s">
        <v>361</v>
      </c>
      <c r="C358" s="56" t="s">
        <v>29</v>
      </c>
      <c r="D358" s="502"/>
    </row>
    <row r="359" spans="1:4">
      <c r="A359" s="63" t="s">
        <v>3092</v>
      </c>
      <c r="B359" s="35" t="s">
        <v>363</v>
      </c>
      <c r="C359" s="56" t="s">
        <v>28</v>
      </c>
      <c r="D359" s="502"/>
    </row>
    <row r="360" spans="1:4">
      <c r="A360" s="63" t="s">
        <v>3092</v>
      </c>
      <c r="B360" s="35" t="s">
        <v>370</v>
      </c>
      <c r="C360" s="56" t="s">
        <v>28</v>
      </c>
      <c r="D360" s="502"/>
    </row>
    <row r="361" spans="1:4">
      <c r="A361" s="63" t="s">
        <v>3092</v>
      </c>
      <c r="B361" s="35" t="s">
        <v>386</v>
      </c>
      <c r="C361" s="56" t="s">
        <v>165</v>
      </c>
      <c r="D361" s="502"/>
    </row>
    <row r="362" spans="1:4">
      <c r="A362" s="63" t="s">
        <v>3092</v>
      </c>
      <c r="B362" s="35" t="s">
        <v>365</v>
      </c>
      <c r="C362" s="56" t="s">
        <v>29</v>
      </c>
      <c r="D362" s="502"/>
    </row>
    <row r="363" spans="1:4">
      <c r="A363" s="63" t="s">
        <v>3092</v>
      </c>
      <c r="B363" s="35" t="s">
        <v>385</v>
      </c>
      <c r="C363" s="56" t="s">
        <v>28</v>
      </c>
      <c r="D363" s="502"/>
    </row>
    <row r="364" spans="1:4">
      <c r="A364" s="63" t="s">
        <v>3092</v>
      </c>
      <c r="B364" s="35" t="s">
        <v>367</v>
      </c>
      <c r="C364" s="56" t="s">
        <v>28</v>
      </c>
      <c r="D364" s="502"/>
    </row>
    <row r="365" spans="1:4">
      <c r="A365" s="63" t="s">
        <v>3092</v>
      </c>
      <c r="B365" s="35" t="s">
        <v>366</v>
      </c>
      <c r="C365" s="56" t="s">
        <v>28</v>
      </c>
      <c r="D365" s="502"/>
    </row>
    <row r="366" spans="1:4">
      <c r="A366" s="63" t="s">
        <v>3092</v>
      </c>
      <c r="B366" s="35" t="s">
        <v>364</v>
      </c>
      <c r="C366" s="56" t="s">
        <v>28</v>
      </c>
      <c r="D366" s="502"/>
    </row>
    <row r="367" spans="1:4">
      <c r="A367" s="63" t="s">
        <v>3092</v>
      </c>
      <c r="B367" s="35" t="s">
        <v>379</v>
      </c>
      <c r="C367" s="56" t="s">
        <v>27</v>
      </c>
      <c r="D367" s="502"/>
    </row>
    <row r="368" spans="1:4">
      <c r="A368" s="63" t="s">
        <v>3092</v>
      </c>
      <c r="B368" s="35" t="s">
        <v>368</v>
      </c>
      <c r="C368" s="56" t="s">
        <v>28</v>
      </c>
      <c r="D368" s="502"/>
    </row>
    <row r="369" spans="1:4">
      <c r="A369" s="63" t="s">
        <v>3092</v>
      </c>
      <c r="B369" s="35" t="s">
        <v>206</v>
      </c>
      <c r="C369" s="56" t="s">
        <v>28</v>
      </c>
      <c r="D369" s="502"/>
    </row>
    <row r="370" spans="1:4">
      <c r="A370" s="63" t="s">
        <v>3092</v>
      </c>
      <c r="B370" s="57" t="s">
        <v>440</v>
      </c>
      <c r="C370" s="57" t="s">
        <v>175</v>
      </c>
      <c r="D370" s="501"/>
    </row>
    <row r="371" spans="1:4">
      <c r="A371" s="63" t="s">
        <v>3092</v>
      </c>
      <c r="B371" s="35" t="s">
        <v>208</v>
      </c>
      <c r="C371" s="56" t="s">
        <v>28</v>
      </c>
      <c r="D371" s="502"/>
    </row>
    <row r="372" spans="1:4">
      <c r="A372" s="63" t="s">
        <v>3092</v>
      </c>
      <c r="B372" s="35" t="s">
        <v>378</v>
      </c>
      <c r="C372" s="56" t="s">
        <v>27</v>
      </c>
      <c r="D372" s="502"/>
    </row>
    <row r="373" spans="1:4">
      <c r="A373" s="63" t="s">
        <v>3092</v>
      </c>
      <c r="B373" s="35" t="s">
        <v>377</v>
      </c>
      <c r="C373" s="56" t="s">
        <v>27</v>
      </c>
      <c r="D373" s="502"/>
    </row>
    <row r="374" spans="1:4">
      <c r="A374" s="63" t="s">
        <v>3092</v>
      </c>
      <c r="B374" s="35" t="s">
        <v>371</v>
      </c>
      <c r="C374" s="56" t="s">
        <v>28</v>
      </c>
      <c r="D374" s="502"/>
    </row>
    <row r="375" spans="1:4">
      <c r="A375" s="63" t="s">
        <v>3092</v>
      </c>
      <c r="B375" s="35" t="s">
        <v>372</v>
      </c>
      <c r="C375" s="56" t="s">
        <v>28</v>
      </c>
      <c r="D375" s="502"/>
    </row>
    <row r="376" spans="1:4">
      <c r="A376" s="63" t="s">
        <v>3092</v>
      </c>
      <c r="B376" s="35" t="s">
        <v>373</v>
      </c>
      <c r="C376" s="56" t="s">
        <v>28</v>
      </c>
      <c r="D376" s="502"/>
    </row>
    <row r="377" spans="1:4">
      <c r="A377" s="63" t="s">
        <v>3092</v>
      </c>
      <c r="B377" s="35" t="s">
        <v>374</v>
      </c>
      <c r="C377" s="56" t="s">
        <v>28</v>
      </c>
      <c r="D377" s="502"/>
    </row>
    <row r="378" spans="1:4">
      <c r="A378" s="63" t="s">
        <v>3092</v>
      </c>
      <c r="B378" s="35" t="s">
        <v>1365</v>
      </c>
      <c r="C378" s="56" t="s">
        <v>149</v>
      </c>
      <c r="D378" s="502"/>
    </row>
    <row r="379" spans="1:4">
      <c r="A379" s="63" t="s">
        <v>3092</v>
      </c>
      <c r="B379" s="35" t="s">
        <v>1735</v>
      </c>
      <c r="C379" s="56" t="s">
        <v>1736</v>
      </c>
      <c r="D379" s="502"/>
    </row>
    <row r="380" spans="1:4">
      <c r="A380" s="63" t="s">
        <v>3092</v>
      </c>
      <c r="B380" s="35" t="s">
        <v>210</v>
      </c>
      <c r="C380" s="56" t="s">
        <v>27</v>
      </c>
      <c r="D380" s="502"/>
    </row>
    <row r="381" spans="1:4">
      <c r="A381" s="63" t="s">
        <v>3092</v>
      </c>
      <c r="B381" s="35" t="s">
        <v>177</v>
      </c>
      <c r="C381" s="56" t="s">
        <v>175</v>
      </c>
      <c r="D381" s="502"/>
    </row>
    <row r="382" spans="1:4">
      <c r="A382" s="63" t="s">
        <v>3092</v>
      </c>
      <c r="B382" s="35" t="s">
        <v>174</v>
      </c>
      <c r="C382" s="56" t="s">
        <v>28</v>
      </c>
      <c r="D382" s="502"/>
    </row>
    <row r="383" spans="1:4">
      <c r="A383" s="63" t="s">
        <v>3092</v>
      </c>
      <c r="B383" s="35" t="s">
        <v>187</v>
      </c>
      <c r="C383" s="56" t="s">
        <v>175</v>
      </c>
      <c r="D383" s="502"/>
    </row>
    <row r="384" spans="1:4">
      <c r="A384" s="63" t="s">
        <v>3092</v>
      </c>
      <c r="B384" s="35" t="s">
        <v>1395</v>
      </c>
      <c r="C384" s="56" t="s">
        <v>1396</v>
      </c>
      <c r="D384" s="502"/>
    </row>
    <row r="385" spans="1:4">
      <c r="A385" s="63" t="s">
        <v>3092</v>
      </c>
      <c r="B385" s="35" t="s">
        <v>390</v>
      </c>
      <c r="C385" s="56" t="s">
        <v>175</v>
      </c>
      <c r="D385" s="502"/>
    </row>
    <row r="386" spans="1:4">
      <c r="A386" s="63" t="s">
        <v>3092</v>
      </c>
      <c r="B386" s="35" t="s">
        <v>391</v>
      </c>
      <c r="C386" s="56" t="s">
        <v>175</v>
      </c>
      <c r="D386" s="502"/>
    </row>
    <row r="387" spans="1:4">
      <c r="A387" s="63" t="s">
        <v>3092</v>
      </c>
      <c r="B387" s="57" t="s">
        <v>360</v>
      </c>
      <c r="C387" s="56" t="s">
        <v>28</v>
      </c>
      <c r="D387" s="502"/>
    </row>
    <row r="388" spans="1:4">
      <c r="A388" s="63" t="s">
        <v>3092</v>
      </c>
      <c r="B388" s="35" t="s">
        <v>463</v>
      </c>
      <c r="C388" s="56" t="s">
        <v>27</v>
      </c>
      <c r="D388" s="502"/>
    </row>
    <row r="389" spans="1:4">
      <c r="A389" s="63" t="s">
        <v>3092</v>
      </c>
      <c r="B389" s="35" t="s">
        <v>415</v>
      </c>
      <c r="C389" s="56" t="s">
        <v>28</v>
      </c>
      <c r="D389" s="502"/>
    </row>
    <row r="390" spans="1:4">
      <c r="A390" s="63" t="s">
        <v>3092</v>
      </c>
      <c r="B390" s="35" t="s">
        <v>172</v>
      </c>
      <c r="C390" s="56" t="s">
        <v>149</v>
      </c>
      <c r="D390" s="502"/>
    </row>
    <row r="391" spans="1:4">
      <c r="A391" s="63" t="s">
        <v>3092</v>
      </c>
      <c r="B391" s="35" t="s">
        <v>473</v>
      </c>
      <c r="C391" s="56" t="s">
        <v>29</v>
      </c>
      <c r="D391" s="502"/>
    </row>
    <row r="392" spans="1:4">
      <c r="A392" s="63" t="s">
        <v>3092</v>
      </c>
      <c r="B392" s="57" t="s">
        <v>441</v>
      </c>
      <c r="C392" s="57" t="s">
        <v>28</v>
      </c>
      <c r="D392" s="501"/>
    </row>
    <row r="393" spans="1:4">
      <c r="A393" s="63" t="s">
        <v>3092</v>
      </c>
      <c r="B393" s="58" t="s">
        <v>450</v>
      </c>
      <c r="C393" s="59" t="s">
        <v>28</v>
      </c>
      <c r="D393" s="503"/>
    </row>
    <row r="394" spans="1:4">
      <c r="A394" s="63" t="s">
        <v>3092</v>
      </c>
      <c r="B394" s="35" t="s">
        <v>413</v>
      </c>
      <c r="C394" s="56" t="s">
        <v>29</v>
      </c>
      <c r="D394" s="502"/>
    </row>
    <row r="395" spans="1:4">
      <c r="A395" s="63" t="s">
        <v>3092</v>
      </c>
      <c r="B395" s="35" t="s">
        <v>157</v>
      </c>
      <c r="C395" s="56" t="s">
        <v>29</v>
      </c>
      <c r="D395" s="502"/>
    </row>
    <row r="396" spans="1:4">
      <c r="A396" s="63" t="s">
        <v>3092</v>
      </c>
      <c r="B396" s="35" t="s">
        <v>189</v>
      </c>
      <c r="C396" s="56" t="s">
        <v>29</v>
      </c>
      <c r="D396" s="502"/>
    </row>
    <row r="397" spans="1:4">
      <c r="A397" s="63" t="s">
        <v>561</v>
      </c>
      <c r="B397" s="35">
        <v>14891</v>
      </c>
      <c r="C397" s="56" t="s">
        <v>1837</v>
      </c>
      <c r="D397" s="502"/>
    </row>
    <row r="398" spans="1:4">
      <c r="A398" s="63" t="s">
        <v>561</v>
      </c>
      <c r="B398" s="35">
        <v>11654</v>
      </c>
      <c r="C398" s="35" t="s">
        <v>29</v>
      </c>
      <c r="D398" s="499"/>
    </row>
    <row r="399" spans="1:4">
      <c r="A399" s="63" t="s">
        <v>561</v>
      </c>
      <c r="B399" s="35">
        <v>11655</v>
      </c>
      <c r="C399" s="35" t="s">
        <v>29</v>
      </c>
      <c r="D399" s="499"/>
    </row>
    <row r="400" spans="1:4">
      <c r="A400" s="63" t="s">
        <v>561</v>
      </c>
      <c r="B400" s="35">
        <v>11890</v>
      </c>
      <c r="C400" s="35" t="s">
        <v>27</v>
      </c>
      <c r="D400" s="499"/>
    </row>
    <row r="401" spans="1:4">
      <c r="A401" s="63" t="s">
        <v>561</v>
      </c>
      <c r="B401" s="35">
        <v>12251</v>
      </c>
      <c r="C401" s="35" t="s">
        <v>29</v>
      </c>
      <c r="D401" s="499"/>
    </row>
    <row r="402" spans="1:4">
      <c r="A402" s="63" t="s">
        <v>561</v>
      </c>
      <c r="B402" s="35">
        <v>12284</v>
      </c>
      <c r="C402" s="35" t="s">
        <v>29</v>
      </c>
      <c r="D402" s="499"/>
    </row>
    <row r="403" spans="1:4">
      <c r="A403" s="63" t="s">
        <v>561</v>
      </c>
      <c r="B403" s="35">
        <v>12315</v>
      </c>
      <c r="C403" s="35" t="s">
        <v>29</v>
      </c>
      <c r="D403" s="499"/>
    </row>
    <row r="404" spans="1:4">
      <c r="A404" s="63" t="s">
        <v>561</v>
      </c>
      <c r="B404" s="35">
        <v>12321</v>
      </c>
      <c r="C404" s="35" t="s">
        <v>29</v>
      </c>
      <c r="D404" s="499"/>
    </row>
    <row r="405" spans="1:4">
      <c r="A405" s="63" t="s">
        <v>561</v>
      </c>
      <c r="B405" s="35">
        <v>12328</v>
      </c>
      <c r="C405" s="35" t="s">
        <v>29</v>
      </c>
      <c r="D405" s="499"/>
    </row>
    <row r="406" spans="1:4">
      <c r="A406" s="63" t="s">
        <v>561</v>
      </c>
      <c r="B406" s="35">
        <v>12393</v>
      </c>
      <c r="C406" s="35" t="s">
        <v>29</v>
      </c>
      <c r="D406" s="499"/>
    </row>
    <row r="407" spans="1:4">
      <c r="A407" s="63" t="s">
        <v>561</v>
      </c>
      <c r="B407" s="35">
        <v>12427</v>
      </c>
      <c r="C407" s="35" t="s">
        <v>29</v>
      </c>
      <c r="D407" s="499"/>
    </row>
    <row r="408" spans="1:4">
      <c r="A408" s="63" t="s">
        <v>561</v>
      </c>
      <c r="B408" s="35">
        <v>12433</v>
      </c>
      <c r="C408" s="35" t="s">
        <v>593</v>
      </c>
      <c r="D408" s="499"/>
    </row>
    <row r="409" spans="1:4">
      <c r="A409" s="63" t="s">
        <v>561</v>
      </c>
      <c r="B409" s="35">
        <v>12470</v>
      </c>
      <c r="C409" s="35" t="s">
        <v>27</v>
      </c>
      <c r="D409" s="499"/>
    </row>
    <row r="410" spans="1:4">
      <c r="A410" s="63" t="s">
        <v>561</v>
      </c>
      <c r="B410" s="35">
        <v>13416</v>
      </c>
      <c r="C410" s="35" t="s">
        <v>29</v>
      </c>
      <c r="D410" s="499"/>
    </row>
    <row r="411" spans="1:4">
      <c r="A411" s="63" t="s">
        <v>561</v>
      </c>
      <c r="B411" s="35">
        <v>13435</v>
      </c>
      <c r="C411" s="35" t="s">
        <v>29</v>
      </c>
      <c r="D411" s="499"/>
    </row>
    <row r="412" spans="1:4">
      <c r="A412" s="63" t="s">
        <v>561</v>
      </c>
      <c r="B412" s="35">
        <v>39032</v>
      </c>
      <c r="C412" s="35" t="s">
        <v>28</v>
      </c>
      <c r="D412" s="499"/>
    </row>
    <row r="413" spans="1:4">
      <c r="A413" s="63" t="s">
        <v>561</v>
      </c>
      <c r="B413" s="35" t="s">
        <v>556</v>
      </c>
      <c r="C413" s="35" t="s">
        <v>15</v>
      </c>
      <c r="D413" s="499"/>
    </row>
    <row r="414" spans="1:4">
      <c r="A414" s="63" t="s">
        <v>561</v>
      </c>
      <c r="B414" s="35" t="s">
        <v>310</v>
      </c>
      <c r="C414" s="35" t="s">
        <v>27</v>
      </c>
      <c r="D414" s="499"/>
    </row>
    <row r="415" spans="1:4">
      <c r="A415" s="63" t="s">
        <v>561</v>
      </c>
      <c r="B415" s="35" t="s">
        <v>311</v>
      </c>
      <c r="C415" s="35" t="s">
        <v>27</v>
      </c>
      <c r="D415" s="499"/>
    </row>
    <row r="416" spans="1:4">
      <c r="A416" s="63" t="s">
        <v>561</v>
      </c>
      <c r="B416" s="35" t="s">
        <v>315</v>
      </c>
      <c r="C416" s="35" t="s">
        <v>165</v>
      </c>
      <c r="D416" s="499"/>
    </row>
    <row r="417" spans="1:4">
      <c r="A417" s="63" t="s">
        <v>561</v>
      </c>
      <c r="B417" s="35" t="s">
        <v>313</v>
      </c>
      <c r="C417" s="35" t="s">
        <v>165</v>
      </c>
      <c r="D417" s="499"/>
    </row>
    <row r="418" spans="1:4">
      <c r="A418" s="63" t="s">
        <v>562</v>
      </c>
      <c r="B418" s="35">
        <v>30290</v>
      </c>
      <c r="C418" s="56" t="s">
        <v>58</v>
      </c>
      <c r="D418" s="502"/>
    </row>
    <row r="419" spans="1:4">
      <c r="A419" s="63" t="s">
        <v>562</v>
      </c>
      <c r="B419" s="58">
        <v>34351</v>
      </c>
      <c r="C419" s="60" t="s">
        <v>29</v>
      </c>
      <c r="D419" s="504"/>
    </row>
    <row r="420" spans="1:4">
      <c r="A420" s="63" t="s">
        <v>562</v>
      </c>
      <c r="B420" s="58">
        <v>34501</v>
      </c>
      <c r="C420" s="60" t="s">
        <v>58</v>
      </c>
      <c r="D420" s="504"/>
    </row>
    <row r="421" spans="1:4">
      <c r="A421" s="63" t="s">
        <v>562</v>
      </c>
      <c r="B421" s="35">
        <v>35100</v>
      </c>
      <c r="C421" s="35" t="s">
        <v>28</v>
      </c>
      <c r="D421" s="499"/>
    </row>
    <row r="422" spans="1:4">
      <c r="A422" s="63" t="s">
        <v>562</v>
      </c>
      <c r="B422" s="35">
        <v>35101</v>
      </c>
      <c r="C422" s="56" t="s">
        <v>28</v>
      </c>
      <c r="D422" s="502"/>
    </row>
    <row r="423" spans="1:4">
      <c r="A423" s="63" t="s">
        <v>562</v>
      </c>
      <c r="B423" s="35">
        <v>35110</v>
      </c>
      <c r="C423" s="35" t="s">
        <v>28</v>
      </c>
      <c r="D423" s="499"/>
    </row>
    <row r="424" spans="1:4">
      <c r="A424" s="63" t="s">
        <v>562</v>
      </c>
      <c r="B424" s="35">
        <v>35201</v>
      </c>
      <c r="C424" s="56" t="s">
        <v>28</v>
      </c>
      <c r="D424" s="502"/>
    </row>
    <row r="425" spans="1:4">
      <c r="A425" s="63" t="s">
        <v>562</v>
      </c>
      <c r="B425" s="35">
        <v>35310</v>
      </c>
      <c r="C425" s="56" t="s">
        <v>165</v>
      </c>
      <c r="D425" s="502"/>
    </row>
    <row r="426" spans="1:4">
      <c r="A426" s="63" t="s">
        <v>562</v>
      </c>
      <c r="B426" s="35">
        <v>35600</v>
      </c>
      <c r="C426" s="35" t="s">
        <v>165</v>
      </c>
      <c r="D426" s="499"/>
    </row>
    <row r="427" spans="1:4">
      <c r="A427" s="63" t="s">
        <v>562</v>
      </c>
      <c r="B427" s="57">
        <v>35601</v>
      </c>
      <c r="C427" s="56" t="s">
        <v>165</v>
      </c>
      <c r="D427" s="502"/>
    </row>
    <row r="428" spans="1:4">
      <c r="A428" s="63" t="s">
        <v>562</v>
      </c>
      <c r="B428" s="57">
        <v>35602</v>
      </c>
      <c r="C428" s="56" t="s">
        <v>165</v>
      </c>
      <c r="D428" s="502"/>
    </row>
    <row r="429" spans="1:4">
      <c r="A429" s="63" t="s">
        <v>562</v>
      </c>
      <c r="B429" s="57">
        <v>35701</v>
      </c>
      <c r="C429" s="56" t="s">
        <v>165</v>
      </c>
      <c r="D429" s="502"/>
    </row>
    <row r="430" spans="1:4">
      <c r="A430" s="63" t="s">
        <v>562</v>
      </c>
      <c r="B430" s="35">
        <v>39100</v>
      </c>
      <c r="C430" s="56" t="s">
        <v>58</v>
      </c>
      <c r="D430" s="502"/>
    </row>
    <row r="431" spans="1:4">
      <c r="A431" s="63" t="s">
        <v>562</v>
      </c>
      <c r="B431" s="35">
        <v>40631</v>
      </c>
      <c r="C431" s="35" t="s">
        <v>149</v>
      </c>
      <c r="D431" s="499"/>
    </row>
    <row r="432" spans="1:4">
      <c r="A432" s="63" t="s">
        <v>562</v>
      </c>
      <c r="B432" s="58">
        <v>40641</v>
      </c>
      <c r="C432" s="59" t="s">
        <v>28</v>
      </c>
      <c r="D432" s="503"/>
    </row>
    <row r="433" spans="1:4">
      <c r="A433" s="63" t="s">
        <v>562</v>
      </c>
      <c r="B433" s="58">
        <v>42402</v>
      </c>
      <c r="C433" s="57" t="s">
        <v>58</v>
      </c>
      <c r="D433" s="501"/>
    </row>
    <row r="434" spans="1:4">
      <c r="A434" s="63" t="s">
        <v>562</v>
      </c>
      <c r="B434" s="35">
        <v>42403</v>
      </c>
      <c r="C434" s="56" t="s">
        <v>149</v>
      </c>
      <c r="D434" s="502"/>
    </row>
    <row r="435" spans="1:4">
      <c r="A435" s="63" t="s">
        <v>562</v>
      </c>
      <c r="B435" s="58">
        <v>42411</v>
      </c>
      <c r="C435" s="57" t="s">
        <v>58</v>
      </c>
      <c r="D435" s="501"/>
    </row>
    <row r="436" spans="1:4">
      <c r="A436" s="63" t="s">
        <v>562</v>
      </c>
      <c r="B436" s="35">
        <v>42502</v>
      </c>
      <c r="C436" s="35" t="s">
        <v>58</v>
      </c>
      <c r="D436" s="499"/>
    </row>
    <row r="437" spans="1:4">
      <c r="A437" s="63" t="s">
        <v>562</v>
      </c>
      <c r="B437" s="35">
        <v>42503</v>
      </c>
      <c r="C437" s="56" t="s">
        <v>149</v>
      </c>
      <c r="D437" s="502"/>
    </row>
    <row r="438" spans="1:4">
      <c r="A438" s="63" t="s">
        <v>562</v>
      </c>
      <c r="B438" s="35">
        <v>42701</v>
      </c>
      <c r="C438" s="35" t="s">
        <v>58</v>
      </c>
      <c r="D438" s="499"/>
    </row>
    <row r="439" spans="1:4">
      <c r="A439" s="63" t="s">
        <v>562</v>
      </c>
      <c r="B439" s="57">
        <v>42710</v>
      </c>
      <c r="C439" s="56" t="s">
        <v>58</v>
      </c>
      <c r="D439" s="502"/>
    </row>
    <row r="440" spans="1:4">
      <c r="A440" s="63" t="s">
        <v>562</v>
      </c>
      <c r="B440" s="35">
        <v>42750</v>
      </c>
      <c r="C440" s="56" t="s">
        <v>58</v>
      </c>
      <c r="D440" s="502"/>
    </row>
    <row r="441" spans="1:4">
      <c r="A441" s="63" t="s">
        <v>562</v>
      </c>
      <c r="B441" s="35">
        <v>43801</v>
      </c>
      <c r="C441" s="35" t="s">
        <v>58</v>
      </c>
      <c r="D441" s="499"/>
    </row>
    <row r="442" spans="1:4">
      <c r="A442" s="63" t="s">
        <v>562</v>
      </c>
      <c r="B442" s="35">
        <v>43900</v>
      </c>
      <c r="C442" s="56" t="s">
        <v>149</v>
      </c>
      <c r="D442" s="502"/>
    </row>
    <row r="443" spans="1:4">
      <c r="A443" s="63" t="s">
        <v>562</v>
      </c>
      <c r="B443" s="35">
        <v>44000</v>
      </c>
      <c r="C443" s="56" t="s">
        <v>149</v>
      </c>
      <c r="D443" s="502"/>
    </row>
    <row r="444" spans="1:4">
      <c r="A444" s="63" t="s">
        <v>562</v>
      </c>
      <c r="B444" s="35">
        <v>94021</v>
      </c>
      <c r="C444" s="56" t="s">
        <v>28</v>
      </c>
      <c r="D444" s="502"/>
    </row>
    <row r="445" spans="1:4">
      <c r="A445" s="63" t="s">
        <v>562</v>
      </c>
      <c r="B445" s="35">
        <v>94022</v>
      </c>
      <c r="C445" s="56" t="s">
        <v>28</v>
      </c>
      <c r="D445" s="502"/>
    </row>
    <row r="446" spans="1:4">
      <c r="A446" s="63" t="s">
        <v>562</v>
      </c>
      <c r="B446" s="35">
        <v>94025</v>
      </c>
      <c r="C446" s="56" t="s">
        <v>28</v>
      </c>
      <c r="D446" s="502"/>
    </row>
    <row r="447" spans="1:4">
      <c r="A447" s="63" t="s">
        <v>562</v>
      </c>
      <c r="B447" s="35">
        <v>94026</v>
      </c>
      <c r="C447" s="56" t="s">
        <v>28</v>
      </c>
      <c r="D447" s="502"/>
    </row>
    <row r="448" spans="1:4">
      <c r="A448" s="63" t="s">
        <v>562</v>
      </c>
      <c r="B448" s="35">
        <v>94027</v>
      </c>
      <c r="C448" s="56" t="s">
        <v>28</v>
      </c>
      <c r="D448" s="502"/>
    </row>
    <row r="449" spans="1:4">
      <c r="A449" s="63" t="s">
        <v>562</v>
      </c>
      <c r="B449" s="35">
        <v>94028</v>
      </c>
      <c r="C449" s="56" t="s">
        <v>28</v>
      </c>
      <c r="D449" s="502"/>
    </row>
    <row r="450" spans="1:4">
      <c r="A450" s="63" t="s">
        <v>562</v>
      </c>
      <c r="B450" s="35">
        <v>94029</v>
      </c>
      <c r="C450" s="56" t="s">
        <v>28</v>
      </c>
      <c r="D450" s="502"/>
    </row>
    <row r="451" spans="1:4">
      <c r="A451" s="63" t="s">
        <v>562</v>
      </c>
      <c r="B451" s="57">
        <v>61011</v>
      </c>
      <c r="C451" s="56" t="s">
        <v>165</v>
      </c>
      <c r="D451" s="502"/>
    </row>
    <row r="452" spans="1:4">
      <c r="A452" s="63" t="s">
        <v>562</v>
      </c>
      <c r="B452" s="57">
        <v>61021</v>
      </c>
      <c r="C452" s="57" t="s">
        <v>165</v>
      </c>
      <c r="D452" s="501"/>
    </row>
    <row r="453" spans="1:4">
      <c r="A453" s="63" t="s">
        <v>562</v>
      </c>
      <c r="B453" s="35">
        <v>61031</v>
      </c>
      <c r="C453" s="56" t="s">
        <v>175</v>
      </c>
      <c r="D453" s="502"/>
    </row>
    <row r="454" spans="1:4">
      <c r="A454" s="63" t="s">
        <v>562</v>
      </c>
      <c r="B454" s="35">
        <v>61101</v>
      </c>
      <c r="C454" s="35" t="s">
        <v>149</v>
      </c>
      <c r="D454" s="499"/>
    </row>
    <row r="455" spans="1:4">
      <c r="A455" s="63" t="s">
        <v>562</v>
      </c>
      <c r="B455" s="35">
        <v>62000</v>
      </c>
      <c r="C455" s="35" t="s">
        <v>149</v>
      </c>
      <c r="D455" s="499"/>
    </row>
    <row r="456" spans="1:4">
      <c r="A456" s="63" t="s">
        <v>562</v>
      </c>
      <c r="B456" s="35">
        <v>62001</v>
      </c>
      <c r="C456" s="35" t="s">
        <v>149</v>
      </c>
      <c r="D456" s="499"/>
    </row>
    <row r="457" spans="1:4">
      <c r="A457" s="63" t="s">
        <v>562</v>
      </c>
      <c r="B457" s="35">
        <v>62002</v>
      </c>
      <c r="C457" s="35" t="s">
        <v>149</v>
      </c>
      <c r="D457" s="499"/>
    </row>
    <row r="458" spans="1:4">
      <c r="A458" s="63" t="s">
        <v>562</v>
      </c>
      <c r="B458" s="35">
        <v>62003</v>
      </c>
      <c r="C458" s="35" t="s">
        <v>149</v>
      </c>
      <c r="D458" s="499"/>
    </row>
    <row r="459" spans="1:4">
      <c r="A459" s="63" t="s">
        <v>562</v>
      </c>
      <c r="B459" s="35">
        <v>62004</v>
      </c>
      <c r="C459" s="35" t="s">
        <v>149</v>
      </c>
      <c r="D459" s="499"/>
    </row>
    <row r="460" spans="1:4">
      <c r="A460" s="63" t="s">
        <v>562</v>
      </c>
      <c r="B460" s="58">
        <v>62111</v>
      </c>
      <c r="C460" s="59" t="s">
        <v>58</v>
      </c>
      <c r="D460" s="503"/>
    </row>
    <row r="461" spans="1:4">
      <c r="A461" s="63" t="s">
        <v>562</v>
      </c>
      <c r="B461" s="35">
        <v>62301</v>
      </c>
      <c r="C461" s="56" t="s">
        <v>58</v>
      </c>
      <c r="D461" s="502"/>
    </row>
    <row r="462" spans="1:4">
      <c r="A462" s="63" t="s">
        <v>562</v>
      </c>
      <c r="B462" s="35">
        <v>62511</v>
      </c>
      <c r="C462" s="35" t="s">
        <v>149</v>
      </c>
      <c r="D462" s="499"/>
    </row>
    <row r="463" spans="1:4">
      <c r="A463" s="63" t="s">
        <v>562</v>
      </c>
      <c r="B463" s="35">
        <v>63001</v>
      </c>
      <c r="C463" s="35" t="s">
        <v>149</v>
      </c>
      <c r="D463" s="499"/>
    </row>
    <row r="464" spans="1:4">
      <c r="A464" s="63" t="s">
        <v>562</v>
      </c>
      <c r="B464" s="35">
        <v>63101</v>
      </c>
      <c r="C464" s="35" t="s">
        <v>149</v>
      </c>
      <c r="D464" s="499"/>
    </row>
    <row r="465" spans="1:4">
      <c r="A465" s="63" t="s">
        <v>562</v>
      </c>
      <c r="B465" s="35">
        <v>63301</v>
      </c>
      <c r="C465" s="35" t="s">
        <v>149</v>
      </c>
      <c r="D465" s="499"/>
    </row>
    <row r="466" spans="1:4">
      <c r="A466" s="63" t="s">
        <v>562</v>
      </c>
      <c r="B466" s="35">
        <v>63311</v>
      </c>
      <c r="C466" s="35" t="s">
        <v>149</v>
      </c>
      <c r="D466" s="499"/>
    </row>
    <row r="467" spans="1:4">
      <c r="A467" s="63" t="s">
        <v>562</v>
      </c>
      <c r="B467" s="35">
        <v>63501</v>
      </c>
      <c r="C467" s="35" t="s">
        <v>149</v>
      </c>
      <c r="D467" s="499"/>
    </row>
    <row r="468" spans="1:4">
      <c r="A468" s="63" t="s">
        <v>562</v>
      </c>
      <c r="B468" s="35">
        <v>63511</v>
      </c>
      <c r="C468" s="35" t="s">
        <v>149</v>
      </c>
      <c r="D468" s="499"/>
    </row>
    <row r="469" spans="1:4">
      <c r="A469" s="63" t="s">
        <v>562</v>
      </c>
      <c r="B469" s="35">
        <v>63531</v>
      </c>
      <c r="C469" s="35" t="s">
        <v>149</v>
      </c>
      <c r="D469" s="499"/>
    </row>
    <row r="470" spans="1:4">
      <c r="A470" s="63" t="s">
        <v>562</v>
      </c>
      <c r="B470" s="57">
        <v>63601</v>
      </c>
      <c r="C470" s="35" t="s">
        <v>149</v>
      </c>
      <c r="D470" s="499"/>
    </row>
    <row r="471" spans="1:4">
      <c r="A471" s="63" t="s">
        <v>562</v>
      </c>
      <c r="B471" s="35">
        <v>63650</v>
      </c>
      <c r="C471" s="35" t="s">
        <v>28</v>
      </c>
      <c r="D471" s="499"/>
    </row>
    <row r="472" spans="1:4">
      <c r="A472" s="63" t="s">
        <v>562</v>
      </c>
      <c r="B472" s="35">
        <v>63651</v>
      </c>
      <c r="C472" s="56" t="s">
        <v>28</v>
      </c>
      <c r="D472" s="502"/>
    </row>
    <row r="473" spans="1:4">
      <c r="A473" s="63" t="s">
        <v>562</v>
      </c>
      <c r="B473" s="35">
        <v>63711</v>
      </c>
      <c r="C473" s="35" t="s">
        <v>149</v>
      </c>
      <c r="D473" s="499"/>
    </row>
    <row r="474" spans="1:4">
      <c r="A474" s="63" t="s">
        <v>562</v>
      </c>
      <c r="B474" s="35">
        <v>63751</v>
      </c>
      <c r="C474" s="35" t="s">
        <v>28</v>
      </c>
      <c r="D474" s="499"/>
    </row>
    <row r="475" spans="1:4">
      <c r="A475" s="63" t="s">
        <v>562</v>
      </c>
      <c r="B475" s="58">
        <v>64001</v>
      </c>
      <c r="C475" s="60" t="s">
        <v>58</v>
      </c>
      <c r="D475" s="504"/>
    </row>
    <row r="476" spans="1:4">
      <c r="A476" s="63" t="s">
        <v>562</v>
      </c>
      <c r="B476" s="35">
        <v>64251</v>
      </c>
      <c r="C476" s="56" t="s">
        <v>28</v>
      </c>
      <c r="D476" s="502"/>
    </row>
    <row r="477" spans="1:4">
      <c r="A477" s="63" t="s">
        <v>562</v>
      </c>
      <c r="B477" s="58">
        <v>64502</v>
      </c>
      <c r="C477" s="59" t="s">
        <v>58</v>
      </c>
      <c r="D477" s="503"/>
    </row>
    <row r="478" spans="1:4">
      <c r="A478" s="63" t="s">
        <v>562</v>
      </c>
      <c r="B478" s="35">
        <v>65101</v>
      </c>
      <c r="C478" s="35" t="s">
        <v>28</v>
      </c>
      <c r="D478" s="499"/>
    </row>
    <row r="479" spans="1:4">
      <c r="A479" s="63" t="s">
        <v>562</v>
      </c>
      <c r="B479" s="35">
        <v>65201</v>
      </c>
      <c r="C479" s="35" t="s">
        <v>28</v>
      </c>
      <c r="D479" s="499"/>
    </row>
    <row r="480" spans="1:4">
      <c r="A480" s="63" t="s">
        <v>562</v>
      </c>
      <c r="B480" s="35">
        <v>66000</v>
      </c>
      <c r="C480" s="56" t="s">
        <v>29</v>
      </c>
      <c r="D480" s="502"/>
    </row>
    <row r="481" spans="1:4">
      <c r="A481" s="63" t="s">
        <v>562</v>
      </c>
      <c r="B481" s="35">
        <v>67001</v>
      </c>
      <c r="C481" s="35" t="s">
        <v>29</v>
      </c>
      <c r="D481" s="499"/>
    </row>
    <row r="482" spans="1:4">
      <c r="A482" s="63" t="s">
        <v>562</v>
      </c>
      <c r="B482" s="35">
        <v>67101</v>
      </c>
      <c r="C482" s="35" t="s">
        <v>29</v>
      </c>
      <c r="D482" s="499"/>
    </row>
    <row r="483" spans="1:4">
      <c r="A483" s="63" t="s">
        <v>562</v>
      </c>
      <c r="B483" s="35">
        <v>67300</v>
      </c>
      <c r="C483" s="56" t="s">
        <v>29</v>
      </c>
      <c r="D483" s="502"/>
    </row>
    <row r="484" spans="1:4">
      <c r="A484" s="63" t="s">
        <v>562</v>
      </c>
      <c r="B484" s="35">
        <v>67301</v>
      </c>
      <c r="C484" s="35" t="s">
        <v>29</v>
      </c>
      <c r="D484" s="499"/>
    </row>
    <row r="485" spans="1:4">
      <c r="A485" s="63" t="s">
        <v>562</v>
      </c>
      <c r="B485" s="58">
        <v>68100</v>
      </c>
      <c r="C485" s="35" t="s">
        <v>149</v>
      </c>
      <c r="D485" s="499"/>
    </row>
    <row r="486" spans="1:4">
      <c r="A486" s="63" t="s">
        <v>562</v>
      </c>
      <c r="B486" s="35">
        <v>68101</v>
      </c>
      <c r="C486" s="35" t="s">
        <v>149</v>
      </c>
      <c r="D486" s="499"/>
    </row>
    <row r="487" spans="1:4">
      <c r="A487" s="63" t="s">
        <v>562</v>
      </c>
      <c r="B487" s="35">
        <v>68200</v>
      </c>
      <c r="C487" s="35" t="s">
        <v>1579</v>
      </c>
      <c r="D487" s="499"/>
    </row>
    <row r="488" spans="1:4">
      <c r="A488" s="63" t="s">
        <v>562</v>
      </c>
      <c r="B488" s="35">
        <v>69001</v>
      </c>
      <c r="C488" s="35" t="s">
        <v>3082</v>
      </c>
      <c r="D488" s="499"/>
    </row>
    <row r="489" spans="1:4">
      <c r="A489" s="63" t="s">
        <v>562</v>
      </c>
      <c r="B489" s="35">
        <v>69101</v>
      </c>
      <c r="C489" s="35" t="s">
        <v>149</v>
      </c>
      <c r="D489" s="499"/>
    </row>
    <row r="490" spans="1:4">
      <c r="A490" s="63" t="s">
        <v>562</v>
      </c>
      <c r="B490" s="35">
        <v>69201</v>
      </c>
      <c r="C490" s="35" t="s">
        <v>149</v>
      </c>
      <c r="D490" s="499"/>
    </row>
    <row r="491" spans="1:4">
      <c r="A491" s="63" t="s">
        <v>562</v>
      </c>
      <c r="B491" s="58">
        <v>90101</v>
      </c>
      <c r="C491" s="60" t="s">
        <v>29</v>
      </c>
      <c r="D491" s="504"/>
    </row>
    <row r="492" spans="1:4">
      <c r="A492" s="63" t="s">
        <v>562</v>
      </c>
      <c r="B492" s="58">
        <v>90102</v>
      </c>
      <c r="C492" s="60" t="s">
        <v>29</v>
      </c>
      <c r="D492" s="504"/>
    </row>
    <row r="493" spans="1:4">
      <c r="A493" s="63" t="s">
        <v>562</v>
      </c>
      <c r="B493" s="35">
        <v>90103</v>
      </c>
      <c r="C493" s="35" t="s">
        <v>29</v>
      </c>
      <c r="D493" s="499"/>
    </row>
    <row r="494" spans="1:4">
      <c r="A494" s="63" t="s">
        <v>562</v>
      </c>
      <c r="B494" s="35">
        <v>90115</v>
      </c>
      <c r="C494" s="56" t="s">
        <v>28</v>
      </c>
      <c r="D494" s="502"/>
    </row>
    <row r="495" spans="1:4">
      <c r="A495" s="63" t="s">
        <v>562</v>
      </c>
      <c r="B495" s="35">
        <v>90121</v>
      </c>
      <c r="C495" s="35" t="s">
        <v>29</v>
      </c>
      <c r="D495" s="499"/>
    </row>
    <row r="496" spans="1:4">
      <c r="A496" s="63" t="s">
        <v>562</v>
      </c>
      <c r="B496" s="35">
        <v>90142</v>
      </c>
      <c r="C496" s="35" t="s">
        <v>1499</v>
      </c>
      <c r="D496" s="499"/>
    </row>
    <row r="497" spans="1:4">
      <c r="A497" s="63" t="s">
        <v>562</v>
      </c>
      <c r="B497" s="35">
        <v>90401</v>
      </c>
      <c r="C497" s="35" t="s">
        <v>27</v>
      </c>
      <c r="D497" s="499"/>
    </row>
    <row r="498" spans="1:4">
      <c r="A498" s="63" t="s">
        <v>562</v>
      </c>
      <c r="B498" s="35">
        <v>90402</v>
      </c>
      <c r="C498" s="35" t="s">
        <v>27</v>
      </c>
      <c r="D498" s="499"/>
    </row>
    <row r="499" spans="1:4">
      <c r="A499" s="63" t="s">
        <v>562</v>
      </c>
      <c r="B499" s="35">
        <v>90403</v>
      </c>
      <c r="C499" s="35" t="s">
        <v>27</v>
      </c>
      <c r="D499" s="499"/>
    </row>
    <row r="500" spans="1:4">
      <c r="A500" s="63" t="s">
        <v>562</v>
      </c>
      <c r="B500" s="35">
        <v>90451</v>
      </c>
      <c r="C500" s="56" t="s">
        <v>165</v>
      </c>
      <c r="D500" s="502"/>
    </row>
    <row r="501" spans="1:4">
      <c r="A501" s="63" t="s">
        <v>562</v>
      </c>
      <c r="B501" s="35">
        <v>90452</v>
      </c>
      <c r="C501" s="56" t="s">
        <v>165</v>
      </c>
      <c r="D501" s="502"/>
    </row>
    <row r="502" spans="1:4">
      <c r="A502" s="63" t="s">
        <v>562</v>
      </c>
      <c r="B502" s="35">
        <v>90454</v>
      </c>
      <c r="C502" s="56" t="s">
        <v>165</v>
      </c>
      <c r="D502" s="502"/>
    </row>
    <row r="503" spans="1:4">
      <c r="A503" s="63" t="s">
        <v>562</v>
      </c>
      <c r="B503" s="35">
        <v>90455</v>
      </c>
      <c r="C503" s="56" t="s">
        <v>165</v>
      </c>
      <c r="D503" s="502"/>
    </row>
    <row r="504" spans="1:4">
      <c r="A504" s="63" t="s">
        <v>562</v>
      </c>
      <c r="B504" s="35">
        <v>90457</v>
      </c>
      <c r="C504" s="56" t="s">
        <v>165</v>
      </c>
      <c r="D504" s="502"/>
    </row>
    <row r="505" spans="1:4">
      <c r="A505" s="63" t="s">
        <v>562</v>
      </c>
      <c r="B505" s="35">
        <v>90459</v>
      </c>
      <c r="C505" s="56" t="s">
        <v>165</v>
      </c>
      <c r="D505" s="502"/>
    </row>
    <row r="506" spans="1:4">
      <c r="A506" s="63" t="s">
        <v>562</v>
      </c>
      <c r="B506" s="35">
        <v>90460</v>
      </c>
      <c r="C506" s="56" t="s">
        <v>165</v>
      </c>
      <c r="D506" s="502"/>
    </row>
    <row r="507" spans="1:4">
      <c r="A507" s="63" t="s">
        <v>562</v>
      </c>
      <c r="B507" s="35">
        <v>90462</v>
      </c>
      <c r="C507" s="56" t="s">
        <v>165</v>
      </c>
      <c r="D507" s="502"/>
    </row>
    <row r="508" spans="1:4">
      <c r="A508" s="63" t="s">
        <v>562</v>
      </c>
      <c r="B508" s="35">
        <v>90464</v>
      </c>
      <c r="C508" s="56" t="s">
        <v>165</v>
      </c>
      <c r="D508" s="502"/>
    </row>
    <row r="509" spans="1:4">
      <c r="A509" s="63" t="s">
        <v>562</v>
      </c>
      <c r="B509" s="35">
        <v>90465</v>
      </c>
      <c r="C509" s="56" t="s">
        <v>165</v>
      </c>
      <c r="D509" s="502"/>
    </row>
    <row r="510" spans="1:4">
      <c r="A510" s="63" t="s">
        <v>562</v>
      </c>
      <c r="B510" s="35">
        <v>90467</v>
      </c>
      <c r="C510" s="56" t="s">
        <v>165</v>
      </c>
      <c r="D510" s="502"/>
    </row>
    <row r="511" spans="1:4">
      <c r="A511" s="63" t="s">
        <v>562</v>
      </c>
      <c r="B511" s="35">
        <v>90468</v>
      </c>
      <c r="C511" s="56" t="s">
        <v>165</v>
      </c>
      <c r="D511" s="502"/>
    </row>
    <row r="512" spans="1:4">
      <c r="A512" s="63" t="s">
        <v>562</v>
      </c>
      <c r="B512" s="35">
        <v>90469</v>
      </c>
      <c r="C512" s="56" t="s">
        <v>165</v>
      </c>
      <c r="D512" s="502"/>
    </row>
    <row r="513" spans="1:4">
      <c r="A513" s="63" t="s">
        <v>562</v>
      </c>
      <c r="B513" s="35">
        <v>90471</v>
      </c>
      <c r="C513" s="56" t="s">
        <v>165</v>
      </c>
      <c r="D513" s="502"/>
    </row>
    <row r="514" spans="1:4">
      <c r="A514" s="63" t="s">
        <v>562</v>
      </c>
      <c r="B514" s="35">
        <v>90472</v>
      </c>
      <c r="C514" s="56" t="s">
        <v>165</v>
      </c>
      <c r="D514" s="502"/>
    </row>
    <row r="515" spans="1:4">
      <c r="A515" s="63" t="s">
        <v>562</v>
      </c>
      <c r="B515" s="35">
        <v>90474</v>
      </c>
      <c r="C515" s="56" t="s">
        <v>165</v>
      </c>
      <c r="D515" s="502"/>
    </row>
    <row r="516" spans="1:4">
      <c r="A516" s="63" t="s">
        <v>562</v>
      </c>
      <c r="B516" s="35">
        <v>90475</v>
      </c>
      <c r="C516" s="56" t="s">
        <v>165</v>
      </c>
      <c r="D516" s="502"/>
    </row>
    <row r="517" spans="1:4">
      <c r="A517" s="63" t="s">
        <v>562</v>
      </c>
      <c r="B517" s="35">
        <v>90476</v>
      </c>
      <c r="C517" s="56" t="s">
        <v>165</v>
      </c>
      <c r="D517" s="502"/>
    </row>
    <row r="518" spans="1:4">
      <c r="A518" s="63" t="s">
        <v>562</v>
      </c>
      <c r="B518" s="35">
        <v>90477</v>
      </c>
      <c r="C518" s="56" t="s">
        <v>165</v>
      </c>
      <c r="D518" s="502"/>
    </row>
    <row r="519" spans="1:4">
      <c r="A519" s="63" t="s">
        <v>562</v>
      </c>
      <c r="B519" s="35">
        <v>90478</v>
      </c>
      <c r="C519" s="56" t="s">
        <v>165</v>
      </c>
      <c r="D519" s="502"/>
    </row>
    <row r="520" spans="1:4">
      <c r="A520" s="63" t="s">
        <v>562</v>
      </c>
      <c r="B520" s="35">
        <v>90479</v>
      </c>
      <c r="C520" s="56" t="s">
        <v>165</v>
      </c>
      <c r="D520" s="502"/>
    </row>
    <row r="521" spans="1:4">
      <c r="A521" s="63" t="s">
        <v>562</v>
      </c>
      <c r="B521" s="35">
        <v>90480</v>
      </c>
      <c r="C521" s="35" t="s">
        <v>165</v>
      </c>
      <c r="D521" s="499"/>
    </row>
    <row r="522" spans="1:4">
      <c r="A522" s="63" t="s">
        <v>562</v>
      </c>
      <c r="B522" s="35">
        <v>90483</v>
      </c>
      <c r="C522" s="35" t="s">
        <v>165</v>
      </c>
      <c r="D522" s="499"/>
    </row>
    <row r="523" spans="1:4">
      <c r="A523" s="63" t="s">
        <v>562</v>
      </c>
      <c r="B523" s="35">
        <v>90484</v>
      </c>
      <c r="C523" s="35" t="s">
        <v>165</v>
      </c>
      <c r="D523" s="499"/>
    </row>
    <row r="524" spans="1:4">
      <c r="A524" s="63" t="s">
        <v>562</v>
      </c>
      <c r="B524" s="35">
        <v>90601</v>
      </c>
      <c r="C524" s="35" t="s">
        <v>29</v>
      </c>
      <c r="D524" s="499"/>
    </row>
    <row r="525" spans="1:4">
      <c r="A525" s="63" t="s">
        <v>562</v>
      </c>
      <c r="B525" s="35">
        <v>90651</v>
      </c>
      <c r="C525" s="35" t="s">
        <v>29</v>
      </c>
      <c r="D525" s="499"/>
    </row>
    <row r="526" spans="1:4">
      <c r="A526" s="63" t="s">
        <v>562</v>
      </c>
      <c r="B526" s="35">
        <v>90661</v>
      </c>
      <c r="C526" s="35" t="s">
        <v>29</v>
      </c>
      <c r="D526" s="499"/>
    </row>
    <row r="527" spans="1:4">
      <c r="A527" s="63" t="s">
        <v>562</v>
      </c>
      <c r="B527" s="35">
        <v>90671</v>
      </c>
      <c r="C527" s="35" t="s">
        <v>29</v>
      </c>
      <c r="D527" s="499"/>
    </row>
    <row r="528" spans="1:4">
      <c r="A528" s="63" t="s">
        <v>562</v>
      </c>
      <c r="B528" s="35">
        <v>90681</v>
      </c>
      <c r="C528" s="35" t="s">
        <v>29</v>
      </c>
      <c r="D528" s="499"/>
    </row>
    <row r="529" spans="1:4">
      <c r="A529" s="63" t="s">
        <v>562</v>
      </c>
      <c r="B529" s="35">
        <v>90682</v>
      </c>
      <c r="C529" s="35" t="s">
        <v>29</v>
      </c>
      <c r="D529" s="499"/>
    </row>
    <row r="530" spans="1:4">
      <c r="A530" s="63" t="s">
        <v>562</v>
      </c>
      <c r="B530" s="35">
        <v>90683</v>
      </c>
      <c r="C530" s="35" t="s">
        <v>29</v>
      </c>
      <c r="D530" s="499"/>
    </row>
    <row r="531" spans="1:4">
      <c r="A531" s="63" t="s">
        <v>562</v>
      </c>
      <c r="B531" s="35">
        <v>90684</v>
      </c>
      <c r="C531" s="35" t="s">
        <v>29</v>
      </c>
      <c r="D531" s="499"/>
    </row>
    <row r="532" spans="1:4">
      <c r="A532" s="63" t="s">
        <v>562</v>
      </c>
      <c r="B532" s="35">
        <v>90685</v>
      </c>
      <c r="C532" s="35" t="s">
        <v>29</v>
      </c>
      <c r="D532" s="499"/>
    </row>
    <row r="533" spans="1:4">
      <c r="A533" s="63" t="s">
        <v>562</v>
      </c>
      <c r="B533" s="35">
        <v>90686</v>
      </c>
      <c r="C533" s="35" t="s">
        <v>29</v>
      </c>
      <c r="D533" s="499"/>
    </row>
    <row r="534" spans="1:4">
      <c r="A534" s="63" t="s">
        <v>562</v>
      </c>
      <c r="B534" s="35">
        <v>90688</v>
      </c>
      <c r="C534" s="35" t="s">
        <v>29</v>
      </c>
      <c r="D534" s="499"/>
    </row>
    <row r="535" spans="1:4">
      <c r="A535" s="63" t="s">
        <v>562</v>
      </c>
      <c r="B535" s="35">
        <v>90691</v>
      </c>
      <c r="C535" s="35" t="s">
        <v>29</v>
      </c>
      <c r="D535" s="499"/>
    </row>
    <row r="536" spans="1:4">
      <c r="A536" s="63" t="s">
        <v>562</v>
      </c>
      <c r="B536" s="57">
        <v>90692</v>
      </c>
      <c r="C536" s="56" t="s">
        <v>29</v>
      </c>
      <c r="D536" s="502"/>
    </row>
    <row r="537" spans="1:4">
      <c r="A537" s="63" t="s">
        <v>562</v>
      </c>
      <c r="B537" s="57">
        <v>91111</v>
      </c>
      <c r="C537" s="56" t="s">
        <v>28</v>
      </c>
      <c r="D537" s="502"/>
    </row>
    <row r="538" spans="1:4">
      <c r="A538" s="63" t="s">
        <v>562</v>
      </c>
      <c r="B538" s="57">
        <v>91112</v>
      </c>
      <c r="C538" s="56" t="s">
        <v>28</v>
      </c>
      <c r="D538" s="502"/>
    </row>
    <row r="539" spans="1:4">
      <c r="A539" s="63" t="s">
        <v>562</v>
      </c>
      <c r="B539" s="35">
        <v>91113</v>
      </c>
      <c r="C539" s="35" t="s">
        <v>28</v>
      </c>
      <c r="D539" s="499"/>
    </row>
    <row r="540" spans="1:4">
      <c r="A540" s="63" t="s">
        <v>562</v>
      </c>
      <c r="B540" s="57">
        <v>91114</v>
      </c>
      <c r="C540" s="56" t="s">
        <v>165</v>
      </c>
      <c r="D540" s="502"/>
    </row>
    <row r="541" spans="1:4">
      <c r="A541" s="63" t="s">
        <v>562</v>
      </c>
      <c r="B541" s="57">
        <v>91115</v>
      </c>
      <c r="C541" s="56" t="s">
        <v>28</v>
      </c>
      <c r="D541" s="502"/>
    </row>
    <row r="542" spans="1:4">
      <c r="A542" s="63" t="s">
        <v>562</v>
      </c>
      <c r="B542" s="57">
        <v>91116</v>
      </c>
      <c r="C542" s="56" t="s">
        <v>28</v>
      </c>
      <c r="D542" s="502"/>
    </row>
    <row r="543" spans="1:4">
      <c r="A543" s="63" t="s">
        <v>562</v>
      </c>
      <c r="B543" s="57">
        <v>91117</v>
      </c>
      <c r="C543" s="56" t="s">
        <v>28</v>
      </c>
      <c r="D543" s="502"/>
    </row>
    <row r="544" spans="1:4">
      <c r="A544" s="63" t="s">
        <v>562</v>
      </c>
      <c r="B544" s="57">
        <v>91121</v>
      </c>
      <c r="C544" s="56" t="s">
        <v>28</v>
      </c>
      <c r="D544" s="502"/>
    </row>
    <row r="545" spans="1:4">
      <c r="A545" s="63" t="s">
        <v>562</v>
      </c>
      <c r="B545" s="35">
        <v>92001</v>
      </c>
      <c r="C545" s="35" t="s">
        <v>58</v>
      </c>
      <c r="D545" s="499"/>
    </row>
    <row r="546" spans="1:4">
      <c r="A546" s="63" t="s">
        <v>562</v>
      </c>
      <c r="B546" s="35">
        <v>92002</v>
      </c>
      <c r="C546" s="35" t="s">
        <v>28</v>
      </c>
      <c r="D546" s="499"/>
    </row>
    <row r="547" spans="1:4">
      <c r="A547" s="63" t="s">
        <v>562</v>
      </c>
      <c r="B547" s="35">
        <v>92003</v>
      </c>
      <c r="C547" s="35" t="s">
        <v>58</v>
      </c>
      <c r="D547" s="499"/>
    </row>
    <row r="548" spans="1:4">
      <c r="A548" s="63" t="s">
        <v>562</v>
      </c>
      <c r="B548" s="35">
        <v>92004</v>
      </c>
      <c r="C548" s="35" t="s">
        <v>27</v>
      </c>
      <c r="D548" s="499"/>
    </row>
    <row r="549" spans="1:4">
      <c r="A549" s="63" t="s">
        <v>562</v>
      </c>
      <c r="B549" s="35">
        <v>92005</v>
      </c>
      <c r="C549" s="35" t="s">
        <v>27</v>
      </c>
      <c r="D549" s="499"/>
    </row>
    <row r="550" spans="1:4">
      <c r="A550" s="63" t="s">
        <v>562</v>
      </c>
      <c r="B550" s="35">
        <v>92006</v>
      </c>
      <c r="C550" s="35" t="s">
        <v>28</v>
      </c>
      <c r="D550" s="499"/>
    </row>
    <row r="551" spans="1:4">
      <c r="A551" s="63" t="s">
        <v>562</v>
      </c>
      <c r="B551" s="57">
        <v>92007</v>
      </c>
      <c r="C551" s="56" t="s">
        <v>27</v>
      </c>
      <c r="D551" s="502"/>
    </row>
    <row r="552" spans="1:4">
      <c r="A552" s="63" t="s">
        <v>562</v>
      </c>
      <c r="B552" s="57">
        <v>92008</v>
      </c>
      <c r="C552" s="56" t="s">
        <v>27</v>
      </c>
      <c r="D552" s="502"/>
    </row>
    <row r="553" spans="1:4">
      <c r="A553" s="63" t="s">
        <v>562</v>
      </c>
      <c r="B553" s="35">
        <v>92602</v>
      </c>
      <c r="C553" s="56" t="s">
        <v>58</v>
      </c>
      <c r="D553" s="502"/>
    </row>
    <row r="554" spans="1:4">
      <c r="A554" s="63" t="s">
        <v>562</v>
      </c>
      <c r="B554" s="35">
        <v>92604</v>
      </c>
      <c r="C554" s="56" t="s">
        <v>29</v>
      </c>
      <c r="D554" s="502"/>
    </row>
    <row r="555" spans="1:4">
      <c r="A555" s="63" t="s">
        <v>562</v>
      </c>
      <c r="B555" s="35">
        <v>92606</v>
      </c>
      <c r="C555" s="56" t="s">
        <v>58</v>
      </c>
      <c r="D555" s="502"/>
    </row>
    <row r="556" spans="1:4">
      <c r="A556" s="63" t="s">
        <v>562</v>
      </c>
      <c r="B556" s="35">
        <v>92607</v>
      </c>
      <c r="C556" s="56" t="s">
        <v>58</v>
      </c>
      <c r="D556" s="502"/>
    </row>
    <row r="557" spans="1:4">
      <c r="A557" s="63" t="s">
        <v>562</v>
      </c>
      <c r="B557" s="35">
        <v>92608</v>
      </c>
      <c r="C557" s="56" t="s">
        <v>58</v>
      </c>
      <c r="D557" s="502"/>
    </row>
    <row r="558" spans="1:4">
      <c r="A558" s="63" t="s">
        <v>562</v>
      </c>
      <c r="B558" s="35">
        <v>92609</v>
      </c>
      <c r="C558" s="56" t="s">
        <v>58</v>
      </c>
      <c r="D558" s="502"/>
    </row>
    <row r="559" spans="1:4">
      <c r="A559" s="63" t="s">
        <v>562</v>
      </c>
      <c r="B559" s="35">
        <v>92610</v>
      </c>
      <c r="C559" s="56" t="s">
        <v>58</v>
      </c>
      <c r="D559" s="502"/>
    </row>
    <row r="560" spans="1:4">
      <c r="A560" s="63" t="s">
        <v>562</v>
      </c>
      <c r="B560" s="35">
        <v>93019</v>
      </c>
      <c r="C560" s="56" t="s">
        <v>58</v>
      </c>
      <c r="D560" s="502"/>
    </row>
    <row r="561" spans="1:4">
      <c r="A561" s="63" t="s">
        <v>562</v>
      </c>
      <c r="B561" s="57">
        <v>94001</v>
      </c>
      <c r="C561" s="56" t="s">
        <v>28</v>
      </c>
      <c r="D561" s="502"/>
    </row>
    <row r="562" spans="1:4">
      <c r="A562" s="63" t="s">
        <v>562</v>
      </c>
      <c r="B562" s="35">
        <v>94002</v>
      </c>
      <c r="C562" s="56" t="s">
        <v>28</v>
      </c>
      <c r="D562" s="502"/>
    </row>
    <row r="563" spans="1:4">
      <c r="A563" s="63" t="s">
        <v>562</v>
      </c>
      <c r="B563" s="35">
        <v>94003</v>
      </c>
      <c r="C563" s="56" t="s">
        <v>28</v>
      </c>
      <c r="D563" s="502"/>
    </row>
    <row r="564" spans="1:4">
      <c r="A564" s="63" t="s">
        <v>562</v>
      </c>
      <c r="B564" s="35">
        <v>94004</v>
      </c>
      <c r="C564" s="56" t="s">
        <v>28</v>
      </c>
      <c r="D564" s="502"/>
    </row>
    <row r="565" spans="1:4">
      <c r="A565" s="63" t="s">
        <v>562</v>
      </c>
      <c r="B565" s="35">
        <v>94005</v>
      </c>
      <c r="C565" s="56" t="s">
        <v>28</v>
      </c>
      <c r="D565" s="502"/>
    </row>
    <row r="566" spans="1:4">
      <c r="A566" s="63" t="s">
        <v>562</v>
      </c>
      <c r="B566" s="35">
        <v>94006</v>
      </c>
      <c r="C566" s="56" t="s">
        <v>28</v>
      </c>
      <c r="D566" s="502"/>
    </row>
    <row r="567" spans="1:4">
      <c r="A567" s="63" t="s">
        <v>562</v>
      </c>
      <c r="B567" s="58" t="s">
        <v>325</v>
      </c>
      <c r="C567" s="60" t="s">
        <v>58</v>
      </c>
      <c r="D567" s="504"/>
    </row>
    <row r="568" spans="1:4">
      <c r="A568" s="63" t="s">
        <v>562</v>
      </c>
      <c r="B568" s="58" t="s">
        <v>326</v>
      </c>
      <c r="C568" s="60" t="s">
        <v>58</v>
      </c>
      <c r="D568" s="504"/>
    </row>
    <row r="569" spans="1:4">
      <c r="A569" s="63" t="s">
        <v>562</v>
      </c>
      <c r="B569" s="58" t="s">
        <v>327</v>
      </c>
      <c r="C569" s="60" t="s">
        <v>58</v>
      </c>
      <c r="D569" s="504"/>
    </row>
    <row r="570" spans="1:4">
      <c r="A570" s="63" t="s">
        <v>562</v>
      </c>
      <c r="B570" s="58" t="s">
        <v>328</v>
      </c>
      <c r="C570" s="60" t="s">
        <v>29</v>
      </c>
      <c r="D570" s="504"/>
    </row>
    <row r="571" spans="1:4">
      <c r="A571" s="63" t="s">
        <v>562</v>
      </c>
      <c r="B571" s="58" t="s">
        <v>329</v>
      </c>
      <c r="C571" s="60" t="s">
        <v>58</v>
      </c>
      <c r="D571" s="504"/>
    </row>
    <row r="572" spans="1:4">
      <c r="A572" s="63" t="s">
        <v>562</v>
      </c>
      <c r="B572" s="58" t="s">
        <v>330</v>
      </c>
      <c r="C572" s="60" t="s">
        <v>175</v>
      </c>
      <c r="D572" s="504"/>
    </row>
    <row r="573" spans="1:4">
      <c r="A573" s="63" t="s">
        <v>562</v>
      </c>
      <c r="B573" s="58" t="s">
        <v>331</v>
      </c>
      <c r="C573" s="60" t="s">
        <v>58</v>
      </c>
      <c r="D573" s="504"/>
    </row>
    <row r="574" spans="1:4">
      <c r="A574" s="63" t="s">
        <v>562</v>
      </c>
      <c r="B574" s="58" t="s">
        <v>332</v>
      </c>
      <c r="C574" s="60" t="s">
        <v>58</v>
      </c>
      <c r="D574" s="504"/>
    </row>
    <row r="575" spans="1:4">
      <c r="A575" s="63" t="s">
        <v>562</v>
      </c>
      <c r="B575" s="58" t="s">
        <v>333</v>
      </c>
      <c r="C575" s="35" t="s">
        <v>149</v>
      </c>
      <c r="D575" s="499"/>
    </row>
    <row r="576" spans="1:4">
      <c r="A576" s="63" t="s">
        <v>562</v>
      </c>
      <c r="B576" s="58" t="s">
        <v>334</v>
      </c>
      <c r="C576" s="60" t="s">
        <v>58</v>
      </c>
      <c r="D576" s="504"/>
    </row>
    <row r="577" spans="1:4">
      <c r="A577" s="63" t="s">
        <v>562</v>
      </c>
      <c r="B577" s="58" t="s">
        <v>335</v>
      </c>
      <c r="C577" s="35" t="s">
        <v>149</v>
      </c>
      <c r="D577" s="499"/>
    </row>
    <row r="578" spans="1:4">
      <c r="A578" s="63" t="s">
        <v>562</v>
      </c>
      <c r="B578" s="58" t="s">
        <v>336</v>
      </c>
      <c r="C578" s="60" t="s">
        <v>337</v>
      </c>
      <c r="D578" s="504"/>
    </row>
    <row r="579" spans="1:4">
      <c r="A579" s="63" t="s">
        <v>562</v>
      </c>
      <c r="B579" s="58" t="s">
        <v>338</v>
      </c>
      <c r="C579" s="60" t="s">
        <v>58</v>
      </c>
      <c r="D579" s="504"/>
    </row>
    <row r="580" spans="1:4">
      <c r="A580" s="63" t="s">
        <v>562</v>
      </c>
      <c r="B580" s="58" t="s">
        <v>339</v>
      </c>
      <c r="C580" s="35" t="s">
        <v>149</v>
      </c>
      <c r="D580" s="499"/>
    </row>
    <row r="581" spans="1:4">
      <c r="A581" s="63" t="s">
        <v>562</v>
      </c>
      <c r="B581" s="58" t="s">
        <v>340</v>
      </c>
      <c r="C581" s="35" t="s">
        <v>149</v>
      </c>
      <c r="D581" s="499"/>
    </row>
    <row r="582" spans="1:4">
      <c r="A582" s="63" t="s">
        <v>562</v>
      </c>
      <c r="B582" s="35" t="s">
        <v>341</v>
      </c>
      <c r="C582" s="35" t="s">
        <v>149</v>
      </c>
      <c r="D582" s="499"/>
    </row>
    <row r="583" spans="1:4">
      <c r="A583" s="63" t="s">
        <v>562</v>
      </c>
      <c r="B583" s="58" t="s">
        <v>342</v>
      </c>
      <c r="C583" s="60" t="s">
        <v>175</v>
      </c>
      <c r="D583" s="504"/>
    </row>
    <row r="584" spans="1:4">
      <c r="A584" s="63" t="s">
        <v>562</v>
      </c>
      <c r="B584" s="58" t="s">
        <v>343</v>
      </c>
      <c r="C584" s="60" t="s">
        <v>29</v>
      </c>
      <c r="D584" s="504"/>
    </row>
    <row r="585" spans="1:4">
      <c r="A585" s="63" t="s">
        <v>562</v>
      </c>
      <c r="B585" s="58" t="s">
        <v>344</v>
      </c>
      <c r="C585" s="60" t="s">
        <v>58</v>
      </c>
      <c r="D585" s="504"/>
    </row>
    <row r="586" spans="1:4">
      <c r="A586" s="63" t="s">
        <v>562</v>
      </c>
      <c r="B586" s="58" t="s">
        <v>345</v>
      </c>
      <c r="C586" s="60" t="s">
        <v>58</v>
      </c>
      <c r="D586" s="504"/>
    </row>
    <row r="587" spans="1:4">
      <c r="A587" s="63" t="s">
        <v>562</v>
      </c>
      <c r="B587" s="58" t="s">
        <v>346</v>
      </c>
      <c r="C587" s="60" t="s">
        <v>58</v>
      </c>
      <c r="D587" s="504"/>
    </row>
    <row r="588" spans="1:4">
      <c r="A588" s="63" t="s">
        <v>562</v>
      </c>
      <c r="B588" s="58" t="s">
        <v>347</v>
      </c>
      <c r="C588" s="60" t="s">
        <v>58</v>
      </c>
      <c r="D588" s="504"/>
    </row>
    <row r="589" spans="1:4">
      <c r="A589" s="63" t="s">
        <v>562</v>
      </c>
      <c r="B589" s="58" t="s">
        <v>348</v>
      </c>
      <c r="C589" s="60" t="s">
        <v>29</v>
      </c>
      <c r="D589" s="504"/>
    </row>
    <row r="590" spans="1:4">
      <c r="A590" s="63" t="s">
        <v>562</v>
      </c>
      <c r="B590" s="35" t="s">
        <v>349</v>
      </c>
      <c r="C590" s="35" t="s">
        <v>28</v>
      </c>
      <c r="D590" s="499"/>
    </row>
    <row r="591" spans="1:4">
      <c r="A591" s="63" t="s">
        <v>563</v>
      </c>
      <c r="B591" s="35">
        <v>233911</v>
      </c>
      <c r="C591" s="35" t="s">
        <v>29</v>
      </c>
      <c r="D591" s="499"/>
    </row>
    <row r="592" spans="1:4">
      <c r="A592" s="63" t="s">
        <v>563</v>
      </c>
      <c r="B592" s="35">
        <v>109972</v>
      </c>
      <c r="C592" s="35" t="s">
        <v>175</v>
      </c>
      <c r="D592" s="499"/>
    </row>
    <row r="593" spans="1:4">
      <c r="A593" s="63" t="s">
        <v>563</v>
      </c>
      <c r="B593" s="35">
        <v>119962</v>
      </c>
      <c r="C593" s="35" t="s">
        <v>175</v>
      </c>
      <c r="D593" s="499"/>
    </row>
    <row r="594" spans="1:4">
      <c r="A594" s="63" t="s">
        <v>563</v>
      </c>
      <c r="B594" s="35">
        <v>119982</v>
      </c>
      <c r="C594" s="35" t="s">
        <v>149</v>
      </c>
      <c r="D594" s="499"/>
    </row>
    <row r="595" spans="1:4">
      <c r="A595" s="63" t="s">
        <v>563</v>
      </c>
      <c r="B595" s="57">
        <v>203002</v>
      </c>
      <c r="C595" s="35" t="s">
        <v>28</v>
      </c>
      <c r="D595" s="499"/>
    </row>
    <row r="596" spans="1:4">
      <c r="A596" s="63" t="s">
        <v>563</v>
      </c>
      <c r="B596" s="57">
        <v>209960</v>
      </c>
      <c r="C596" s="35" t="s">
        <v>28</v>
      </c>
      <c r="D596" s="499"/>
    </row>
    <row r="597" spans="1:4">
      <c r="A597" s="63" t="s">
        <v>563</v>
      </c>
      <c r="B597" s="35">
        <v>209990</v>
      </c>
      <c r="C597" s="35" t="s">
        <v>28</v>
      </c>
      <c r="D597" s="499"/>
    </row>
    <row r="598" spans="1:4">
      <c r="A598" s="63" t="s">
        <v>563</v>
      </c>
      <c r="B598" s="35">
        <v>219913</v>
      </c>
      <c r="C598" s="35" t="s">
        <v>175</v>
      </c>
      <c r="D598" s="499"/>
    </row>
    <row r="599" spans="1:4">
      <c r="A599" s="63" t="s">
        <v>563</v>
      </c>
      <c r="B599" s="35">
        <v>230964</v>
      </c>
      <c r="C599" s="35" t="s">
        <v>28</v>
      </c>
      <c r="D599" s="499"/>
    </row>
    <row r="600" spans="1:4">
      <c r="A600" s="63" t="s">
        <v>563</v>
      </c>
      <c r="B600" s="35">
        <v>231903</v>
      </c>
      <c r="C600" s="35" t="s">
        <v>175</v>
      </c>
      <c r="D600" s="499"/>
    </row>
    <row r="601" spans="1:4">
      <c r="A601" s="63" t="s">
        <v>563</v>
      </c>
      <c r="B601" s="35">
        <v>231937</v>
      </c>
      <c r="C601" s="35" t="s">
        <v>175</v>
      </c>
      <c r="D601" s="499"/>
    </row>
    <row r="602" spans="1:4">
      <c r="A602" s="63" t="s">
        <v>563</v>
      </c>
      <c r="B602" s="35">
        <v>231939</v>
      </c>
      <c r="C602" s="35" t="s">
        <v>175</v>
      </c>
      <c r="D602" s="499"/>
    </row>
    <row r="603" spans="1:4">
      <c r="A603" s="63" t="s">
        <v>563</v>
      </c>
      <c r="B603" s="35">
        <v>231941</v>
      </c>
      <c r="C603" s="35" t="s">
        <v>28</v>
      </c>
      <c r="D603" s="499"/>
    </row>
    <row r="604" spans="1:4">
      <c r="A604" s="63" t="s">
        <v>563</v>
      </c>
      <c r="B604" s="35">
        <v>231944</v>
      </c>
      <c r="C604" s="35" t="s">
        <v>175</v>
      </c>
      <c r="D604" s="499"/>
    </row>
    <row r="605" spans="1:4">
      <c r="A605" s="63" t="s">
        <v>563</v>
      </c>
      <c r="B605" s="35">
        <v>231946</v>
      </c>
      <c r="C605" s="35" t="s">
        <v>175</v>
      </c>
      <c r="D605" s="499"/>
    </row>
    <row r="606" spans="1:4">
      <c r="A606" s="63" t="s">
        <v>563</v>
      </c>
      <c r="B606" s="35">
        <v>231958</v>
      </c>
      <c r="C606" s="35" t="s">
        <v>28</v>
      </c>
      <c r="D606" s="499"/>
    </row>
    <row r="607" spans="1:4">
      <c r="A607" s="63" t="s">
        <v>563</v>
      </c>
      <c r="B607" s="35">
        <v>231960</v>
      </c>
      <c r="C607" s="35" t="s">
        <v>28</v>
      </c>
      <c r="D607" s="499"/>
    </row>
    <row r="608" spans="1:4">
      <c r="A608" s="63" t="s">
        <v>563</v>
      </c>
      <c r="B608" s="35">
        <v>232902</v>
      </c>
      <c r="C608" s="35" t="s">
        <v>29</v>
      </c>
      <c r="D608" s="499"/>
    </row>
    <row r="609" spans="1:4">
      <c r="A609" s="63" t="s">
        <v>563</v>
      </c>
      <c r="B609" s="35">
        <v>232916</v>
      </c>
      <c r="C609" s="35" t="s">
        <v>29</v>
      </c>
      <c r="D609" s="499"/>
    </row>
    <row r="610" spans="1:4">
      <c r="A610" s="63" t="s">
        <v>563</v>
      </c>
      <c r="B610" s="35">
        <v>233915</v>
      </c>
      <c r="C610" s="35" t="s">
        <v>1762</v>
      </c>
      <c r="D610" s="499"/>
    </row>
    <row r="611" spans="1:4">
      <c r="A611" s="63" t="s">
        <v>563</v>
      </c>
      <c r="B611" s="35">
        <v>232927</v>
      </c>
      <c r="C611" s="35" t="s">
        <v>28</v>
      </c>
      <c r="D611" s="499"/>
    </row>
    <row r="612" spans="1:4">
      <c r="A612" s="63" t="s">
        <v>563</v>
      </c>
      <c r="B612" s="57" t="s">
        <v>293</v>
      </c>
      <c r="C612" s="35" t="s">
        <v>28</v>
      </c>
      <c r="D612" s="499"/>
    </row>
    <row r="613" spans="1:4">
      <c r="A613" s="63" t="s">
        <v>563</v>
      </c>
      <c r="B613" s="35" t="s">
        <v>267</v>
      </c>
      <c r="C613" s="35" t="s">
        <v>28</v>
      </c>
      <c r="D613" s="499"/>
    </row>
    <row r="614" spans="1:4">
      <c r="A614" s="63" t="s">
        <v>563</v>
      </c>
      <c r="B614" s="35" t="s">
        <v>297</v>
      </c>
      <c r="C614" s="35" t="s">
        <v>28</v>
      </c>
      <c r="D614" s="499"/>
    </row>
    <row r="615" spans="1:4">
      <c r="A615" s="63" t="s">
        <v>563</v>
      </c>
      <c r="B615" s="35">
        <v>233004</v>
      </c>
      <c r="C615" s="35" t="s">
        <v>29</v>
      </c>
      <c r="D615" s="499"/>
    </row>
    <row r="616" spans="1:4">
      <c r="A616" s="63" t="s">
        <v>563</v>
      </c>
      <c r="B616" s="35" t="s">
        <v>299</v>
      </c>
      <c r="C616" s="35" t="s">
        <v>28</v>
      </c>
      <c r="D616" s="499"/>
    </row>
    <row r="617" spans="1:4">
      <c r="A617" s="63" t="s">
        <v>564</v>
      </c>
      <c r="B617" s="35" t="s">
        <v>490</v>
      </c>
      <c r="C617" s="35" t="s">
        <v>27</v>
      </c>
      <c r="D617" s="499"/>
    </row>
    <row r="618" spans="1:4">
      <c r="A618" s="63" t="s">
        <v>564</v>
      </c>
      <c r="B618" s="35" t="s">
        <v>499</v>
      </c>
      <c r="C618" s="35" t="s">
        <v>28</v>
      </c>
      <c r="D618" s="499"/>
    </row>
    <row r="619" spans="1:4">
      <c r="A619" s="63" t="s">
        <v>564</v>
      </c>
      <c r="B619" s="35" t="s">
        <v>506</v>
      </c>
      <c r="C619" s="35" t="s">
        <v>28</v>
      </c>
      <c r="D619" s="499"/>
    </row>
    <row r="620" spans="1:4">
      <c r="A620" s="63" t="s">
        <v>564</v>
      </c>
      <c r="B620" s="35" t="s">
        <v>475</v>
      </c>
      <c r="C620" s="35" t="s">
        <v>27</v>
      </c>
      <c r="D620" s="499"/>
    </row>
    <row r="621" spans="1:4">
      <c r="A621" s="63" t="s">
        <v>564</v>
      </c>
      <c r="B621" s="62" t="s">
        <v>476</v>
      </c>
      <c r="C621" s="35" t="s">
        <v>28</v>
      </c>
      <c r="D621" s="499"/>
    </row>
    <row r="622" spans="1:4">
      <c r="A622" s="63" t="s">
        <v>564</v>
      </c>
      <c r="B622" s="35" t="s">
        <v>477</v>
      </c>
      <c r="C622" s="35" t="s">
        <v>28</v>
      </c>
      <c r="D622" s="499"/>
    </row>
    <row r="623" spans="1:4">
      <c r="A623" s="63" t="s">
        <v>564</v>
      </c>
      <c r="B623" s="62" t="s">
        <v>478</v>
      </c>
      <c r="C623" s="35" t="s">
        <v>28</v>
      </c>
      <c r="D623" s="499"/>
    </row>
    <row r="624" spans="1:4">
      <c r="A624" s="63" t="s">
        <v>564</v>
      </c>
      <c r="B624" s="35" t="s">
        <v>481</v>
      </c>
      <c r="C624" s="35" t="s">
        <v>29</v>
      </c>
      <c r="D624" s="499"/>
    </row>
    <row r="625" spans="1:4">
      <c r="A625" s="63" t="s">
        <v>564</v>
      </c>
      <c r="B625" s="35" t="s">
        <v>482</v>
      </c>
      <c r="C625" s="35" t="s">
        <v>29</v>
      </c>
      <c r="D625" s="499"/>
    </row>
    <row r="626" spans="1:4">
      <c r="A626" s="63" t="s">
        <v>564</v>
      </c>
      <c r="B626" s="35" t="s">
        <v>500</v>
      </c>
      <c r="C626" s="35" t="s">
        <v>27</v>
      </c>
      <c r="D626" s="499"/>
    </row>
    <row r="627" spans="1:4">
      <c r="A627" s="63" t="s">
        <v>564</v>
      </c>
      <c r="B627" s="35" t="s">
        <v>497</v>
      </c>
      <c r="C627" s="35" t="s">
        <v>29</v>
      </c>
      <c r="D627" s="499"/>
    </row>
    <row r="628" spans="1:4">
      <c r="A628" s="63" t="s">
        <v>564</v>
      </c>
      <c r="B628" s="62" t="s">
        <v>513</v>
      </c>
      <c r="C628" s="35" t="s">
        <v>165</v>
      </c>
      <c r="D628" s="499"/>
    </row>
    <row r="629" spans="1:4">
      <c r="A629" s="63" t="s">
        <v>564</v>
      </c>
      <c r="B629" s="62" t="s">
        <v>516</v>
      </c>
      <c r="C629" s="35" t="s">
        <v>165</v>
      </c>
      <c r="D629" s="499"/>
    </row>
    <row r="630" spans="1:4">
      <c r="A630" s="63" t="s">
        <v>564</v>
      </c>
      <c r="B630" s="62" t="s">
        <v>511</v>
      </c>
      <c r="C630" s="35" t="s">
        <v>28</v>
      </c>
      <c r="D630" s="499"/>
    </row>
    <row r="631" spans="1:4">
      <c r="A631" s="63" t="s">
        <v>564</v>
      </c>
      <c r="B631" s="35" t="s">
        <v>495</v>
      </c>
      <c r="C631" s="35" t="s">
        <v>28</v>
      </c>
      <c r="D631" s="499"/>
    </row>
    <row r="632" spans="1:4">
      <c r="A632" s="63" t="s">
        <v>564</v>
      </c>
      <c r="B632" s="62" t="s">
        <v>519</v>
      </c>
      <c r="C632" s="35" t="s">
        <v>29</v>
      </c>
      <c r="D632" s="499"/>
    </row>
    <row r="633" spans="1:4">
      <c r="A633" s="63" t="s">
        <v>564</v>
      </c>
      <c r="B633" s="62" t="s">
        <v>520</v>
      </c>
      <c r="C633" s="35" t="s">
        <v>58</v>
      </c>
      <c r="D633" s="499"/>
    </row>
    <row r="634" spans="1:4">
      <c r="A634" s="63" t="s">
        <v>564</v>
      </c>
      <c r="B634" s="62" t="s">
        <v>521</v>
      </c>
      <c r="C634" s="35" t="s">
        <v>58</v>
      </c>
      <c r="D634" s="499"/>
    </row>
    <row r="635" spans="1:4">
      <c r="A635" s="63" t="s">
        <v>564</v>
      </c>
      <c r="B635" s="62" t="s">
        <v>522</v>
      </c>
      <c r="C635" s="35" t="s">
        <v>29</v>
      </c>
      <c r="D635" s="499"/>
    </row>
    <row r="636" spans="1:4">
      <c r="A636" s="63" t="s">
        <v>564</v>
      </c>
      <c r="B636" s="62" t="s">
        <v>523</v>
      </c>
      <c r="C636" s="35" t="s">
        <v>58</v>
      </c>
      <c r="D636" s="499"/>
    </row>
    <row r="637" spans="1:4">
      <c r="A637" s="63" t="s">
        <v>564</v>
      </c>
      <c r="B637" s="62" t="s">
        <v>524</v>
      </c>
      <c r="C637" s="35" t="s">
        <v>58</v>
      </c>
      <c r="D637" s="499"/>
    </row>
    <row r="638" spans="1:4">
      <c r="A638" s="63" t="s">
        <v>564</v>
      </c>
      <c r="B638" s="62" t="s">
        <v>525</v>
      </c>
      <c r="C638" s="35" t="s">
        <v>58</v>
      </c>
      <c r="D638" s="499"/>
    </row>
    <row r="639" spans="1:4">
      <c r="A639" s="63" t="s">
        <v>564</v>
      </c>
      <c r="B639" s="62" t="s">
        <v>526</v>
      </c>
      <c r="C639" s="35" t="s">
        <v>58</v>
      </c>
      <c r="D639" s="499"/>
    </row>
    <row r="640" spans="1:4">
      <c r="A640" s="63" t="s">
        <v>564</v>
      </c>
      <c r="B640" s="62" t="s">
        <v>527</v>
      </c>
      <c r="C640" s="35" t="s">
        <v>58</v>
      </c>
      <c r="D640" s="499"/>
    </row>
    <row r="641" spans="1:4">
      <c r="A641" s="63" t="s">
        <v>564</v>
      </c>
      <c r="B641" s="62" t="s">
        <v>528</v>
      </c>
      <c r="C641" s="35" t="s">
        <v>165</v>
      </c>
      <c r="D641" s="499"/>
    </row>
    <row r="642" spans="1:4">
      <c r="A642" s="63" t="s">
        <v>564</v>
      </c>
      <c r="B642" s="62" t="s">
        <v>529</v>
      </c>
      <c r="C642" s="35" t="s">
        <v>29</v>
      </c>
      <c r="D642" s="499"/>
    </row>
    <row r="643" spans="1:4">
      <c r="A643" s="63" t="s">
        <v>564</v>
      </c>
      <c r="B643" s="62" t="s">
        <v>530</v>
      </c>
      <c r="C643" s="35" t="s">
        <v>29</v>
      </c>
      <c r="D643" s="499"/>
    </row>
    <row r="644" spans="1:4">
      <c r="A644" s="63" t="s">
        <v>564</v>
      </c>
      <c r="B644" s="62" t="s">
        <v>531</v>
      </c>
      <c r="C644" s="35" t="s">
        <v>58</v>
      </c>
      <c r="D644" s="499"/>
    </row>
    <row r="645" spans="1:4">
      <c r="A645" s="63" t="s">
        <v>564</v>
      </c>
      <c r="B645" s="62" t="s">
        <v>532</v>
      </c>
      <c r="C645" s="35" t="s">
        <v>58</v>
      </c>
      <c r="D645" s="499"/>
    </row>
    <row r="646" spans="1:4">
      <c r="A646" s="63" t="s">
        <v>564</v>
      </c>
      <c r="B646" s="62" t="s">
        <v>533</v>
      </c>
      <c r="C646" s="35" t="s">
        <v>58</v>
      </c>
      <c r="D646" s="499"/>
    </row>
    <row r="647" spans="1:4">
      <c r="A647" s="63" t="s">
        <v>564</v>
      </c>
      <c r="B647" s="62" t="s">
        <v>534</v>
      </c>
      <c r="C647" s="35" t="s">
        <v>58</v>
      </c>
      <c r="D647" s="499"/>
    </row>
    <row r="648" spans="1:4">
      <c r="A648" s="63" t="s">
        <v>564</v>
      </c>
      <c r="B648" s="62" t="s">
        <v>535</v>
      </c>
      <c r="C648" s="35" t="s">
        <v>58</v>
      </c>
      <c r="D648" s="499"/>
    </row>
    <row r="649" spans="1:4">
      <c r="A649" s="63" t="s">
        <v>564</v>
      </c>
      <c r="B649" s="62" t="s">
        <v>536</v>
      </c>
      <c r="C649" s="35" t="s">
        <v>58</v>
      </c>
      <c r="D649" s="499"/>
    </row>
    <row r="650" spans="1:4">
      <c r="A650" s="63" t="s">
        <v>564</v>
      </c>
      <c r="B650" s="62" t="s">
        <v>537</v>
      </c>
      <c r="C650" s="35" t="s">
        <v>165</v>
      </c>
      <c r="D650" s="499"/>
    </row>
    <row r="651" spans="1:4">
      <c r="A651" s="63" t="s">
        <v>564</v>
      </c>
      <c r="B651" s="62" t="s">
        <v>538</v>
      </c>
      <c r="C651" s="35" t="s">
        <v>29</v>
      </c>
      <c r="D651" s="499"/>
    </row>
    <row r="652" spans="1:4">
      <c r="A652" s="63" t="s">
        <v>564</v>
      </c>
      <c r="B652" s="62" t="s">
        <v>539</v>
      </c>
      <c r="C652" s="35" t="s">
        <v>29</v>
      </c>
      <c r="D652" s="499"/>
    </row>
    <row r="653" spans="1:4">
      <c r="A653" s="63" t="s">
        <v>564</v>
      </c>
      <c r="B653" s="62" t="s">
        <v>540</v>
      </c>
      <c r="C653" s="35" t="s">
        <v>58</v>
      </c>
      <c r="D653" s="499"/>
    </row>
    <row r="654" spans="1:4">
      <c r="A654" s="63" t="s">
        <v>564</v>
      </c>
      <c r="B654" s="62" t="s">
        <v>541</v>
      </c>
      <c r="C654" s="35" t="s">
        <v>58</v>
      </c>
      <c r="D654" s="499"/>
    </row>
    <row r="655" spans="1:4">
      <c r="A655" s="63" t="s">
        <v>564</v>
      </c>
      <c r="B655" s="62" t="s">
        <v>1360</v>
      </c>
      <c r="C655" s="35" t="s">
        <v>1361</v>
      </c>
      <c r="D655" s="499"/>
    </row>
    <row r="656" spans="1:4">
      <c r="A656" s="63" t="s">
        <v>564</v>
      </c>
      <c r="B656" s="62" t="s">
        <v>510</v>
      </c>
      <c r="C656" s="35" t="s">
        <v>58</v>
      </c>
      <c r="D656" s="499"/>
    </row>
    <row r="657" spans="1:4">
      <c r="A657" s="63" t="s">
        <v>564</v>
      </c>
      <c r="B657" s="35" t="s">
        <v>474</v>
      </c>
      <c r="C657" s="35" t="s">
        <v>58</v>
      </c>
      <c r="D657" s="499"/>
    </row>
    <row r="658" spans="1:4">
      <c r="A658" s="63" t="s">
        <v>564</v>
      </c>
      <c r="B658" s="62" t="s">
        <v>496</v>
      </c>
      <c r="C658" s="35" t="s">
        <v>58</v>
      </c>
      <c r="D658" s="499"/>
    </row>
    <row r="659" spans="1:4">
      <c r="A659" s="63" t="s">
        <v>564</v>
      </c>
      <c r="B659" s="62" t="s">
        <v>512</v>
      </c>
      <c r="C659" s="35" t="s">
        <v>28</v>
      </c>
      <c r="D659" s="499"/>
    </row>
    <row r="660" spans="1:4">
      <c r="A660" s="63" t="s">
        <v>564</v>
      </c>
      <c r="B660" s="62" t="s">
        <v>517</v>
      </c>
      <c r="C660" s="35" t="s">
        <v>28</v>
      </c>
      <c r="D660" s="499"/>
    </row>
    <row r="661" spans="1:4">
      <c r="A661" s="63" t="s">
        <v>564</v>
      </c>
      <c r="B661" s="35" t="s">
        <v>501</v>
      </c>
      <c r="C661" s="35" t="s">
        <v>28</v>
      </c>
      <c r="D661" s="499"/>
    </row>
    <row r="662" spans="1:4">
      <c r="A662" s="63" t="s">
        <v>564</v>
      </c>
      <c r="B662" s="35" t="s">
        <v>503</v>
      </c>
      <c r="C662" s="35" t="s">
        <v>28</v>
      </c>
      <c r="D662" s="499"/>
    </row>
    <row r="663" spans="1:4">
      <c r="A663" s="63" t="s">
        <v>564</v>
      </c>
      <c r="B663" s="35" t="s">
        <v>502</v>
      </c>
      <c r="C663" s="35" t="s">
        <v>28</v>
      </c>
      <c r="D663" s="499"/>
    </row>
    <row r="664" spans="1:4">
      <c r="A664" s="63" t="s">
        <v>564</v>
      </c>
      <c r="B664" s="62" t="s">
        <v>504</v>
      </c>
      <c r="C664" s="35" t="s">
        <v>28</v>
      </c>
      <c r="D664" s="499"/>
    </row>
    <row r="665" spans="1:4">
      <c r="A665" s="63" t="s">
        <v>564</v>
      </c>
      <c r="B665" s="35" t="s">
        <v>573</v>
      </c>
      <c r="C665" s="35" t="s">
        <v>28</v>
      </c>
      <c r="D665" s="499"/>
    </row>
    <row r="666" spans="1:4">
      <c r="A666" s="63" t="s">
        <v>564</v>
      </c>
      <c r="B666" s="35" t="s">
        <v>574</v>
      </c>
      <c r="C666" s="35" t="s">
        <v>28</v>
      </c>
      <c r="D666" s="499"/>
    </row>
    <row r="667" spans="1:4">
      <c r="A667" s="63" t="s">
        <v>564</v>
      </c>
      <c r="B667" s="35" t="s">
        <v>514</v>
      </c>
      <c r="C667" s="35" t="s">
        <v>28</v>
      </c>
      <c r="D667" s="499"/>
    </row>
    <row r="668" spans="1:4">
      <c r="A668" s="63" t="s">
        <v>564</v>
      </c>
      <c r="B668" s="62" t="s">
        <v>515</v>
      </c>
      <c r="C668" s="35" t="s">
        <v>28</v>
      </c>
      <c r="D668" s="499"/>
    </row>
    <row r="669" spans="1:4">
      <c r="A669" s="63" t="s">
        <v>564</v>
      </c>
      <c r="B669" s="35" t="s">
        <v>494</v>
      </c>
      <c r="C669" s="35" t="s">
        <v>58</v>
      </c>
      <c r="D669" s="499"/>
    </row>
    <row r="670" spans="1:4">
      <c r="A670" s="63" t="s">
        <v>564</v>
      </c>
      <c r="B670" s="35" t="s">
        <v>505</v>
      </c>
      <c r="C670" s="35" t="s">
        <v>28</v>
      </c>
      <c r="D670" s="499"/>
    </row>
    <row r="671" spans="1:4">
      <c r="A671" s="63" t="s">
        <v>564</v>
      </c>
      <c r="B671" s="35" t="s">
        <v>492</v>
      </c>
      <c r="C671" s="35" t="s">
        <v>27</v>
      </c>
      <c r="D671" s="499"/>
    </row>
    <row r="672" spans="1:4">
      <c r="A672" s="63" t="s">
        <v>564</v>
      </c>
      <c r="B672" s="35" t="s">
        <v>489</v>
      </c>
      <c r="C672" s="35" t="s">
        <v>27</v>
      </c>
      <c r="D672" s="499"/>
    </row>
    <row r="673" spans="1:4">
      <c r="A673" s="63" t="s">
        <v>564</v>
      </c>
      <c r="B673" s="35" t="s">
        <v>491</v>
      </c>
      <c r="C673" s="35" t="s">
        <v>11</v>
      </c>
      <c r="D673" s="499"/>
    </row>
    <row r="674" spans="1:4">
      <c r="A674" s="63" t="s">
        <v>564</v>
      </c>
      <c r="B674" s="62" t="s">
        <v>518</v>
      </c>
      <c r="C674" s="35" t="s">
        <v>149</v>
      </c>
      <c r="D674" s="499"/>
    </row>
    <row r="675" spans="1:4">
      <c r="A675" s="63" t="s">
        <v>564</v>
      </c>
      <c r="B675" s="35" t="s">
        <v>493</v>
      </c>
      <c r="C675" s="35" t="s">
        <v>149</v>
      </c>
      <c r="D675" s="499"/>
    </row>
    <row r="676" spans="1:4">
      <c r="A676" s="63" t="s">
        <v>564</v>
      </c>
      <c r="B676" s="35" t="s">
        <v>483</v>
      </c>
      <c r="C676" s="35" t="s">
        <v>29</v>
      </c>
      <c r="D676" s="499"/>
    </row>
    <row r="677" spans="1:4">
      <c r="A677" s="63" t="s">
        <v>564</v>
      </c>
      <c r="B677" s="35" t="s">
        <v>484</v>
      </c>
      <c r="C677" s="35" t="s">
        <v>29</v>
      </c>
      <c r="D677" s="499"/>
    </row>
    <row r="678" spans="1:4">
      <c r="A678" s="63" t="s">
        <v>564</v>
      </c>
      <c r="B678" s="35" t="s">
        <v>485</v>
      </c>
      <c r="C678" s="35" t="s">
        <v>29</v>
      </c>
      <c r="D678" s="499"/>
    </row>
    <row r="679" spans="1:4">
      <c r="A679" s="63" t="s">
        <v>564</v>
      </c>
      <c r="B679" s="35" t="s">
        <v>486</v>
      </c>
      <c r="C679" s="35" t="s">
        <v>29</v>
      </c>
      <c r="D679" s="499"/>
    </row>
    <row r="680" spans="1:4">
      <c r="A680" s="63" t="s">
        <v>564</v>
      </c>
      <c r="B680" s="35" t="s">
        <v>487</v>
      </c>
      <c r="C680" s="35" t="s">
        <v>29</v>
      </c>
      <c r="D680" s="499"/>
    </row>
    <row r="681" spans="1:4">
      <c r="A681" s="63" t="s">
        <v>564</v>
      </c>
      <c r="B681" s="35" t="s">
        <v>488</v>
      </c>
      <c r="C681" s="35" t="s">
        <v>29</v>
      </c>
      <c r="D681" s="499"/>
    </row>
    <row r="682" spans="1:4">
      <c r="A682" s="63" t="s">
        <v>564</v>
      </c>
      <c r="B682" s="35" t="s">
        <v>507</v>
      </c>
      <c r="C682" s="35" t="s">
        <v>58</v>
      </c>
      <c r="D682" s="499"/>
    </row>
    <row r="683" spans="1:4">
      <c r="A683" s="63" t="s">
        <v>564</v>
      </c>
      <c r="B683" s="35" t="s">
        <v>508</v>
      </c>
      <c r="C683" s="35" t="s">
        <v>58</v>
      </c>
      <c r="D683" s="499"/>
    </row>
    <row r="684" spans="1:4">
      <c r="A684" s="63" t="s">
        <v>564</v>
      </c>
      <c r="B684" s="35" t="s">
        <v>498</v>
      </c>
      <c r="C684" s="35" t="s">
        <v>58</v>
      </c>
      <c r="D684" s="499"/>
    </row>
    <row r="685" spans="1:4">
      <c r="A685" s="63" t="s">
        <v>564</v>
      </c>
      <c r="B685" s="35" t="s">
        <v>480</v>
      </c>
      <c r="C685" s="35" t="s">
        <v>58</v>
      </c>
      <c r="D685" s="499"/>
    </row>
    <row r="686" spans="1:4">
      <c r="A686" s="63" t="s">
        <v>564</v>
      </c>
      <c r="B686" s="35" t="s">
        <v>479</v>
      </c>
      <c r="C686" s="35" t="s">
        <v>58</v>
      </c>
      <c r="D686" s="499"/>
    </row>
    <row r="687" spans="1:4">
      <c r="A687" s="63" t="s">
        <v>564</v>
      </c>
      <c r="B687" s="62" t="s">
        <v>509</v>
      </c>
      <c r="C687" s="35" t="s">
        <v>58</v>
      </c>
      <c r="D687" s="499"/>
    </row>
    <row r="688" spans="1:4">
      <c r="A688" s="63" t="s">
        <v>564</v>
      </c>
      <c r="B688" s="62" t="s">
        <v>859</v>
      </c>
      <c r="C688" s="35" t="s">
        <v>863</v>
      </c>
      <c r="D688" s="499"/>
    </row>
    <row r="689" spans="1:4">
      <c r="A689" s="63" t="s">
        <v>564</v>
      </c>
      <c r="B689" s="62" t="s">
        <v>860</v>
      </c>
      <c r="C689" s="35" t="s">
        <v>863</v>
      </c>
      <c r="D689" s="499"/>
    </row>
    <row r="690" spans="1:4">
      <c r="A690" s="63" t="s">
        <v>564</v>
      </c>
      <c r="B690" s="62" t="s">
        <v>861</v>
      </c>
      <c r="C690" s="35" t="s">
        <v>863</v>
      </c>
      <c r="D690" s="499"/>
    </row>
    <row r="691" spans="1:4">
      <c r="A691" s="63" t="s">
        <v>564</v>
      </c>
      <c r="B691" s="62" t="s">
        <v>1366</v>
      </c>
      <c r="C691" s="35" t="s">
        <v>1367</v>
      </c>
      <c r="D691" s="499"/>
    </row>
    <row r="692" spans="1:4">
      <c r="A692" s="63" t="s">
        <v>564</v>
      </c>
      <c r="B692" s="62" t="s">
        <v>862</v>
      </c>
      <c r="C692" s="35" t="s">
        <v>863</v>
      </c>
      <c r="D692" s="499"/>
    </row>
    <row r="693" spans="1:4">
      <c r="A693" s="63" t="s">
        <v>564</v>
      </c>
      <c r="B693" s="62" t="s">
        <v>3042</v>
      </c>
      <c r="C693" s="35" t="s">
        <v>28</v>
      </c>
      <c r="D693" s="499"/>
    </row>
    <row r="694" spans="1:4">
      <c r="A694" s="63" t="s">
        <v>566</v>
      </c>
      <c r="B694" s="57">
        <v>8522</v>
      </c>
      <c r="C694" s="57" t="s">
        <v>149</v>
      </c>
      <c r="D694" s="501"/>
    </row>
    <row r="695" spans="1:4">
      <c r="A695" s="63" t="s">
        <v>566</v>
      </c>
      <c r="B695" s="57">
        <v>1431</v>
      </c>
      <c r="C695" s="57" t="s">
        <v>165</v>
      </c>
      <c r="D695" s="501"/>
    </row>
    <row r="696" spans="1:4">
      <c r="A696" s="63" t="s">
        <v>566</v>
      </c>
      <c r="B696" s="57">
        <v>1461</v>
      </c>
      <c r="C696" s="57" t="s">
        <v>165</v>
      </c>
      <c r="D696" s="501"/>
    </row>
    <row r="697" spans="1:4">
      <c r="A697" s="63" t="s">
        <v>566</v>
      </c>
      <c r="B697" s="57">
        <v>1526</v>
      </c>
      <c r="C697" s="57" t="s">
        <v>165</v>
      </c>
      <c r="D697" s="501"/>
    </row>
    <row r="698" spans="1:4">
      <c r="A698" s="63" t="s">
        <v>566</v>
      </c>
      <c r="B698" s="58">
        <v>1535</v>
      </c>
      <c r="C698" s="60" t="s">
        <v>165</v>
      </c>
      <c r="D698" s="504"/>
    </row>
    <row r="699" spans="1:4">
      <c r="A699" s="63" t="s">
        <v>566</v>
      </c>
      <c r="B699" s="35">
        <v>1670</v>
      </c>
      <c r="C699" s="35" t="s">
        <v>29</v>
      </c>
      <c r="D699" s="499"/>
    </row>
    <row r="700" spans="1:4">
      <c r="A700" s="63" t="s">
        <v>566</v>
      </c>
      <c r="B700" s="57">
        <v>1695</v>
      </c>
      <c r="C700" s="59" t="s">
        <v>28</v>
      </c>
      <c r="D700" s="503"/>
    </row>
    <row r="701" spans="1:4">
      <c r="A701" s="63" t="s">
        <v>566</v>
      </c>
      <c r="B701" s="58">
        <v>1697</v>
      </c>
      <c r="C701" s="59" t="s">
        <v>28</v>
      </c>
      <c r="D701" s="503"/>
    </row>
    <row r="702" spans="1:4">
      <c r="A702" s="63" t="s">
        <v>566</v>
      </c>
      <c r="B702" s="58">
        <v>1698</v>
      </c>
      <c r="C702" s="59" t="s">
        <v>28</v>
      </c>
      <c r="D702" s="503"/>
    </row>
    <row r="703" spans="1:4">
      <c r="A703" s="63" t="s">
        <v>566</v>
      </c>
      <c r="B703" s="58">
        <v>1699</v>
      </c>
      <c r="C703" s="59" t="s">
        <v>28</v>
      </c>
      <c r="D703" s="503"/>
    </row>
    <row r="704" spans="1:4">
      <c r="A704" s="63" t="s">
        <v>566</v>
      </c>
      <c r="B704" s="58">
        <v>1727</v>
      </c>
      <c r="C704" s="60" t="s">
        <v>175</v>
      </c>
      <c r="D704" s="504"/>
    </row>
    <row r="705" spans="1:4">
      <c r="A705" s="63" t="s">
        <v>566</v>
      </c>
      <c r="B705" s="58">
        <v>1732</v>
      </c>
      <c r="C705" s="60" t="s">
        <v>28</v>
      </c>
      <c r="D705" s="504"/>
    </row>
    <row r="706" spans="1:4">
      <c r="A706" s="63" t="s">
        <v>566</v>
      </c>
      <c r="B706" s="58">
        <v>1733</v>
      </c>
      <c r="C706" s="60" t="s">
        <v>175</v>
      </c>
      <c r="D706" s="504"/>
    </row>
    <row r="707" spans="1:4">
      <c r="A707" s="63" t="s">
        <v>566</v>
      </c>
      <c r="B707" s="35">
        <v>1735</v>
      </c>
      <c r="C707" s="35" t="s">
        <v>175</v>
      </c>
      <c r="D707" s="499"/>
    </row>
    <row r="708" spans="1:4">
      <c r="A708" s="63" t="s">
        <v>566</v>
      </c>
      <c r="B708" s="35">
        <v>1737</v>
      </c>
      <c r="C708" s="35" t="s">
        <v>175</v>
      </c>
      <c r="D708" s="499"/>
    </row>
    <row r="709" spans="1:4">
      <c r="A709" s="63" t="s">
        <v>566</v>
      </c>
      <c r="B709" s="57">
        <v>1738</v>
      </c>
      <c r="C709" s="57" t="s">
        <v>175</v>
      </c>
      <c r="D709" s="501"/>
    </row>
    <row r="710" spans="1:4">
      <c r="A710" s="63" t="s">
        <v>566</v>
      </c>
      <c r="B710" s="58">
        <v>1739</v>
      </c>
      <c r="C710" s="59" t="s">
        <v>28</v>
      </c>
      <c r="D710" s="503"/>
    </row>
    <row r="711" spans="1:4">
      <c r="A711" s="63" t="s">
        <v>566</v>
      </c>
      <c r="B711" s="57">
        <v>1742</v>
      </c>
      <c r="C711" s="57" t="s">
        <v>175</v>
      </c>
      <c r="D711" s="501"/>
    </row>
    <row r="712" spans="1:4">
      <c r="A712" s="63" t="s">
        <v>566</v>
      </c>
      <c r="B712" s="57">
        <v>1743</v>
      </c>
      <c r="C712" s="57" t="s">
        <v>175</v>
      </c>
      <c r="D712" s="501"/>
    </row>
    <row r="713" spans="1:4">
      <c r="A713" s="63" t="s">
        <v>566</v>
      </c>
      <c r="B713" s="57">
        <v>1744</v>
      </c>
      <c r="C713" s="57" t="s">
        <v>175</v>
      </c>
      <c r="D713" s="501"/>
    </row>
    <row r="714" spans="1:4">
      <c r="A714" s="63" t="s">
        <v>566</v>
      </c>
      <c r="B714" s="57">
        <v>1746</v>
      </c>
      <c r="C714" s="57" t="s">
        <v>28</v>
      </c>
      <c r="D714" s="501"/>
    </row>
    <row r="715" spans="1:4">
      <c r="A715" s="63" t="s">
        <v>566</v>
      </c>
      <c r="B715" s="57">
        <v>1747</v>
      </c>
      <c r="C715" s="57" t="s">
        <v>175</v>
      </c>
      <c r="D715" s="501"/>
    </row>
    <row r="716" spans="1:4">
      <c r="A716" s="63" t="s">
        <v>566</v>
      </c>
      <c r="B716" s="57">
        <v>1748</v>
      </c>
      <c r="C716" s="57" t="s">
        <v>175</v>
      </c>
      <c r="D716" s="501"/>
    </row>
    <row r="717" spans="1:4">
      <c r="A717" s="63" t="s">
        <v>566</v>
      </c>
      <c r="B717" s="35">
        <v>1749</v>
      </c>
      <c r="C717" s="35" t="s">
        <v>29</v>
      </c>
      <c r="D717" s="499"/>
    </row>
    <row r="718" spans="1:4">
      <c r="A718" s="63" t="s">
        <v>566</v>
      </c>
      <c r="B718" s="58">
        <v>1776</v>
      </c>
      <c r="C718" s="60" t="s">
        <v>28</v>
      </c>
      <c r="D718" s="504"/>
    </row>
    <row r="719" spans="1:4">
      <c r="A719" s="63" t="s">
        <v>566</v>
      </c>
      <c r="B719" s="58">
        <v>1777</v>
      </c>
      <c r="C719" s="59" t="s">
        <v>28</v>
      </c>
      <c r="D719" s="503"/>
    </row>
    <row r="720" spans="1:4">
      <c r="A720" s="63" t="s">
        <v>566</v>
      </c>
      <c r="B720" s="35">
        <v>1778</v>
      </c>
      <c r="C720" s="56" t="s">
        <v>28</v>
      </c>
      <c r="D720" s="502"/>
    </row>
    <row r="721" spans="1:4">
      <c r="A721" s="63" t="s">
        <v>566</v>
      </c>
      <c r="B721" s="35">
        <v>1779</v>
      </c>
      <c r="C721" s="56" t="s">
        <v>28</v>
      </c>
      <c r="D721" s="502"/>
    </row>
    <row r="722" spans="1:4">
      <c r="A722" s="63" t="s">
        <v>566</v>
      </c>
      <c r="B722" s="35">
        <v>1780</v>
      </c>
      <c r="C722" s="35" t="s">
        <v>28</v>
      </c>
      <c r="D722" s="499"/>
    </row>
    <row r="723" spans="1:4">
      <c r="A723" s="63" t="s">
        <v>566</v>
      </c>
      <c r="B723" s="35">
        <v>1781</v>
      </c>
      <c r="C723" s="35" t="s">
        <v>28</v>
      </c>
      <c r="D723" s="499"/>
    </row>
    <row r="724" spans="1:4">
      <c r="A724" s="63" t="s">
        <v>566</v>
      </c>
      <c r="B724" s="35">
        <v>1782</v>
      </c>
      <c r="C724" s="56" t="s">
        <v>28</v>
      </c>
      <c r="D724" s="502"/>
    </row>
    <row r="725" spans="1:4">
      <c r="A725" s="63" t="s">
        <v>566</v>
      </c>
      <c r="B725" s="57">
        <v>1783</v>
      </c>
      <c r="C725" s="56" t="s">
        <v>28</v>
      </c>
      <c r="D725" s="502"/>
    </row>
    <row r="726" spans="1:4">
      <c r="A726" s="63" t="s">
        <v>566</v>
      </c>
      <c r="B726" s="35">
        <v>1798</v>
      </c>
      <c r="C726" s="56" t="s">
        <v>28</v>
      </c>
      <c r="D726" s="502"/>
    </row>
    <row r="727" spans="1:4">
      <c r="A727" s="63" t="s">
        <v>566</v>
      </c>
      <c r="B727" s="58">
        <v>1849</v>
      </c>
      <c r="C727" s="59" t="s">
        <v>28</v>
      </c>
      <c r="D727" s="503"/>
    </row>
    <row r="728" spans="1:4">
      <c r="A728" s="63" t="s">
        <v>566</v>
      </c>
      <c r="B728" s="58">
        <v>1850</v>
      </c>
      <c r="C728" s="59" t="s">
        <v>28</v>
      </c>
      <c r="D728" s="503"/>
    </row>
    <row r="729" spans="1:4">
      <c r="A729" s="63" t="s">
        <v>566</v>
      </c>
      <c r="B729" s="58">
        <v>1858</v>
      </c>
      <c r="C729" s="59" t="s">
        <v>28</v>
      </c>
      <c r="D729" s="503"/>
    </row>
    <row r="730" spans="1:4">
      <c r="A730" s="63" t="s">
        <v>566</v>
      </c>
      <c r="B730" s="58">
        <v>1859</v>
      </c>
      <c r="C730" s="59" t="s">
        <v>28</v>
      </c>
      <c r="D730" s="503"/>
    </row>
    <row r="731" spans="1:4">
      <c r="A731" s="63" t="s">
        <v>566</v>
      </c>
      <c r="B731" s="58">
        <v>1866</v>
      </c>
      <c r="C731" s="60" t="s">
        <v>175</v>
      </c>
      <c r="D731" s="504"/>
    </row>
    <row r="732" spans="1:4">
      <c r="A732" s="63" t="s">
        <v>566</v>
      </c>
      <c r="B732" s="58">
        <v>1867</v>
      </c>
      <c r="C732" s="60" t="s">
        <v>28</v>
      </c>
      <c r="D732" s="504"/>
    </row>
    <row r="733" spans="1:4">
      <c r="A733" s="63" t="s">
        <v>566</v>
      </c>
      <c r="B733" s="58">
        <v>1868</v>
      </c>
      <c r="C733" s="60" t="s">
        <v>28</v>
      </c>
      <c r="D733" s="504"/>
    </row>
    <row r="734" spans="1:4">
      <c r="A734" s="63" t="s">
        <v>566</v>
      </c>
      <c r="B734" s="58">
        <v>1869</v>
      </c>
      <c r="C734" s="60" t="s">
        <v>28</v>
      </c>
      <c r="D734" s="504"/>
    </row>
    <row r="735" spans="1:4">
      <c r="A735" s="63" t="s">
        <v>566</v>
      </c>
      <c r="B735" s="58">
        <v>1890</v>
      </c>
      <c r="C735" s="60" t="s">
        <v>28</v>
      </c>
      <c r="D735" s="504"/>
    </row>
    <row r="736" spans="1:4">
      <c r="A736" s="63" t="s">
        <v>566</v>
      </c>
      <c r="B736" s="57">
        <v>1891</v>
      </c>
      <c r="C736" s="57" t="s">
        <v>175</v>
      </c>
      <c r="D736" s="501"/>
    </row>
    <row r="737" spans="1:4">
      <c r="A737" s="63" t="s">
        <v>566</v>
      </c>
      <c r="B737" s="57">
        <v>1892</v>
      </c>
      <c r="C737" s="57" t="s">
        <v>175</v>
      </c>
      <c r="D737" s="501"/>
    </row>
    <row r="738" spans="1:4">
      <c r="A738" s="63" t="s">
        <v>566</v>
      </c>
      <c r="B738" s="57">
        <v>1893</v>
      </c>
      <c r="C738" s="57" t="s">
        <v>175</v>
      </c>
      <c r="D738" s="501"/>
    </row>
    <row r="739" spans="1:4">
      <c r="A739" s="63" t="s">
        <v>566</v>
      </c>
      <c r="B739" s="57">
        <v>1895</v>
      </c>
      <c r="C739" s="57" t="s">
        <v>28</v>
      </c>
      <c r="D739" s="501"/>
    </row>
    <row r="740" spans="1:4">
      <c r="A740" s="63" t="s">
        <v>566</v>
      </c>
      <c r="B740" s="58">
        <v>1896</v>
      </c>
      <c r="C740" s="60" t="s">
        <v>28</v>
      </c>
      <c r="D740" s="504"/>
    </row>
    <row r="741" spans="1:4">
      <c r="A741" s="63" t="s">
        <v>566</v>
      </c>
      <c r="B741" s="35">
        <v>1898</v>
      </c>
      <c r="C741" s="56" t="s">
        <v>28</v>
      </c>
      <c r="D741" s="502"/>
    </row>
    <row r="742" spans="1:4">
      <c r="A742" s="63" t="s">
        <v>566</v>
      </c>
      <c r="B742" s="58">
        <v>1899</v>
      </c>
      <c r="C742" s="60" t="s">
        <v>28</v>
      </c>
      <c r="D742" s="504"/>
    </row>
    <row r="743" spans="1:4">
      <c r="A743" s="63" t="s">
        <v>566</v>
      </c>
      <c r="B743" s="35">
        <v>1935</v>
      </c>
      <c r="C743" s="35" t="s">
        <v>58</v>
      </c>
      <c r="D743" s="499"/>
    </row>
    <row r="744" spans="1:4">
      <c r="A744" s="63" t="s">
        <v>566</v>
      </c>
      <c r="B744" s="35">
        <v>1936</v>
      </c>
      <c r="C744" s="35" t="s">
        <v>58</v>
      </c>
      <c r="D744" s="499"/>
    </row>
    <row r="745" spans="1:4">
      <c r="A745" s="63" t="s">
        <v>566</v>
      </c>
      <c r="B745" s="35">
        <v>1937</v>
      </c>
      <c r="C745" s="57" t="s">
        <v>58</v>
      </c>
      <c r="D745" s="501"/>
    </row>
    <row r="746" spans="1:4">
      <c r="A746" s="63" t="s">
        <v>566</v>
      </c>
      <c r="B746" s="35">
        <v>1943</v>
      </c>
      <c r="C746" s="56" t="s">
        <v>28</v>
      </c>
      <c r="D746" s="502"/>
    </row>
    <row r="747" spans="1:4">
      <c r="A747" s="63" t="s">
        <v>566</v>
      </c>
      <c r="B747" s="58">
        <v>1944</v>
      </c>
      <c r="C747" s="60" t="s">
        <v>28</v>
      </c>
      <c r="D747" s="504"/>
    </row>
    <row r="748" spans="1:4">
      <c r="A748" s="63" t="s">
        <v>566</v>
      </c>
      <c r="B748" s="35">
        <v>1984</v>
      </c>
      <c r="C748" s="56" t="s">
        <v>28</v>
      </c>
      <c r="D748" s="502"/>
    </row>
    <row r="749" spans="1:4">
      <c r="A749" s="63" t="s">
        <v>566</v>
      </c>
      <c r="B749" s="35">
        <v>2086</v>
      </c>
      <c r="C749" s="56" t="s">
        <v>28</v>
      </c>
      <c r="D749" s="502"/>
    </row>
    <row r="750" spans="1:4">
      <c r="A750" s="63" t="s">
        <v>566</v>
      </c>
      <c r="B750" s="35">
        <v>2087</v>
      </c>
      <c r="C750" s="56" t="s">
        <v>28</v>
      </c>
      <c r="D750" s="502"/>
    </row>
    <row r="751" spans="1:4">
      <c r="A751" s="63" t="s">
        <v>566</v>
      </c>
      <c r="B751" s="57">
        <v>2145</v>
      </c>
      <c r="C751" s="56" t="s">
        <v>149</v>
      </c>
      <c r="D751" s="502"/>
    </row>
    <row r="752" spans="1:4">
      <c r="A752" s="63" t="s">
        <v>566</v>
      </c>
      <c r="B752" s="57">
        <v>2146</v>
      </c>
      <c r="C752" s="56" t="s">
        <v>149</v>
      </c>
      <c r="D752" s="502"/>
    </row>
    <row r="753" spans="1:4">
      <c r="A753" s="63" t="s">
        <v>566</v>
      </c>
      <c r="B753" s="57">
        <v>2157</v>
      </c>
      <c r="C753" s="56" t="s">
        <v>149</v>
      </c>
      <c r="D753" s="502"/>
    </row>
    <row r="754" spans="1:4">
      <c r="A754" s="63" t="s">
        <v>566</v>
      </c>
      <c r="B754" s="35">
        <v>2231</v>
      </c>
      <c r="C754" s="35" t="s">
        <v>28</v>
      </c>
      <c r="D754" s="499"/>
    </row>
    <row r="755" spans="1:4">
      <c r="A755" s="63" t="s">
        <v>566</v>
      </c>
      <c r="B755" s="35">
        <v>2232</v>
      </c>
      <c r="C755" s="35" t="s">
        <v>28</v>
      </c>
      <c r="D755" s="499"/>
    </row>
    <row r="756" spans="1:4">
      <c r="A756" s="63" t="s">
        <v>566</v>
      </c>
      <c r="B756" s="35">
        <v>2233</v>
      </c>
      <c r="C756" s="35" t="s">
        <v>28</v>
      </c>
      <c r="D756" s="499"/>
    </row>
    <row r="757" spans="1:4">
      <c r="A757" s="63" t="s">
        <v>566</v>
      </c>
      <c r="B757" s="35">
        <v>2234</v>
      </c>
      <c r="C757" s="35" t="s">
        <v>28</v>
      </c>
      <c r="D757" s="499"/>
    </row>
    <row r="758" spans="1:4">
      <c r="A758" s="63" t="s">
        <v>566</v>
      </c>
      <c r="B758" s="35">
        <v>2235</v>
      </c>
      <c r="C758" s="35" t="s">
        <v>28</v>
      </c>
      <c r="D758" s="499"/>
    </row>
    <row r="759" spans="1:4">
      <c r="A759" s="63" t="s">
        <v>566</v>
      </c>
      <c r="B759" s="35">
        <v>2236</v>
      </c>
      <c r="C759" s="35" t="s">
        <v>28</v>
      </c>
      <c r="D759" s="499"/>
    </row>
    <row r="760" spans="1:4">
      <c r="A760" s="63" t="s">
        <v>566</v>
      </c>
      <c r="B760" s="35">
        <v>2533</v>
      </c>
      <c r="C760" s="35" t="s">
        <v>1382</v>
      </c>
      <c r="D760" s="499"/>
    </row>
    <row r="761" spans="1:4">
      <c r="A761" s="63" t="s">
        <v>566</v>
      </c>
      <c r="B761" s="57">
        <v>2650</v>
      </c>
      <c r="C761" s="57" t="s">
        <v>165</v>
      </c>
      <c r="D761" s="501"/>
    </row>
    <row r="762" spans="1:4">
      <c r="A762" s="63" t="s">
        <v>566</v>
      </c>
      <c r="B762" s="58">
        <v>2665</v>
      </c>
      <c r="C762" s="60" t="s">
        <v>165</v>
      </c>
      <c r="D762" s="504"/>
    </row>
    <row r="763" spans="1:4">
      <c r="A763" s="63" t="s">
        <v>566</v>
      </c>
      <c r="B763" s="57">
        <v>2680</v>
      </c>
      <c r="C763" s="57" t="s">
        <v>165</v>
      </c>
      <c r="D763" s="501"/>
    </row>
    <row r="764" spans="1:4">
      <c r="A764" s="63" t="s">
        <v>566</v>
      </c>
      <c r="B764" s="57">
        <v>2705</v>
      </c>
      <c r="C764" s="57" t="s">
        <v>149</v>
      </c>
      <c r="D764" s="501"/>
    </row>
    <row r="765" spans="1:4">
      <c r="A765" s="63" t="s">
        <v>566</v>
      </c>
      <c r="B765" s="57">
        <v>2720</v>
      </c>
      <c r="C765" s="57" t="s">
        <v>149</v>
      </c>
      <c r="D765" s="501"/>
    </row>
    <row r="766" spans="1:4">
      <c r="A766" s="63" t="s">
        <v>566</v>
      </c>
      <c r="B766" s="35">
        <v>2735</v>
      </c>
      <c r="C766" s="56" t="s">
        <v>149</v>
      </c>
      <c r="D766" s="502"/>
    </row>
    <row r="767" spans="1:4">
      <c r="A767" s="63" t="s">
        <v>566</v>
      </c>
      <c r="B767" s="57">
        <v>2750</v>
      </c>
      <c r="C767" s="57" t="s">
        <v>149</v>
      </c>
      <c r="D767" s="501"/>
    </row>
    <row r="768" spans="1:4">
      <c r="A768" s="63" t="s">
        <v>566</v>
      </c>
      <c r="B768" s="57">
        <v>2765</v>
      </c>
      <c r="C768" s="57" t="s">
        <v>149</v>
      </c>
      <c r="D768" s="501"/>
    </row>
    <row r="769" spans="1:4">
      <c r="A769" s="63" t="s">
        <v>566</v>
      </c>
      <c r="B769" s="57">
        <v>2780</v>
      </c>
      <c r="C769" s="57" t="s">
        <v>165</v>
      </c>
      <c r="D769" s="501"/>
    </row>
    <row r="770" spans="1:4">
      <c r="A770" s="63" t="s">
        <v>566</v>
      </c>
      <c r="B770" s="35">
        <v>2808</v>
      </c>
      <c r="C770" s="56" t="s">
        <v>28</v>
      </c>
      <c r="D770" s="502"/>
    </row>
    <row r="771" spans="1:4">
      <c r="A771" s="63" t="s">
        <v>566</v>
      </c>
      <c r="B771" s="35">
        <v>2814</v>
      </c>
      <c r="C771" s="56" t="s">
        <v>28</v>
      </c>
      <c r="D771" s="502"/>
    </row>
    <row r="772" spans="1:4">
      <c r="A772" s="63" t="s">
        <v>566</v>
      </c>
      <c r="B772" s="58">
        <v>2815</v>
      </c>
      <c r="C772" s="60" t="s">
        <v>28</v>
      </c>
      <c r="D772" s="504"/>
    </row>
    <row r="773" spans="1:4">
      <c r="A773" s="63" t="s">
        <v>566</v>
      </c>
      <c r="B773" s="35">
        <v>2885</v>
      </c>
      <c r="C773" s="56" t="s">
        <v>28</v>
      </c>
      <c r="D773" s="502"/>
    </row>
    <row r="774" spans="1:4">
      <c r="A774" s="63" t="s">
        <v>566</v>
      </c>
      <c r="B774" s="58">
        <v>3122</v>
      </c>
      <c r="C774" s="59" t="s">
        <v>27</v>
      </c>
      <c r="D774" s="503"/>
    </row>
    <row r="775" spans="1:4">
      <c r="A775" s="63" t="s">
        <v>566</v>
      </c>
      <c r="B775" s="35">
        <v>3123</v>
      </c>
      <c r="C775" s="56" t="s">
        <v>27</v>
      </c>
      <c r="D775" s="502"/>
    </row>
    <row r="776" spans="1:4">
      <c r="A776" s="63" t="s">
        <v>566</v>
      </c>
      <c r="B776" s="35">
        <v>3124</v>
      </c>
      <c r="C776" s="56" t="s">
        <v>27</v>
      </c>
      <c r="D776" s="502"/>
    </row>
    <row r="777" spans="1:4">
      <c r="A777" s="63" t="s">
        <v>566</v>
      </c>
      <c r="B777" s="35">
        <v>3126</v>
      </c>
      <c r="C777" s="56" t="s">
        <v>27</v>
      </c>
      <c r="D777" s="502"/>
    </row>
    <row r="778" spans="1:4">
      <c r="A778" s="63" t="s">
        <v>566</v>
      </c>
      <c r="B778" s="57">
        <v>3128</v>
      </c>
      <c r="C778" s="57" t="s">
        <v>149</v>
      </c>
      <c r="D778" s="501"/>
    </row>
    <row r="779" spans="1:4">
      <c r="A779" s="63" t="s">
        <v>566</v>
      </c>
      <c r="B779" s="35">
        <v>3129</v>
      </c>
      <c r="C779" s="56" t="s">
        <v>27</v>
      </c>
      <c r="D779" s="502"/>
    </row>
    <row r="780" spans="1:4">
      <c r="A780" s="63" t="s">
        <v>566</v>
      </c>
      <c r="B780" s="57">
        <v>3131</v>
      </c>
      <c r="C780" s="57" t="s">
        <v>149</v>
      </c>
      <c r="D780" s="501"/>
    </row>
    <row r="781" spans="1:4">
      <c r="A781" s="63" t="s">
        <v>566</v>
      </c>
      <c r="B781" s="57">
        <v>3132</v>
      </c>
      <c r="C781" s="57" t="s">
        <v>149</v>
      </c>
      <c r="D781" s="501"/>
    </row>
    <row r="782" spans="1:4">
      <c r="A782" s="63" t="s">
        <v>566</v>
      </c>
      <c r="B782" s="57">
        <v>3143</v>
      </c>
      <c r="C782" s="57" t="s">
        <v>149</v>
      </c>
      <c r="D782" s="501"/>
    </row>
    <row r="783" spans="1:4">
      <c r="A783" s="63" t="s">
        <v>566</v>
      </c>
      <c r="B783" s="35">
        <v>3161</v>
      </c>
      <c r="C783" s="35" t="s">
        <v>28</v>
      </c>
      <c r="D783" s="499"/>
    </row>
    <row r="784" spans="1:4">
      <c r="A784" s="63" t="s">
        <v>566</v>
      </c>
      <c r="B784" s="57">
        <v>3165</v>
      </c>
      <c r="C784" s="57" t="s">
        <v>149</v>
      </c>
      <c r="D784" s="501"/>
    </row>
    <row r="785" spans="1:4">
      <c r="A785" s="63" t="s">
        <v>566</v>
      </c>
      <c r="B785" s="57">
        <v>3166</v>
      </c>
      <c r="C785" s="57" t="s">
        <v>28</v>
      </c>
      <c r="D785" s="501"/>
    </row>
    <row r="786" spans="1:4">
      <c r="A786" s="63" t="s">
        <v>566</v>
      </c>
      <c r="B786" s="57">
        <v>3187</v>
      </c>
      <c r="C786" s="57" t="s">
        <v>1422</v>
      </c>
      <c r="D786" s="501"/>
    </row>
    <row r="787" spans="1:4">
      <c r="A787" s="63" t="s">
        <v>566</v>
      </c>
      <c r="B787" s="57">
        <v>3189</v>
      </c>
      <c r="C787" s="57" t="s">
        <v>149</v>
      </c>
      <c r="D787" s="501"/>
    </row>
    <row r="788" spans="1:4">
      <c r="A788" s="63" t="s">
        <v>566</v>
      </c>
      <c r="B788" s="57">
        <v>3195</v>
      </c>
      <c r="C788" s="57" t="s">
        <v>149</v>
      </c>
      <c r="D788" s="501"/>
    </row>
    <row r="789" spans="1:4">
      <c r="A789" s="63" t="s">
        <v>566</v>
      </c>
      <c r="B789" s="57">
        <v>3294</v>
      </c>
      <c r="C789" s="57" t="s">
        <v>149</v>
      </c>
      <c r="D789" s="501"/>
    </row>
    <row r="790" spans="1:4">
      <c r="A790" s="63" t="s">
        <v>566</v>
      </c>
      <c r="B790" s="57">
        <v>3264</v>
      </c>
      <c r="C790" s="57" t="s">
        <v>1383</v>
      </c>
      <c r="D790" s="501"/>
    </row>
    <row r="791" spans="1:4">
      <c r="A791" s="63" t="s">
        <v>566</v>
      </c>
      <c r="B791" s="57">
        <v>3280</v>
      </c>
      <c r="C791" s="57" t="s">
        <v>149</v>
      </c>
      <c r="D791" s="501"/>
    </row>
    <row r="792" spans="1:4">
      <c r="A792" s="63" t="s">
        <v>566</v>
      </c>
      <c r="B792" s="35">
        <v>3320</v>
      </c>
      <c r="C792" s="35" t="s">
        <v>149</v>
      </c>
      <c r="D792" s="499"/>
    </row>
    <row r="793" spans="1:4">
      <c r="A793" s="63" t="s">
        <v>566</v>
      </c>
      <c r="B793" s="57">
        <v>3330</v>
      </c>
      <c r="C793" s="57" t="s">
        <v>149</v>
      </c>
      <c r="D793" s="501"/>
    </row>
    <row r="794" spans="1:4">
      <c r="A794" s="63" t="s">
        <v>566</v>
      </c>
      <c r="B794" s="57">
        <v>3340</v>
      </c>
      <c r="C794" s="57" t="s">
        <v>149</v>
      </c>
      <c r="D794" s="501"/>
    </row>
    <row r="795" spans="1:4">
      <c r="A795" s="63" t="s">
        <v>566</v>
      </c>
      <c r="B795" s="57">
        <v>3350</v>
      </c>
      <c r="C795" s="57" t="s">
        <v>149</v>
      </c>
      <c r="D795" s="501"/>
    </row>
    <row r="796" spans="1:4">
      <c r="A796" s="63" t="s">
        <v>566</v>
      </c>
      <c r="B796" s="57">
        <v>3380</v>
      </c>
      <c r="C796" s="57" t="s">
        <v>28</v>
      </c>
      <c r="D796" s="501"/>
    </row>
    <row r="797" spans="1:4">
      <c r="A797" s="63" t="s">
        <v>566</v>
      </c>
      <c r="B797" s="57">
        <v>3400</v>
      </c>
      <c r="C797" s="57" t="s">
        <v>28</v>
      </c>
      <c r="D797" s="501"/>
    </row>
    <row r="798" spans="1:4">
      <c r="A798" s="63" t="s">
        <v>566</v>
      </c>
      <c r="B798" s="35">
        <v>3401</v>
      </c>
      <c r="C798" s="35" t="s">
        <v>58</v>
      </c>
      <c r="D798" s="499"/>
    </row>
    <row r="799" spans="1:4">
      <c r="A799" s="63" t="s">
        <v>566</v>
      </c>
      <c r="B799" s="58">
        <v>3405</v>
      </c>
      <c r="C799" s="60" t="s">
        <v>28</v>
      </c>
      <c r="D799" s="504"/>
    </row>
    <row r="800" spans="1:4">
      <c r="A800" s="63" t="s">
        <v>566</v>
      </c>
      <c r="B800" s="35">
        <v>3406</v>
      </c>
      <c r="C800" s="35" t="s">
        <v>28</v>
      </c>
      <c r="D800" s="499"/>
    </row>
    <row r="801" spans="1:4">
      <c r="A801" s="63" t="s">
        <v>566</v>
      </c>
      <c r="B801" s="35">
        <v>3407</v>
      </c>
      <c r="C801" s="35" t="s">
        <v>58</v>
      </c>
      <c r="D801" s="499"/>
    </row>
    <row r="802" spans="1:4">
      <c r="A802" s="63" t="s">
        <v>566</v>
      </c>
      <c r="B802" s="35">
        <v>3430</v>
      </c>
      <c r="C802" s="35" t="s">
        <v>1823</v>
      </c>
      <c r="D802" s="499"/>
    </row>
    <row r="803" spans="1:4">
      <c r="A803" s="63" t="s">
        <v>566</v>
      </c>
      <c r="B803" s="35">
        <v>3460</v>
      </c>
      <c r="C803" s="35" t="s">
        <v>58</v>
      </c>
      <c r="D803" s="499"/>
    </row>
    <row r="804" spans="1:4">
      <c r="A804" s="63" t="s">
        <v>566</v>
      </c>
      <c r="B804" s="35">
        <v>3549</v>
      </c>
      <c r="C804" s="35" t="s">
        <v>165</v>
      </c>
      <c r="D804" s="499"/>
    </row>
    <row r="805" spans="1:4">
      <c r="A805" s="63" t="s">
        <v>566</v>
      </c>
      <c r="B805" s="57">
        <v>3591</v>
      </c>
      <c r="C805" s="57" t="s">
        <v>27</v>
      </c>
      <c r="D805" s="501"/>
    </row>
    <row r="806" spans="1:4">
      <c r="A806" s="63" t="s">
        <v>566</v>
      </c>
      <c r="B806" s="58">
        <v>3592</v>
      </c>
      <c r="C806" s="60" t="s">
        <v>27</v>
      </c>
      <c r="D806" s="504"/>
    </row>
    <row r="807" spans="1:4">
      <c r="A807" s="63" t="s">
        <v>566</v>
      </c>
      <c r="B807" s="58">
        <v>3594</v>
      </c>
      <c r="C807" s="60" t="s">
        <v>1397</v>
      </c>
      <c r="D807" s="504"/>
    </row>
    <row r="808" spans="1:4">
      <c r="A808" s="63" t="s">
        <v>566</v>
      </c>
      <c r="B808" s="58">
        <v>3595</v>
      </c>
      <c r="C808" s="60" t="s">
        <v>1404</v>
      </c>
      <c r="D808" s="504"/>
    </row>
    <row r="809" spans="1:4">
      <c r="A809" s="63" t="s">
        <v>566</v>
      </c>
      <c r="B809" s="57">
        <v>3650</v>
      </c>
      <c r="C809" s="57" t="s">
        <v>165</v>
      </c>
      <c r="D809" s="501"/>
    </row>
    <row r="810" spans="1:4">
      <c r="A810" s="63" t="s">
        <v>566</v>
      </c>
      <c r="B810" s="57">
        <v>3690</v>
      </c>
      <c r="C810" s="57" t="s">
        <v>149</v>
      </c>
      <c r="D810" s="501"/>
    </row>
    <row r="811" spans="1:4">
      <c r="A811" s="63" t="s">
        <v>566</v>
      </c>
      <c r="B811" s="58">
        <v>3730</v>
      </c>
      <c r="C811" s="57" t="s">
        <v>149</v>
      </c>
      <c r="D811" s="501"/>
    </row>
    <row r="812" spans="1:4">
      <c r="A812" s="63" t="s">
        <v>566</v>
      </c>
      <c r="B812" s="57">
        <v>3780</v>
      </c>
      <c r="C812" s="56" t="s">
        <v>149</v>
      </c>
      <c r="D812" s="502"/>
    </row>
    <row r="813" spans="1:4">
      <c r="A813" s="63" t="s">
        <v>566</v>
      </c>
      <c r="B813" s="35">
        <v>3788</v>
      </c>
      <c r="C813" s="56" t="s">
        <v>27</v>
      </c>
      <c r="D813" s="502"/>
    </row>
    <row r="814" spans="1:4">
      <c r="A814" s="63" t="s">
        <v>566</v>
      </c>
      <c r="B814" s="35">
        <v>3810</v>
      </c>
      <c r="C814" s="35" t="s">
        <v>149</v>
      </c>
      <c r="D814" s="499"/>
    </row>
    <row r="815" spans="1:4">
      <c r="A815" s="63" t="s">
        <v>566</v>
      </c>
      <c r="B815" s="35">
        <v>3850</v>
      </c>
      <c r="C815" s="35" t="s">
        <v>28</v>
      </c>
      <c r="D815" s="499"/>
    </row>
    <row r="816" spans="1:4">
      <c r="A816" s="63" t="s">
        <v>566</v>
      </c>
      <c r="B816" s="57">
        <v>3870</v>
      </c>
      <c r="C816" s="57" t="s">
        <v>175</v>
      </c>
      <c r="D816" s="501"/>
    </row>
    <row r="817" spans="1:4">
      <c r="A817" s="63" t="s">
        <v>566</v>
      </c>
      <c r="B817" s="58">
        <v>3899</v>
      </c>
      <c r="C817" s="59" t="s">
        <v>28</v>
      </c>
      <c r="D817" s="503"/>
    </row>
    <row r="818" spans="1:4">
      <c r="A818" s="63" t="s">
        <v>566</v>
      </c>
      <c r="B818" s="57">
        <v>3916</v>
      </c>
      <c r="C818" s="57" t="s">
        <v>28</v>
      </c>
      <c r="D818" s="501"/>
    </row>
    <row r="819" spans="1:4">
      <c r="A819" s="63" t="s">
        <v>566</v>
      </c>
      <c r="B819" s="35">
        <v>3917</v>
      </c>
      <c r="C819" s="56" t="s">
        <v>28</v>
      </c>
      <c r="D819" s="502"/>
    </row>
    <row r="820" spans="1:4">
      <c r="A820" s="63" t="s">
        <v>566</v>
      </c>
      <c r="B820" s="35">
        <v>3927</v>
      </c>
      <c r="C820" s="56" t="s">
        <v>28</v>
      </c>
      <c r="D820" s="502"/>
    </row>
    <row r="821" spans="1:4">
      <c r="A821" s="63" t="s">
        <v>566</v>
      </c>
      <c r="B821" s="35">
        <v>3928</v>
      </c>
      <c r="C821" s="56" t="s">
        <v>28</v>
      </c>
      <c r="D821" s="502"/>
    </row>
    <row r="822" spans="1:4">
      <c r="A822" s="63" t="s">
        <v>566</v>
      </c>
      <c r="B822" s="57">
        <v>3929</v>
      </c>
      <c r="C822" s="57" t="s">
        <v>28</v>
      </c>
      <c r="D822" s="501"/>
    </row>
    <row r="823" spans="1:4">
      <c r="A823" s="63" t="s">
        <v>566</v>
      </c>
      <c r="B823" s="35">
        <v>3981</v>
      </c>
      <c r="C823" s="56" t="s">
        <v>28</v>
      </c>
      <c r="D823" s="502"/>
    </row>
    <row r="824" spans="1:4">
      <c r="A824" s="63" t="s">
        <v>566</v>
      </c>
      <c r="B824" s="35">
        <v>3982</v>
      </c>
      <c r="C824" s="56" t="s">
        <v>149</v>
      </c>
      <c r="D824" s="502"/>
    </row>
    <row r="825" spans="1:4">
      <c r="A825" s="63" t="s">
        <v>566</v>
      </c>
      <c r="B825" s="35">
        <v>3983</v>
      </c>
      <c r="C825" s="56" t="s">
        <v>149</v>
      </c>
      <c r="D825" s="502"/>
    </row>
    <row r="826" spans="1:4">
      <c r="A826" s="63" t="s">
        <v>566</v>
      </c>
      <c r="B826" s="35">
        <v>3984</v>
      </c>
      <c r="C826" s="56" t="s">
        <v>149</v>
      </c>
      <c r="D826" s="502"/>
    </row>
    <row r="827" spans="1:4">
      <c r="A827" s="63" t="s">
        <v>566</v>
      </c>
      <c r="B827" s="57">
        <v>4402</v>
      </c>
      <c r="C827" s="35" t="s">
        <v>29</v>
      </c>
      <c r="D827" s="499"/>
    </row>
    <row r="828" spans="1:4">
      <c r="A828" s="63" t="s">
        <v>566</v>
      </c>
      <c r="B828" s="35">
        <v>4487</v>
      </c>
      <c r="C828" s="35" t="s">
        <v>29</v>
      </c>
      <c r="D828" s="499"/>
    </row>
    <row r="829" spans="1:4">
      <c r="A829" s="63" t="s">
        <v>566</v>
      </c>
      <c r="B829" s="57">
        <v>4787</v>
      </c>
      <c r="C829" s="35" t="s">
        <v>29</v>
      </c>
      <c r="D829" s="499"/>
    </row>
    <row r="830" spans="1:4">
      <c r="A830" s="63" t="s">
        <v>566</v>
      </c>
      <c r="B830" s="57">
        <v>4800</v>
      </c>
      <c r="C830" s="57" t="s">
        <v>149</v>
      </c>
      <c r="D830" s="501"/>
    </row>
    <row r="831" spans="1:4">
      <c r="A831" s="63" t="s">
        <v>566</v>
      </c>
      <c r="B831" s="57">
        <v>4810</v>
      </c>
      <c r="C831" s="57" t="s">
        <v>149</v>
      </c>
      <c r="D831" s="501"/>
    </row>
    <row r="832" spans="1:4">
      <c r="A832" s="63" t="s">
        <v>566</v>
      </c>
      <c r="B832" s="35">
        <v>4820</v>
      </c>
      <c r="C832" s="35" t="s">
        <v>149</v>
      </c>
      <c r="D832" s="499"/>
    </row>
    <row r="833" spans="1:4">
      <c r="A833" s="63" t="s">
        <v>566</v>
      </c>
      <c r="B833" s="58">
        <v>4850</v>
      </c>
      <c r="C833" s="60" t="s">
        <v>175</v>
      </c>
      <c r="D833" s="504"/>
    </row>
    <row r="834" spans="1:4">
      <c r="A834" s="63" t="s">
        <v>566</v>
      </c>
      <c r="B834" s="58">
        <v>4869</v>
      </c>
      <c r="C834" s="60" t="s">
        <v>28</v>
      </c>
      <c r="D834" s="504"/>
    </row>
    <row r="835" spans="1:4">
      <c r="A835" s="63" t="s">
        <v>566</v>
      </c>
      <c r="B835" s="58">
        <v>4870</v>
      </c>
      <c r="C835" s="60" t="s">
        <v>28</v>
      </c>
      <c r="D835" s="504"/>
    </row>
    <row r="836" spans="1:4">
      <c r="A836" s="63" t="s">
        <v>566</v>
      </c>
      <c r="B836" s="57">
        <v>5110</v>
      </c>
      <c r="C836" s="57" t="s">
        <v>28</v>
      </c>
      <c r="D836" s="501"/>
    </row>
    <row r="837" spans="1:4">
      <c r="A837" s="63" t="s">
        <v>566</v>
      </c>
      <c r="B837" s="57">
        <v>6025</v>
      </c>
      <c r="C837" s="57" t="s">
        <v>58</v>
      </c>
      <c r="D837" s="501"/>
    </row>
    <row r="838" spans="1:4">
      <c r="A838" s="63" t="s">
        <v>566</v>
      </c>
      <c r="B838" s="57">
        <v>5390</v>
      </c>
      <c r="C838" s="57" t="s">
        <v>1358</v>
      </c>
      <c r="D838" s="501"/>
    </row>
    <row r="839" spans="1:4">
      <c r="A839" s="63" t="s">
        <v>566</v>
      </c>
      <c r="B839" s="57">
        <v>5424</v>
      </c>
      <c r="C839" s="57" t="s">
        <v>149</v>
      </c>
      <c r="D839" s="501"/>
    </row>
    <row r="840" spans="1:4">
      <c r="A840" s="63" t="s">
        <v>566</v>
      </c>
      <c r="B840" s="35">
        <v>6324</v>
      </c>
      <c r="C840" s="57" t="s">
        <v>149</v>
      </c>
      <c r="D840" s="501"/>
    </row>
    <row r="841" spans="1:4">
      <c r="A841" s="63" t="s">
        <v>566</v>
      </c>
      <c r="B841" s="35">
        <v>6355</v>
      </c>
      <c r="C841" s="56" t="s">
        <v>28</v>
      </c>
      <c r="D841" s="502"/>
    </row>
    <row r="842" spans="1:4">
      <c r="A842" s="63" t="s">
        <v>566</v>
      </c>
      <c r="B842" s="35">
        <v>6356</v>
      </c>
      <c r="C842" s="56" t="s">
        <v>28</v>
      </c>
      <c r="D842" s="502"/>
    </row>
    <row r="843" spans="1:4">
      <c r="A843" s="63" t="s">
        <v>566</v>
      </c>
      <c r="B843" s="35">
        <v>6389</v>
      </c>
      <c r="C843" s="56" t="s">
        <v>149</v>
      </c>
      <c r="D843" s="502"/>
    </row>
    <row r="844" spans="1:4">
      <c r="A844" s="63" t="s">
        <v>566</v>
      </c>
      <c r="B844" s="35">
        <v>6390</v>
      </c>
      <c r="C844" s="56" t="s">
        <v>149</v>
      </c>
      <c r="D844" s="502"/>
    </row>
    <row r="845" spans="1:4">
      <c r="A845" s="63" t="s">
        <v>566</v>
      </c>
      <c r="B845" s="35">
        <v>7010</v>
      </c>
      <c r="C845" s="35" t="s">
        <v>27</v>
      </c>
      <c r="D845" s="499"/>
    </row>
    <row r="846" spans="1:4">
      <c r="A846" s="63" t="s">
        <v>566</v>
      </c>
      <c r="B846" s="35">
        <v>7064</v>
      </c>
      <c r="C846" s="56" t="s">
        <v>27</v>
      </c>
      <c r="D846" s="502"/>
    </row>
    <row r="847" spans="1:4">
      <c r="A847" s="63" t="s">
        <v>566</v>
      </c>
      <c r="B847" s="58">
        <v>7066</v>
      </c>
      <c r="C847" s="461" t="s">
        <v>29</v>
      </c>
      <c r="D847" s="504"/>
    </row>
    <row r="848" spans="1:4">
      <c r="A848" s="63" t="s">
        <v>566</v>
      </c>
      <c r="B848" s="58">
        <v>7067</v>
      </c>
      <c r="C848" s="461" t="s">
        <v>165</v>
      </c>
      <c r="D848" s="505"/>
    </row>
    <row r="849" spans="1:4">
      <c r="A849" s="63" t="s">
        <v>566</v>
      </c>
      <c r="B849" s="57">
        <v>7707</v>
      </c>
      <c r="C849" s="57" t="s">
        <v>27</v>
      </c>
      <c r="D849" s="501"/>
    </row>
    <row r="850" spans="1:4">
      <c r="A850" s="63" t="s">
        <v>566</v>
      </c>
      <c r="B850" s="58">
        <v>7708</v>
      </c>
      <c r="C850" s="461" t="s">
        <v>165</v>
      </c>
      <c r="D850" s="505"/>
    </row>
    <row r="851" spans="1:4">
      <c r="A851" s="63" t="s">
        <v>566</v>
      </c>
      <c r="B851" s="58">
        <v>7713</v>
      </c>
      <c r="C851" s="60" t="s">
        <v>27</v>
      </c>
      <c r="D851" s="504"/>
    </row>
    <row r="852" spans="1:4">
      <c r="A852" s="63" t="s">
        <v>566</v>
      </c>
      <c r="B852" s="57">
        <v>8020</v>
      </c>
      <c r="C852" s="57" t="s">
        <v>28</v>
      </c>
      <c r="D852" s="501"/>
    </row>
    <row r="853" spans="1:4">
      <c r="A853" s="63" t="s">
        <v>566</v>
      </c>
      <c r="B853" s="57">
        <v>8021</v>
      </c>
      <c r="C853" s="57" t="s">
        <v>28</v>
      </c>
      <c r="D853" s="501"/>
    </row>
    <row r="854" spans="1:4">
      <c r="A854" s="63" t="s">
        <v>566</v>
      </c>
      <c r="B854" s="57">
        <v>8022</v>
      </c>
      <c r="C854" s="57" t="s">
        <v>28</v>
      </c>
      <c r="D854" s="501"/>
    </row>
    <row r="855" spans="1:4">
      <c r="A855" s="63" t="s">
        <v>566</v>
      </c>
      <c r="B855" s="35">
        <v>8143</v>
      </c>
      <c r="C855" s="56" t="s">
        <v>165</v>
      </c>
      <c r="D855" s="502"/>
    </row>
    <row r="856" spans="1:4">
      <c r="A856" s="63" t="s">
        <v>566</v>
      </c>
      <c r="B856" s="57">
        <v>8149</v>
      </c>
      <c r="C856" s="57" t="s">
        <v>29</v>
      </c>
      <c r="D856" s="501"/>
    </row>
    <row r="857" spans="1:4">
      <c r="A857" s="63" t="s">
        <v>566</v>
      </c>
      <c r="B857" s="57">
        <v>8290</v>
      </c>
      <c r="C857" s="57" t="s">
        <v>28</v>
      </c>
      <c r="D857" s="501"/>
    </row>
    <row r="858" spans="1:4">
      <c r="A858" s="63" t="s">
        <v>566</v>
      </c>
      <c r="B858" s="58">
        <v>8310</v>
      </c>
      <c r="C858" s="60" t="s">
        <v>28</v>
      </c>
      <c r="D858" s="504"/>
    </row>
    <row r="859" spans="1:4">
      <c r="A859" s="63" t="s">
        <v>566</v>
      </c>
      <c r="B859" s="58">
        <v>8325</v>
      </c>
      <c r="C859" s="60" t="s">
        <v>28</v>
      </c>
      <c r="D859" s="504"/>
    </row>
    <row r="860" spans="1:4">
      <c r="A860" s="63" t="s">
        <v>566</v>
      </c>
      <c r="B860" s="58">
        <v>8340</v>
      </c>
      <c r="C860" s="60" t="s">
        <v>28</v>
      </c>
      <c r="D860" s="504"/>
    </row>
    <row r="861" spans="1:4">
      <c r="A861" s="63" t="s">
        <v>566</v>
      </c>
      <c r="B861" s="58">
        <v>8355</v>
      </c>
      <c r="C861" s="60" t="s">
        <v>28</v>
      </c>
      <c r="D861" s="504"/>
    </row>
    <row r="862" spans="1:4">
      <c r="A862" s="63" t="s">
        <v>566</v>
      </c>
      <c r="B862" s="58">
        <v>8370</v>
      </c>
      <c r="C862" s="60" t="s">
        <v>28</v>
      </c>
      <c r="D862" s="504"/>
    </row>
    <row r="863" spans="1:4">
      <c r="A863" s="63" t="s">
        <v>566</v>
      </c>
      <c r="B863" s="58">
        <v>8391</v>
      </c>
      <c r="C863" s="60" t="s">
        <v>1824</v>
      </c>
      <c r="D863" s="504"/>
    </row>
    <row r="864" spans="1:4">
      <c r="A864" s="63" t="s">
        <v>566</v>
      </c>
      <c r="B864" s="35">
        <v>8400</v>
      </c>
      <c r="C864" s="56" t="s">
        <v>28</v>
      </c>
      <c r="D864" s="502"/>
    </row>
    <row r="865" spans="1:4">
      <c r="A865" s="63" t="s">
        <v>566</v>
      </c>
      <c r="B865" s="35">
        <v>8450</v>
      </c>
      <c r="C865" s="56" t="s">
        <v>1371</v>
      </c>
      <c r="D865" s="502"/>
    </row>
    <row r="866" spans="1:4">
      <c r="A866" s="63" t="s">
        <v>566</v>
      </c>
      <c r="B866" s="35">
        <v>8451</v>
      </c>
      <c r="C866" s="56" t="s">
        <v>149</v>
      </c>
      <c r="D866" s="502"/>
    </row>
    <row r="867" spans="1:4">
      <c r="A867" s="63" t="s">
        <v>566</v>
      </c>
      <c r="B867" s="35">
        <v>8452</v>
      </c>
      <c r="C867" s="56" t="s">
        <v>149</v>
      </c>
      <c r="D867" s="502"/>
    </row>
    <row r="868" spans="1:4">
      <c r="A868" s="63" t="s">
        <v>566</v>
      </c>
      <c r="B868" s="57">
        <v>8526</v>
      </c>
      <c r="C868" s="57" t="s">
        <v>28</v>
      </c>
      <c r="D868" s="501"/>
    </row>
    <row r="869" spans="1:4">
      <c r="A869" s="63" t="s">
        <v>566</v>
      </c>
      <c r="B869" s="58">
        <v>8676</v>
      </c>
      <c r="C869" s="60" t="s">
        <v>27</v>
      </c>
      <c r="D869" s="504"/>
    </row>
    <row r="870" spans="1:4">
      <c r="A870" s="63" t="s">
        <v>566</v>
      </c>
      <c r="B870" s="58">
        <v>8678</v>
      </c>
      <c r="C870" s="60" t="s">
        <v>27</v>
      </c>
      <c r="D870" s="504"/>
    </row>
    <row r="871" spans="1:4">
      <c r="A871" s="66" t="s">
        <v>566</v>
      </c>
      <c r="B871" s="67">
        <v>8713</v>
      </c>
      <c r="C871" s="60" t="s">
        <v>28</v>
      </c>
      <c r="D871" s="501"/>
    </row>
    <row r="872" spans="1:4">
      <c r="A872" s="63" t="s">
        <v>566</v>
      </c>
      <c r="B872" s="57">
        <v>8714</v>
      </c>
      <c r="C872" s="60" t="s">
        <v>28</v>
      </c>
      <c r="D872" s="501"/>
    </row>
    <row r="873" spans="1:4">
      <c r="A873" s="63" t="s">
        <v>566</v>
      </c>
      <c r="B873" s="58">
        <v>8717</v>
      </c>
      <c r="C873" s="60" t="s">
        <v>28</v>
      </c>
      <c r="D873" s="504"/>
    </row>
    <row r="874" spans="1:4">
      <c r="A874" s="63" t="s">
        <v>566</v>
      </c>
      <c r="B874" s="58">
        <v>8718</v>
      </c>
      <c r="C874" s="60" t="s">
        <v>28</v>
      </c>
      <c r="D874" s="504"/>
    </row>
    <row r="875" spans="1:4">
      <c r="A875" s="63" t="s">
        <v>566</v>
      </c>
      <c r="B875" s="58">
        <v>8719</v>
      </c>
      <c r="C875" s="59" t="s">
        <v>28</v>
      </c>
      <c r="D875" s="503"/>
    </row>
    <row r="876" spans="1:4">
      <c r="A876" s="63" t="s">
        <v>566</v>
      </c>
      <c r="B876" s="58">
        <v>8760</v>
      </c>
      <c r="C876" s="60" t="s">
        <v>28</v>
      </c>
      <c r="D876" s="504"/>
    </row>
    <row r="877" spans="1:4">
      <c r="A877" s="63" t="s">
        <v>566</v>
      </c>
      <c r="B877" s="58">
        <v>8761</v>
      </c>
      <c r="C877" s="60" t="s">
        <v>1357</v>
      </c>
      <c r="D877" s="504"/>
    </row>
    <row r="878" spans="1:4">
      <c r="A878" s="63" t="s">
        <v>566</v>
      </c>
      <c r="B878" s="58">
        <v>8918</v>
      </c>
      <c r="C878" s="60" t="s">
        <v>1498</v>
      </c>
      <c r="D878" s="504"/>
    </row>
    <row r="879" spans="1:4">
      <c r="A879" s="63" t="s">
        <v>566</v>
      </c>
      <c r="B879" s="35">
        <v>8950</v>
      </c>
      <c r="C879" s="35" t="s">
        <v>165</v>
      </c>
      <c r="D879" s="499"/>
    </row>
    <row r="880" spans="1:4">
      <c r="A880" s="63" t="s">
        <v>566</v>
      </c>
      <c r="B880" s="35">
        <v>8951</v>
      </c>
      <c r="C880" s="35" t="s">
        <v>165</v>
      </c>
      <c r="D880" s="499"/>
    </row>
    <row r="881" spans="1:4">
      <c r="A881" s="63" t="s">
        <v>566</v>
      </c>
      <c r="B881" s="35">
        <v>8952</v>
      </c>
      <c r="C881" s="35" t="s">
        <v>165</v>
      </c>
      <c r="D881" s="499"/>
    </row>
    <row r="882" spans="1:4">
      <c r="A882" s="63" t="s">
        <v>566</v>
      </c>
      <c r="B882" s="58">
        <v>8984</v>
      </c>
      <c r="C882" s="59" t="s">
        <v>28</v>
      </c>
      <c r="D882" s="503"/>
    </row>
    <row r="883" spans="1:4">
      <c r="A883" s="63" t="s">
        <v>566</v>
      </c>
      <c r="B883" s="57">
        <v>9874</v>
      </c>
      <c r="C883" s="57" t="s">
        <v>28</v>
      </c>
      <c r="D883" s="501"/>
    </row>
    <row r="884" spans="1:4">
      <c r="A884" s="63" t="s">
        <v>566</v>
      </c>
      <c r="B884" s="35">
        <v>9878</v>
      </c>
      <c r="C884" s="35" t="s">
        <v>28</v>
      </c>
      <c r="D884" s="499"/>
    </row>
    <row r="885" spans="1:4">
      <c r="A885" s="63" t="s">
        <v>566</v>
      </c>
      <c r="B885" s="57">
        <v>9879</v>
      </c>
      <c r="C885" s="57" t="s">
        <v>28</v>
      </c>
      <c r="D885" s="501"/>
    </row>
    <row r="886" spans="1:4">
      <c r="A886" s="63" t="s">
        <v>566</v>
      </c>
      <c r="B886" s="58">
        <v>9880</v>
      </c>
      <c r="C886" s="59" t="s">
        <v>27</v>
      </c>
      <c r="D886" s="503"/>
    </row>
    <row r="887" spans="1:4">
      <c r="A887" s="63" t="s">
        <v>566</v>
      </c>
      <c r="B887" s="35">
        <v>9925</v>
      </c>
      <c r="C887" s="35" t="s">
        <v>29</v>
      </c>
      <c r="D887" s="499"/>
    </row>
    <row r="888" spans="1:4">
      <c r="A888" s="63" t="s">
        <v>566</v>
      </c>
      <c r="B888" s="35">
        <v>9928</v>
      </c>
      <c r="C888" s="35" t="s">
        <v>1491</v>
      </c>
      <c r="D888" s="499"/>
    </row>
    <row r="889" spans="1:4">
      <c r="A889" s="63" t="s">
        <v>566</v>
      </c>
      <c r="B889" s="35">
        <v>280168</v>
      </c>
      <c r="C889" s="56" t="s">
        <v>149</v>
      </c>
      <c r="D889" s="502"/>
    </row>
    <row r="890" spans="1:4">
      <c r="A890" s="63" t="s">
        <v>566</v>
      </c>
      <c r="B890" s="35">
        <v>7716</v>
      </c>
      <c r="C890" s="1087" t="s">
        <v>29</v>
      </c>
      <c r="D890" s="502"/>
    </row>
    <row r="891" spans="1:4">
      <c r="A891" s="63" t="s">
        <v>566</v>
      </c>
      <c r="B891" s="35">
        <v>3288</v>
      </c>
      <c r="C891" s="35" t="s">
        <v>28</v>
      </c>
      <c r="D891" s="502"/>
    </row>
    <row r="892" spans="1:4">
      <c r="A892" s="63" t="s">
        <v>566</v>
      </c>
      <c r="B892" s="35">
        <v>3289</v>
      </c>
      <c r="C892" s="35" t="s">
        <v>28</v>
      </c>
      <c r="D892" s="502"/>
    </row>
    <row r="893" spans="1:4">
      <c r="A893" s="63" t="s">
        <v>565</v>
      </c>
      <c r="B893" s="35">
        <v>57188</v>
      </c>
      <c r="C893" s="35" t="s">
        <v>58</v>
      </c>
      <c r="D893" s="499"/>
    </row>
    <row r="894" spans="1:4">
      <c r="A894" s="63" t="s">
        <v>565</v>
      </c>
      <c r="B894" s="35">
        <v>58337</v>
      </c>
      <c r="C894" s="35" t="s">
        <v>58</v>
      </c>
      <c r="D894" s="499"/>
    </row>
    <row r="895" spans="1:4">
      <c r="A895" s="63" t="s">
        <v>565</v>
      </c>
      <c r="B895" s="35">
        <v>59561</v>
      </c>
      <c r="C895" s="35" t="s">
        <v>28</v>
      </c>
      <c r="D895" s="499"/>
    </row>
    <row r="896" spans="1:4">
      <c r="A896" s="63" t="s">
        <v>565</v>
      </c>
      <c r="B896" s="35">
        <v>59603</v>
      </c>
      <c r="C896" s="35" t="s">
        <v>58</v>
      </c>
      <c r="D896" s="499"/>
    </row>
    <row r="897" spans="1:4">
      <c r="A897" s="63" t="s">
        <v>565</v>
      </c>
      <c r="B897" s="35">
        <v>59632</v>
      </c>
      <c r="C897" s="35" t="s">
        <v>28</v>
      </c>
      <c r="D897" s="499"/>
    </row>
    <row r="898" spans="1:4">
      <c r="A898" s="63" t="s">
        <v>565</v>
      </c>
      <c r="B898" s="35">
        <v>59817</v>
      </c>
      <c r="C898" s="35" t="s">
        <v>27</v>
      </c>
      <c r="D898" s="499"/>
    </row>
    <row r="899" spans="1:4">
      <c r="A899" s="63" t="s">
        <v>565</v>
      </c>
      <c r="B899" s="35">
        <v>59818</v>
      </c>
      <c r="C899" s="35" t="s">
        <v>27</v>
      </c>
      <c r="D899" s="499"/>
    </row>
    <row r="900" spans="1:4">
      <c r="A900" s="63" t="s">
        <v>565</v>
      </c>
      <c r="B900" s="35">
        <v>60073</v>
      </c>
      <c r="C900" s="35" t="s">
        <v>27</v>
      </c>
      <c r="D900" s="499"/>
    </row>
    <row r="901" spans="1:4">
      <c r="A901" s="63" t="s">
        <v>565</v>
      </c>
      <c r="B901" s="35">
        <v>60154</v>
      </c>
      <c r="C901" s="35" t="s">
        <v>29</v>
      </c>
      <c r="D901" s="499"/>
    </row>
    <row r="902" spans="1:4">
      <c r="A902" s="63" t="s">
        <v>565</v>
      </c>
      <c r="B902" s="35">
        <v>60272</v>
      </c>
      <c r="C902" s="35" t="s">
        <v>771</v>
      </c>
      <c r="D902" s="499"/>
    </row>
    <row r="903" spans="1:4">
      <c r="A903" s="63" t="s">
        <v>565</v>
      </c>
      <c r="B903" s="35">
        <v>60155</v>
      </c>
      <c r="C903" s="35" t="s">
        <v>29</v>
      </c>
      <c r="D903" s="499"/>
    </row>
    <row r="904" spans="1:4">
      <c r="A904" s="63" t="s">
        <v>565</v>
      </c>
      <c r="B904" s="35">
        <v>60491</v>
      </c>
      <c r="C904" s="35" t="s">
        <v>29</v>
      </c>
      <c r="D904" s="499"/>
    </row>
    <row r="905" spans="1:4">
      <c r="A905" s="17" t="s">
        <v>567</v>
      </c>
      <c r="B905" s="73">
        <v>169241</v>
      </c>
      <c r="C905" s="73" t="s">
        <v>58</v>
      </c>
      <c r="D905" s="506"/>
    </row>
    <row r="906" spans="1:4">
      <c r="A906" s="17" t="s">
        <v>567</v>
      </c>
      <c r="B906" s="73">
        <v>169280</v>
      </c>
      <c r="C906" s="73" t="s">
        <v>58</v>
      </c>
      <c r="D906" s="506"/>
    </row>
    <row r="907" spans="1:4">
      <c r="A907" s="17" t="s">
        <v>567</v>
      </c>
      <c r="B907" s="73">
        <v>2835</v>
      </c>
      <c r="C907" s="73" t="s">
        <v>165</v>
      </c>
      <c r="D907" s="506"/>
    </row>
    <row r="908" spans="1:4">
      <c r="A908" s="17" t="s">
        <v>567</v>
      </c>
      <c r="B908" s="73">
        <v>2834</v>
      </c>
      <c r="C908" s="73" t="s">
        <v>165</v>
      </c>
      <c r="D908" s="506"/>
    </row>
    <row r="909" spans="1:4">
      <c r="A909" s="17" t="s">
        <v>567</v>
      </c>
      <c r="B909" s="73">
        <v>2882</v>
      </c>
      <c r="C909" s="73" t="s">
        <v>28</v>
      </c>
      <c r="D909" s="506"/>
    </row>
    <row r="910" spans="1:4">
      <c r="A910" s="17" t="s">
        <v>567</v>
      </c>
      <c r="B910" s="73">
        <v>2834</v>
      </c>
      <c r="C910" s="73" t="s">
        <v>165</v>
      </c>
      <c r="D910" s="506"/>
    </row>
    <row r="911" spans="1:4">
      <c r="A911" s="17" t="s">
        <v>567</v>
      </c>
      <c r="B911" s="73">
        <v>2882</v>
      </c>
      <c r="C911" s="73" t="s">
        <v>28</v>
      </c>
      <c r="D911" s="506"/>
    </row>
    <row r="912" spans="1:4">
      <c r="A912" s="17" t="s">
        <v>567</v>
      </c>
      <c r="B912" s="40">
        <v>169240</v>
      </c>
      <c r="C912" s="40" t="s">
        <v>58</v>
      </c>
      <c r="D912" s="507"/>
    </row>
    <row r="913" spans="1:4">
      <c r="A913" s="17" t="s">
        <v>567</v>
      </c>
      <c r="B913" s="87">
        <v>113303</v>
      </c>
      <c r="C913" s="87" t="s">
        <v>29</v>
      </c>
      <c r="D913" s="507"/>
    </row>
    <row r="914" spans="1:4">
      <c r="A914" s="17" t="s">
        <v>567</v>
      </c>
      <c r="B914" s="40">
        <v>169260</v>
      </c>
      <c r="C914" s="40" t="s">
        <v>58</v>
      </c>
      <c r="D914" s="507"/>
    </row>
    <row r="915" spans="1:4">
      <c r="A915" s="17" t="s">
        <v>567</v>
      </c>
      <c r="B915" s="34">
        <v>168130</v>
      </c>
      <c r="C915" s="34" t="s">
        <v>29</v>
      </c>
      <c r="D915" s="508"/>
    </row>
    <row r="916" spans="1:4">
      <c r="A916" s="17" t="s">
        <v>567</v>
      </c>
      <c r="B916" s="34">
        <v>200320</v>
      </c>
      <c r="C916" s="34" t="s">
        <v>795</v>
      </c>
      <c r="D916" s="508"/>
    </row>
    <row r="917" spans="1:4">
      <c r="A917" s="17" t="s">
        <v>567</v>
      </c>
      <c r="B917" s="34">
        <v>200321</v>
      </c>
      <c r="C917" s="34" t="s">
        <v>795</v>
      </c>
      <c r="D917" s="508"/>
    </row>
    <row r="918" spans="1:4">
      <c r="A918" s="17" t="s">
        <v>567</v>
      </c>
      <c r="B918" s="34">
        <v>2910</v>
      </c>
      <c r="C918" s="34" t="s">
        <v>149</v>
      </c>
      <c r="D918" s="508"/>
    </row>
    <row r="919" spans="1:4">
      <c r="A919" s="17" t="s">
        <v>567</v>
      </c>
      <c r="B919" s="34">
        <v>112022</v>
      </c>
      <c r="C919" s="34" t="s">
        <v>27</v>
      </c>
      <c r="D919" s="508"/>
    </row>
    <row r="920" spans="1:4">
      <c r="A920" s="17" t="s">
        <v>567</v>
      </c>
      <c r="B920" s="34">
        <v>113304</v>
      </c>
      <c r="C920" s="34" t="s">
        <v>27</v>
      </c>
      <c r="D920" s="508"/>
    </row>
    <row r="921" spans="1:4">
      <c r="A921" s="17" t="s">
        <v>567</v>
      </c>
      <c r="B921" s="34">
        <v>114216</v>
      </c>
      <c r="C921" s="34" t="s">
        <v>165</v>
      </c>
      <c r="D921" s="508"/>
    </row>
    <row r="922" spans="1:4">
      <c r="A922" s="63" t="s">
        <v>562</v>
      </c>
      <c r="B922" s="34">
        <v>90456</v>
      </c>
      <c r="C922" s="34" t="s">
        <v>165</v>
      </c>
      <c r="D922" s="508"/>
    </row>
    <row r="923" spans="1:4">
      <c r="A923" s="63" t="s">
        <v>562</v>
      </c>
      <c r="B923" s="34">
        <v>42404</v>
      </c>
      <c r="C923" s="34" t="s">
        <v>149</v>
      </c>
      <c r="D923" s="508"/>
    </row>
    <row r="924" spans="1:4">
      <c r="A924" s="84" t="s">
        <v>562</v>
      </c>
      <c r="B924" s="34">
        <v>42422</v>
      </c>
      <c r="C924" s="85" t="s">
        <v>149</v>
      </c>
      <c r="D924" s="508"/>
    </row>
    <row r="925" spans="1:4">
      <c r="A925" s="84" t="s">
        <v>562</v>
      </c>
      <c r="B925" s="34">
        <v>94012</v>
      </c>
      <c r="C925" s="85" t="s">
        <v>1470</v>
      </c>
      <c r="D925" s="508"/>
    </row>
    <row r="926" spans="1:4">
      <c r="A926" s="84" t="s">
        <v>562</v>
      </c>
      <c r="B926" s="34">
        <v>94013</v>
      </c>
      <c r="C926" s="85" t="s">
        <v>1470</v>
      </c>
      <c r="D926" s="508"/>
    </row>
    <row r="927" spans="1:4">
      <c r="A927" s="35" t="s">
        <v>811</v>
      </c>
      <c r="B927" s="34">
        <v>12525</v>
      </c>
      <c r="C927" s="34" t="s">
        <v>28</v>
      </c>
      <c r="D927" s="508"/>
    </row>
    <row r="928" spans="1:4">
      <c r="A928" s="63" t="s">
        <v>562</v>
      </c>
      <c r="B928" s="34">
        <v>90481</v>
      </c>
      <c r="C928" s="34" t="s">
        <v>165</v>
      </c>
      <c r="D928" s="508"/>
    </row>
    <row r="929" spans="1:4">
      <c r="A929" s="63" t="s">
        <v>562</v>
      </c>
      <c r="B929" s="34">
        <v>90482</v>
      </c>
      <c r="C929" s="34" t="s">
        <v>165</v>
      </c>
      <c r="D929" s="508"/>
    </row>
    <row r="930" spans="1:4">
      <c r="A930" s="35" t="s">
        <v>566</v>
      </c>
      <c r="B930" s="34">
        <v>6650</v>
      </c>
      <c r="C930" s="34" t="s">
        <v>2060</v>
      </c>
      <c r="D930" s="508"/>
    </row>
    <row r="931" spans="1:4">
      <c r="A931" s="35" t="s">
        <v>566</v>
      </c>
      <c r="B931" s="34">
        <v>3239</v>
      </c>
      <c r="C931" s="34" t="s">
        <v>2068</v>
      </c>
      <c r="D931" s="508"/>
    </row>
    <row r="932" spans="1:4">
      <c r="A932" s="35" t="s">
        <v>566</v>
      </c>
      <c r="B932" s="34">
        <v>8047</v>
      </c>
      <c r="C932" s="34" t="s">
        <v>836</v>
      </c>
      <c r="D932" s="508"/>
    </row>
    <row r="933" spans="1:4">
      <c r="A933" s="35" t="s">
        <v>566</v>
      </c>
      <c r="B933" s="34">
        <v>8049</v>
      </c>
      <c r="C933" s="34" t="s">
        <v>28</v>
      </c>
      <c r="D933" s="508"/>
    </row>
    <row r="934" spans="1:4">
      <c r="A934" s="35" t="s">
        <v>566</v>
      </c>
      <c r="B934" s="34">
        <v>8048</v>
      </c>
      <c r="C934" s="34" t="s">
        <v>28</v>
      </c>
      <c r="D934" s="508"/>
    </row>
    <row r="935" spans="1:4">
      <c r="A935" s="35" t="s">
        <v>566</v>
      </c>
      <c r="B935" s="34">
        <v>8054</v>
      </c>
      <c r="C935" s="34" t="s">
        <v>28</v>
      </c>
      <c r="D935" s="508"/>
    </row>
    <row r="936" spans="1:4">
      <c r="A936" s="35" t="s">
        <v>566</v>
      </c>
      <c r="B936" s="34">
        <v>8052</v>
      </c>
      <c r="C936" s="34" t="s">
        <v>28</v>
      </c>
      <c r="D936" s="508"/>
    </row>
    <row r="937" spans="1:4">
      <c r="A937" s="35" t="s">
        <v>566</v>
      </c>
      <c r="B937" s="34">
        <v>9189</v>
      </c>
      <c r="C937" s="34" t="s">
        <v>844</v>
      </c>
      <c r="D937" s="508"/>
    </row>
    <row r="938" spans="1:4">
      <c r="A938" s="35" t="s">
        <v>3092</v>
      </c>
      <c r="B938" s="34" t="s">
        <v>2061</v>
      </c>
      <c r="C938" s="34" t="s">
        <v>2062</v>
      </c>
      <c r="D938" s="508"/>
    </row>
    <row r="939" spans="1:4">
      <c r="A939" s="35" t="s">
        <v>3092</v>
      </c>
      <c r="B939" s="17" t="s">
        <v>852</v>
      </c>
      <c r="C939" s="34" t="s">
        <v>853</v>
      </c>
      <c r="D939" s="508"/>
    </row>
    <row r="940" spans="1:4">
      <c r="A940" s="35" t="s">
        <v>3092</v>
      </c>
      <c r="B940" s="17" t="s">
        <v>1834</v>
      </c>
      <c r="C940" s="34" t="s">
        <v>1835</v>
      </c>
      <c r="D940" s="508"/>
    </row>
    <row r="941" spans="1:4">
      <c r="A941" s="35" t="s">
        <v>565</v>
      </c>
      <c r="B941" s="19">
        <v>60368</v>
      </c>
      <c r="C941" s="34" t="s">
        <v>854</v>
      </c>
      <c r="D941" s="508"/>
    </row>
    <row r="942" spans="1:4">
      <c r="A942" s="35" t="s">
        <v>2063</v>
      </c>
      <c r="B942" s="19">
        <v>12616</v>
      </c>
      <c r="C942" s="34" t="s">
        <v>29</v>
      </c>
      <c r="D942" s="508"/>
    </row>
    <row r="943" spans="1:4">
      <c r="A943" s="35" t="s">
        <v>2063</v>
      </c>
      <c r="B943" s="19">
        <v>12503</v>
      </c>
      <c r="C943" s="34" t="s">
        <v>28</v>
      </c>
      <c r="D943" s="1091" t="s">
        <v>3075</v>
      </c>
    </row>
    <row r="944" spans="1:4">
      <c r="A944" s="35" t="s">
        <v>2063</v>
      </c>
      <c r="B944" s="19">
        <v>12570</v>
      </c>
      <c r="C944" s="34" t="s">
        <v>29</v>
      </c>
      <c r="D944" s="508"/>
    </row>
    <row r="945" spans="1:10">
      <c r="A945" s="35" t="s">
        <v>2063</v>
      </c>
      <c r="B945" s="19">
        <v>12502</v>
      </c>
      <c r="C945" s="34" t="s">
        <v>27</v>
      </c>
      <c r="D945" s="508"/>
    </row>
    <row r="946" spans="1:10">
      <c r="A946" s="35" t="s">
        <v>566</v>
      </c>
      <c r="B946" s="19">
        <v>3195</v>
      </c>
      <c r="C946" s="34" t="s">
        <v>1290</v>
      </c>
      <c r="D946" s="508"/>
    </row>
    <row r="947" spans="1:10">
      <c r="A947" s="35" t="s">
        <v>566</v>
      </c>
      <c r="B947" s="19">
        <v>2799</v>
      </c>
      <c r="C947" s="34" t="s">
        <v>1758</v>
      </c>
      <c r="D947" s="508"/>
    </row>
    <row r="948" spans="1:10">
      <c r="A948" s="35" t="s">
        <v>811</v>
      </c>
      <c r="B948" s="19">
        <v>12566</v>
      </c>
      <c r="C948" s="34" t="s">
        <v>27</v>
      </c>
      <c r="D948" s="508"/>
    </row>
    <row r="949" spans="1:10">
      <c r="A949" s="35" t="s">
        <v>566</v>
      </c>
      <c r="B949" s="19">
        <v>3024</v>
      </c>
      <c r="C949" s="34" t="s">
        <v>58</v>
      </c>
      <c r="D949" s="508"/>
    </row>
    <row r="950" spans="1:10">
      <c r="A950" s="35" t="s">
        <v>566</v>
      </c>
      <c r="B950" s="19">
        <v>8053</v>
      </c>
      <c r="C950" s="34" t="s">
        <v>1293</v>
      </c>
      <c r="D950" s="508" t="s">
        <v>2318</v>
      </c>
    </row>
    <row r="951" spans="1:10">
      <c r="A951" s="35" t="s">
        <v>566</v>
      </c>
      <c r="B951" s="19">
        <v>8054</v>
      </c>
      <c r="C951" s="34" t="s">
        <v>28</v>
      </c>
      <c r="D951" s="508"/>
    </row>
    <row r="952" spans="1:10">
      <c r="A952" s="35" t="s">
        <v>564</v>
      </c>
      <c r="B952" s="19" t="s">
        <v>2027</v>
      </c>
      <c r="C952" s="34" t="s">
        <v>2028</v>
      </c>
      <c r="D952" s="508"/>
    </row>
    <row r="953" spans="1:10">
      <c r="A953" s="35" t="s">
        <v>564</v>
      </c>
      <c r="B953" s="19" t="s">
        <v>1729</v>
      </c>
      <c r="C953" s="34" t="s">
        <v>1730</v>
      </c>
      <c r="D953" s="508"/>
    </row>
    <row r="954" spans="1:10">
      <c r="A954" s="35" t="s">
        <v>564</v>
      </c>
      <c r="B954" s="19" t="s">
        <v>2653</v>
      </c>
      <c r="C954" s="34" t="s">
        <v>29</v>
      </c>
      <c r="D954" s="508"/>
    </row>
    <row r="955" spans="1:10">
      <c r="A955" s="35" t="s">
        <v>564</v>
      </c>
      <c r="B955" s="19" t="s">
        <v>2113</v>
      </c>
      <c r="C955" s="34" t="s">
        <v>165</v>
      </c>
      <c r="D955" s="508"/>
      <c r="H955" s="482">
        <v>27754000000</v>
      </c>
      <c r="I955" s="855">
        <v>1.0999999999999999E-2</v>
      </c>
      <c r="J955" s="856">
        <f>H955*I955</f>
        <v>305294000</v>
      </c>
    </row>
    <row r="956" spans="1:10">
      <c r="A956" s="35" t="s">
        <v>564</v>
      </c>
      <c r="B956" s="19" t="s">
        <v>1796</v>
      </c>
      <c r="C956" s="34" t="s">
        <v>1798</v>
      </c>
      <c r="D956" s="508"/>
    </row>
    <row r="957" spans="1:10">
      <c r="A957" s="35" t="s">
        <v>564</v>
      </c>
      <c r="B957" s="19" t="s">
        <v>1797</v>
      </c>
      <c r="C957" s="34" t="s">
        <v>165</v>
      </c>
      <c r="D957" s="508"/>
    </row>
    <row r="958" spans="1:10">
      <c r="A958" s="35" t="s">
        <v>564</v>
      </c>
      <c r="B958" s="17" t="s">
        <v>1299</v>
      </c>
      <c r="C958" s="34" t="s">
        <v>1300</v>
      </c>
      <c r="D958" s="508"/>
    </row>
    <row r="959" spans="1:10">
      <c r="A959" s="35" t="s">
        <v>566</v>
      </c>
      <c r="B959" s="34">
        <v>8050</v>
      </c>
      <c r="C959" s="34" t="s">
        <v>28</v>
      </c>
      <c r="D959" s="508"/>
    </row>
    <row r="960" spans="1:10">
      <c r="A960" s="35" t="s">
        <v>811</v>
      </c>
      <c r="B960" s="19">
        <v>12571</v>
      </c>
      <c r="C960" s="34" t="s">
        <v>27</v>
      </c>
      <c r="D960" s="508"/>
    </row>
    <row r="961" spans="1:4">
      <c r="A961" s="35" t="s">
        <v>564</v>
      </c>
      <c r="B961" s="34" t="s">
        <v>1309</v>
      </c>
      <c r="C961" s="34" t="s">
        <v>29</v>
      </c>
      <c r="D961" s="508"/>
    </row>
    <row r="962" spans="1:4">
      <c r="A962" s="35" t="s">
        <v>566</v>
      </c>
      <c r="B962" s="34">
        <v>8051</v>
      </c>
      <c r="C962" s="34" t="s">
        <v>28</v>
      </c>
      <c r="D962" s="508"/>
    </row>
    <row r="963" spans="1:4">
      <c r="A963" s="63" t="s">
        <v>562</v>
      </c>
      <c r="B963" s="34">
        <v>90461</v>
      </c>
      <c r="C963" s="34" t="s">
        <v>1310</v>
      </c>
      <c r="D963" s="508"/>
    </row>
    <row r="964" spans="1:4">
      <c r="A964" s="35" t="s">
        <v>566</v>
      </c>
      <c r="B964" s="34">
        <v>3179</v>
      </c>
      <c r="C964" s="34" t="s">
        <v>1312</v>
      </c>
      <c r="D964" s="508" t="s">
        <v>2320</v>
      </c>
    </row>
    <row r="965" spans="1:4">
      <c r="A965" s="35" t="s">
        <v>566</v>
      </c>
      <c r="B965" s="34">
        <v>8055</v>
      </c>
      <c r="C965" s="34" t="s">
        <v>28</v>
      </c>
      <c r="D965" s="508"/>
    </row>
    <row r="966" spans="1:4">
      <c r="A966" s="35" t="s">
        <v>811</v>
      </c>
      <c r="B966" s="34">
        <v>12573</v>
      </c>
      <c r="C966" s="34" t="s">
        <v>58</v>
      </c>
      <c r="D966" s="508"/>
    </row>
    <row r="967" spans="1:4">
      <c r="A967" s="35" t="s">
        <v>566</v>
      </c>
      <c r="B967" s="34">
        <v>4326</v>
      </c>
      <c r="C967" s="34" t="s">
        <v>149</v>
      </c>
      <c r="D967" s="508"/>
    </row>
    <row r="968" spans="1:4">
      <c r="A968" s="63" t="s">
        <v>570</v>
      </c>
      <c r="B968" s="34" t="s">
        <v>1778</v>
      </c>
      <c r="C968" s="34" t="s">
        <v>1780</v>
      </c>
      <c r="D968" s="508"/>
    </row>
    <row r="969" spans="1:4">
      <c r="A969" s="63" t="s">
        <v>570</v>
      </c>
      <c r="B969" s="34" t="s">
        <v>1779</v>
      </c>
      <c r="C969" s="34" t="s">
        <v>165</v>
      </c>
      <c r="D969" s="508"/>
    </row>
    <row r="970" spans="1:4">
      <c r="A970" s="63" t="s">
        <v>570</v>
      </c>
      <c r="B970" s="34" t="s">
        <v>1316</v>
      </c>
      <c r="C970" s="34" t="s">
        <v>27</v>
      </c>
      <c r="D970" s="508"/>
    </row>
    <row r="971" spans="1:4">
      <c r="A971" s="35" t="s">
        <v>566</v>
      </c>
      <c r="B971" s="34">
        <v>5326</v>
      </c>
      <c r="C971" s="34" t="s">
        <v>149</v>
      </c>
      <c r="D971" s="508"/>
    </row>
    <row r="972" spans="1:4">
      <c r="A972" s="35" t="s">
        <v>566</v>
      </c>
      <c r="B972" s="34">
        <v>6552</v>
      </c>
      <c r="C972" s="34" t="s">
        <v>149</v>
      </c>
      <c r="D972" s="508"/>
    </row>
    <row r="973" spans="1:4">
      <c r="A973" s="35" t="s">
        <v>566</v>
      </c>
      <c r="B973" s="34">
        <v>3254</v>
      </c>
      <c r="C973" s="34" t="s">
        <v>149</v>
      </c>
      <c r="D973" s="508"/>
    </row>
    <row r="974" spans="1:4">
      <c r="A974" s="63" t="s">
        <v>558</v>
      </c>
      <c r="B974" s="34">
        <v>8174</v>
      </c>
      <c r="C974" s="34" t="s">
        <v>175</v>
      </c>
      <c r="D974" s="508"/>
    </row>
    <row r="975" spans="1:4">
      <c r="A975" s="63" t="s">
        <v>558</v>
      </c>
      <c r="B975" s="34">
        <v>50010</v>
      </c>
      <c r="C975" s="34" t="s">
        <v>28</v>
      </c>
      <c r="D975" s="508"/>
    </row>
    <row r="976" spans="1:4">
      <c r="A976" s="63" t="s">
        <v>558</v>
      </c>
      <c r="B976" s="34">
        <v>57100</v>
      </c>
      <c r="C976" s="34" t="s">
        <v>28</v>
      </c>
      <c r="D976" s="508"/>
    </row>
    <row r="977" spans="1:4">
      <c r="A977" s="63" t="s">
        <v>558</v>
      </c>
      <c r="B977" s="34">
        <v>96600</v>
      </c>
      <c r="C977" s="34" t="s">
        <v>28</v>
      </c>
      <c r="D977" s="508"/>
    </row>
    <row r="978" spans="1:4">
      <c r="A978" s="63" t="s">
        <v>558</v>
      </c>
      <c r="B978" s="34">
        <v>96604</v>
      </c>
      <c r="C978" s="34" t="s">
        <v>28</v>
      </c>
      <c r="D978" s="508"/>
    </row>
    <row r="979" spans="1:4">
      <c r="A979" s="63" t="s">
        <v>562</v>
      </c>
      <c r="B979" s="34">
        <v>90452</v>
      </c>
      <c r="C979" s="34" t="s">
        <v>165</v>
      </c>
      <c r="D979" s="508"/>
    </row>
    <row r="980" spans="1:4">
      <c r="A980" s="63" t="s">
        <v>562</v>
      </c>
      <c r="B980" s="34">
        <v>90457</v>
      </c>
      <c r="C980" s="34" t="s">
        <v>165</v>
      </c>
      <c r="D980" s="508"/>
    </row>
    <row r="981" spans="1:4">
      <c r="A981" s="84" t="s">
        <v>562</v>
      </c>
      <c r="B981" s="81">
        <v>90463</v>
      </c>
      <c r="C981" s="34" t="s">
        <v>165</v>
      </c>
      <c r="D981" s="508"/>
    </row>
    <row r="982" spans="1:4">
      <c r="A982" s="63" t="s">
        <v>562</v>
      </c>
      <c r="B982" s="34">
        <v>90466</v>
      </c>
      <c r="C982" s="34" t="s">
        <v>165</v>
      </c>
      <c r="D982" s="508"/>
    </row>
    <row r="983" spans="1:4">
      <c r="A983" s="63" t="s">
        <v>562</v>
      </c>
      <c r="B983" s="34">
        <v>90469</v>
      </c>
      <c r="C983" s="34" t="s">
        <v>165</v>
      </c>
      <c r="D983" s="508"/>
    </row>
    <row r="984" spans="1:4">
      <c r="A984" s="84" t="s">
        <v>562</v>
      </c>
      <c r="B984" s="81">
        <v>90470</v>
      </c>
      <c r="C984" s="34" t="s">
        <v>165</v>
      </c>
      <c r="D984" s="508"/>
    </row>
    <row r="985" spans="1:4">
      <c r="A985" s="63" t="s">
        <v>562</v>
      </c>
      <c r="B985" s="34">
        <v>90473</v>
      </c>
      <c r="C985" s="34" t="s">
        <v>165</v>
      </c>
      <c r="D985" s="508"/>
    </row>
    <row r="986" spans="1:4">
      <c r="A986" s="63" t="s">
        <v>562</v>
      </c>
      <c r="B986" s="34">
        <v>90476</v>
      </c>
      <c r="C986" s="34" t="s">
        <v>165</v>
      </c>
      <c r="D986" s="508"/>
    </row>
    <row r="987" spans="1:4">
      <c r="A987" s="35" t="s">
        <v>566</v>
      </c>
      <c r="B987" s="57">
        <v>8020</v>
      </c>
      <c r="C987" s="35" t="s">
        <v>28</v>
      </c>
      <c r="D987" s="499"/>
    </row>
    <row r="988" spans="1:4">
      <c r="A988" s="35" t="s">
        <v>570</v>
      </c>
      <c r="B988" s="57" t="s">
        <v>1576</v>
      </c>
      <c r="C988" s="35" t="s">
        <v>165</v>
      </c>
      <c r="D988" s="499"/>
    </row>
    <row r="989" spans="1:4">
      <c r="A989" s="35" t="s">
        <v>570</v>
      </c>
      <c r="B989" s="57" t="s">
        <v>1577</v>
      </c>
      <c r="C989" s="35" t="s">
        <v>165</v>
      </c>
      <c r="D989" s="499"/>
    </row>
    <row r="990" spans="1:4">
      <c r="A990" s="35" t="s">
        <v>570</v>
      </c>
      <c r="B990" s="57" t="s">
        <v>1578</v>
      </c>
      <c r="C990" s="35" t="s">
        <v>165</v>
      </c>
      <c r="D990" s="499"/>
    </row>
    <row r="991" spans="1:4">
      <c r="A991" s="35" t="s">
        <v>570</v>
      </c>
      <c r="B991" s="17" t="s">
        <v>1317</v>
      </c>
      <c r="C991" s="34" t="s">
        <v>1318</v>
      </c>
      <c r="D991" s="508"/>
    </row>
    <row r="992" spans="1:4">
      <c r="A992" s="35" t="s">
        <v>570</v>
      </c>
      <c r="B992" s="17" t="s">
        <v>1392</v>
      </c>
      <c r="C992" s="34" t="s">
        <v>1393</v>
      </c>
      <c r="D992" s="508"/>
    </row>
    <row r="993" spans="1:4">
      <c r="A993" s="63" t="s">
        <v>562</v>
      </c>
      <c r="B993" s="35">
        <v>90453</v>
      </c>
      <c r="C993" s="56" t="s">
        <v>165</v>
      </c>
      <c r="D993" s="502"/>
    </row>
    <row r="994" spans="1:4">
      <c r="A994" s="63" t="s">
        <v>565</v>
      </c>
      <c r="B994" s="35">
        <v>60310</v>
      </c>
      <c r="C994" s="35" t="s">
        <v>58</v>
      </c>
      <c r="D994" s="499"/>
    </row>
    <row r="995" spans="1:4">
      <c r="A995" s="63" t="s">
        <v>3092</v>
      </c>
      <c r="B995" s="35" t="s">
        <v>2087</v>
      </c>
      <c r="C995" s="35" t="s">
        <v>58</v>
      </c>
      <c r="D995" s="499"/>
    </row>
    <row r="996" spans="1:4">
      <c r="A996" s="63" t="s">
        <v>3092</v>
      </c>
      <c r="B996" s="35" t="s">
        <v>2088</v>
      </c>
      <c r="C996" s="35" t="s">
        <v>58</v>
      </c>
      <c r="D996" s="499"/>
    </row>
    <row r="997" spans="1:4">
      <c r="A997" s="63" t="s">
        <v>3092</v>
      </c>
      <c r="B997" s="35" t="s">
        <v>2013</v>
      </c>
      <c r="C997" s="35" t="s">
        <v>58</v>
      </c>
      <c r="D997" s="499"/>
    </row>
    <row r="998" spans="1:4">
      <c r="A998" s="63" t="s">
        <v>3092</v>
      </c>
      <c r="B998" s="58" t="s">
        <v>1320</v>
      </c>
      <c r="C998" s="59" t="s">
        <v>28</v>
      </c>
      <c r="D998" s="503"/>
    </row>
    <row r="999" spans="1:4">
      <c r="A999" s="63" t="s">
        <v>3092</v>
      </c>
      <c r="B999" s="58" t="s">
        <v>1737</v>
      </c>
      <c r="C999" s="59" t="s">
        <v>1738</v>
      </c>
      <c r="D999" s="503"/>
    </row>
    <row r="1000" spans="1:4">
      <c r="A1000" s="35" t="s">
        <v>564</v>
      </c>
      <c r="B1000" s="17" t="s">
        <v>1321</v>
      </c>
      <c r="C1000" s="34" t="s">
        <v>149</v>
      </c>
      <c r="D1000" s="508"/>
    </row>
    <row r="1001" spans="1:4">
      <c r="A1001" s="35" t="s">
        <v>566</v>
      </c>
      <c r="B1001" s="34">
        <v>2797</v>
      </c>
      <c r="C1001" s="34" t="s">
        <v>149</v>
      </c>
      <c r="D1001" s="508"/>
    </row>
    <row r="1002" spans="1:4">
      <c r="A1002" s="63" t="s">
        <v>564</v>
      </c>
      <c r="B1002" s="34" t="s">
        <v>1348</v>
      </c>
      <c r="C1002" s="34" t="s">
        <v>149</v>
      </c>
      <c r="D1002" s="508"/>
    </row>
    <row r="1003" spans="1:4">
      <c r="A1003" s="63" t="s">
        <v>564</v>
      </c>
      <c r="B1003" s="34" t="s">
        <v>1374</v>
      </c>
      <c r="C1003" s="34" t="s">
        <v>1375</v>
      </c>
      <c r="D1003" s="508"/>
    </row>
    <row r="1004" spans="1:4">
      <c r="A1004" s="63" t="s">
        <v>564</v>
      </c>
      <c r="B1004" s="34" t="s">
        <v>1349</v>
      </c>
      <c r="C1004" s="34" t="s">
        <v>27</v>
      </c>
      <c r="D1004" s="508"/>
    </row>
    <row r="1005" spans="1:4">
      <c r="A1005" s="63" t="s">
        <v>564</v>
      </c>
      <c r="B1005" s="34" t="s">
        <v>1350</v>
      </c>
      <c r="C1005" s="34" t="s">
        <v>27</v>
      </c>
      <c r="D1005" s="508"/>
    </row>
    <row r="1006" spans="1:4">
      <c r="A1006" s="188" t="s">
        <v>1352</v>
      </c>
      <c r="B1006" s="34">
        <v>161112</v>
      </c>
      <c r="C1006" s="34" t="s">
        <v>1351</v>
      </c>
      <c r="D1006" s="508"/>
    </row>
    <row r="1007" spans="1:4">
      <c r="A1007" s="188" t="s">
        <v>569</v>
      </c>
      <c r="B1007" s="193">
        <v>402027</v>
      </c>
      <c r="C1007" s="193" t="s">
        <v>1664</v>
      </c>
      <c r="D1007" s="508"/>
    </row>
    <row r="1008" spans="1:4">
      <c r="A1008" s="63" t="s">
        <v>564</v>
      </c>
      <c r="B1008" s="187" t="s">
        <v>1353</v>
      </c>
      <c r="C1008" s="187" t="s">
        <v>1354</v>
      </c>
      <c r="D1008" s="508"/>
    </row>
    <row r="1009" spans="1:4">
      <c r="A1009" s="63" t="s">
        <v>564</v>
      </c>
      <c r="B1009" s="189" t="s">
        <v>1355</v>
      </c>
      <c r="C1009" s="189" t="s">
        <v>28</v>
      </c>
      <c r="D1009" s="508"/>
    </row>
    <row r="1010" spans="1:4">
      <c r="A1010" s="63" t="s">
        <v>561</v>
      </c>
      <c r="B1010" s="190" t="s">
        <v>1359</v>
      </c>
      <c r="C1010" s="190" t="s">
        <v>28</v>
      </c>
      <c r="D1010" s="508"/>
    </row>
    <row r="1011" spans="1:4">
      <c r="A1011" s="63" t="s">
        <v>561</v>
      </c>
      <c r="B1011" s="193">
        <v>13508</v>
      </c>
      <c r="C1011" s="193" t="s">
        <v>27</v>
      </c>
      <c r="D1011" s="508"/>
    </row>
    <row r="1012" spans="1:4">
      <c r="A1012" s="35" t="s">
        <v>566</v>
      </c>
      <c r="B1012" s="19">
        <v>8755</v>
      </c>
      <c r="C1012" s="34" t="s">
        <v>28</v>
      </c>
      <c r="D1012" s="508"/>
    </row>
    <row r="1013" spans="1:4">
      <c r="A1013" s="35" t="s">
        <v>566</v>
      </c>
      <c r="B1013" s="19">
        <v>3138</v>
      </c>
      <c r="C1013" s="34" t="s">
        <v>1752</v>
      </c>
      <c r="D1013" s="508" t="s">
        <v>2316</v>
      </c>
    </row>
    <row r="1014" spans="1:4">
      <c r="A1014" s="35" t="s">
        <v>566</v>
      </c>
      <c r="B1014" s="19">
        <v>3139</v>
      </c>
      <c r="C1014" s="34" t="s">
        <v>149</v>
      </c>
      <c r="D1014" s="508"/>
    </row>
    <row r="1015" spans="1:4">
      <c r="A1015" s="35" t="s">
        <v>1386</v>
      </c>
      <c r="B1015" s="19">
        <v>75000</v>
      </c>
      <c r="C1015" s="34" t="s">
        <v>28</v>
      </c>
      <c r="D1015" s="508"/>
    </row>
    <row r="1016" spans="1:4">
      <c r="A1016" s="35" t="s">
        <v>1386</v>
      </c>
      <c r="B1016" s="19">
        <v>73000</v>
      </c>
      <c r="C1016" s="34" t="s">
        <v>28</v>
      </c>
      <c r="D1016" s="508"/>
    </row>
    <row r="1017" spans="1:4">
      <c r="A1017" s="35" t="s">
        <v>1387</v>
      </c>
      <c r="B1017" s="19">
        <v>58328</v>
      </c>
      <c r="C1017" s="34" t="s">
        <v>58</v>
      </c>
      <c r="D1017" s="508"/>
    </row>
    <row r="1018" spans="1:4">
      <c r="A1018" s="35" t="s">
        <v>1387</v>
      </c>
      <c r="B1018" s="19">
        <v>58319</v>
      </c>
      <c r="C1018" s="34" t="s">
        <v>58</v>
      </c>
      <c r="D1018" s="508"/>
    </row>
    <row r="1019" spans="1:4">
      <c r="A1019" s="194" t="s">
        <v>566</v>
      </c>
      <c r="B1019" s="19">
        <v>4329</v>
      </c>
      <c r="C1019" s="34" t="s">
        <v>149</v>
      </c>
      <c r="D1019" s="237" t="s">
        <v>2316</v>
      </c>
    </row>
    <row r="1020" spans="1:4">
      <c r="A1020" s="63" t="s">
        <v>564</v>
      </c>
      <c r="B1020" s="193" t="s">
        <v>1286</v>
      </c>
      <c r="C1020" s="193" t="s">
        <v>149</v>
      </c>
      <c r="D1020" s="508"/>
    </row>
    <row r="1021" spans="1:4">
      <c r="A1021" s="63" t="s">
        <v>566</v>
      </c>
      <c r="B1021" s="193">
        <v>2954</v>
      </c>
      <c r="C1021" s="193" t="s">
        <v>1813</v>
      </c>
      <c r="D1021" s="508"/>
    </row>
    <row r="1022" spans="1:4">
      <c r="A1022" s="63" t="s">
        <v>566</v>
      </c>
      <c r="B1022" s="35">
        <v>8911</v>
      </c>
      <c r="C1022" s="35" t="s">
        <v>28</v>
      </c>
      <c r="D1022" s="499"/>
    </row>
    <row r="1023" spans="1:4">
      <c r="A1023" s="63" t="s">
        <v>566</v>
      </c>
      <c r="B1023" s="57">
        <v>8913</v>
      </c>
      <c r="C1023" s="57" t="s">
        <v>28</v>
      </c>
      <c r="D1023" s="501"/>
    </row>
    <row r="1024" spans="1:4">
      <c r="A1024" s="63" t="s">
        <v>566</v>
      </c>
      <c r="B1024" s="57">
        <v>7069</v>
      </c>
      <c r="C1024" s="1088" t="s">
        <v>29</v>
      </c>
      <c r="D1024" s="501"/>
    </row>
    <row r="1025" spans="1:5" ht="17.25" customHeight="1">
      <c r="A1025" s="188" t="s">
        <v>561</v>
      </c>
      <c r="B1025" s="19">
        <v>35105</v>
      </c>
      <c r="C1025" s="34" t="s">
        <v>29</v>
      </c>
      <c r="D1025" s="508"/>
      <c r="E1025" t="s">
        <v>1755</v>
      </c>
    </row>
    <row r="1026" spans="1:5">
      <c r="A1026" s="188" t="s">
        <v>561</v>
      </c>
      <c r="B1026" s="19">
        <v>37002</v>
      </c>
      <c r="C1026" s="34" t="s">
        <v>165</v>
      </c>
      <c r="D1026" s="508"/>
    </row>
    <row r="1027" spans="1:5">
      <c r="A1027" s="188" t="s">
        <v>561</v>
      </c>
      <c r="B1027" s="19">
        <v>37003</v>
      </c>
      <c r="C1027" s="34" t="s">
        <v>165</v>
      </c>
      <c r="D1027" s="508"/>
    </row>
    <row r="1028" spans="1:5">
      <c r="A1028" s="188" t="s">
        <v>561</v>
      </c>
      <c r="B1028" s="19">
        <v>37004</v>
      </c>
      <c r="C1028" s="34" t="s">
        <v>165</v>
      </c>
      <c r="D1028" s="508"/>
    </row>
    <row r="1029" spans="1:5">
      <c r="A1029" s="188" t="s">
        <v>561</v>
      </c>
      <c r="B1029" s="19">
        <v>37005</v>
      </c>
      <c r="C1029" s="34" t="s">
        <v>165</v>
      </c>
      <c r="D1029" s="508"/>
    </row>
    <row r="1030" spans="1:5">
      <c r="A1030" s="188" t="s">
        <v>561</v>
      </c>
      <c r="B1030" s="19">
        <v>37008</v>
      </c>
      <c r="C1030" s="34" t="s">
        <v>165</v>
      </c>
      <c r="D1030" s="508"/>
    </row>
    <row r="1031" spans="1:5">
      <c r="A1031" s="188" t="s">
        <v>1549</v>
      </c>
      <c r="B1031" s="19" t="s">
        <v>2023</v>
      </c>
      <c r="C1031" s="34" t="s">
        <v>30</v>
      </c>
      <c r="D1031" s="508"/>
      <c r="E1031" t="s">
        <v>2024</v>
      </c>
    </row>
    <row r="1032" spans="1:5">
      <c r="A1032" s="188" t="s">
        <v>1549</v>
      </c>
      <c r="B1032" s="19" t="s">
        <v>2022</v>
      </c>
      <c r="C1032" s="34" t="s">
        <v>2069</v>
      </c>
      <c r="D1032" s="508"/>
      <c r="E1032" t="s">
        <v>2025</v>
      </c>
    </row>
    <row r="1033" spans="1:5">
      <c r="A1033" s="188" t="s">
        <v>1549</v>
      </c>
      <c r="B1033" s="19" t="s">
        <v>1548</v>
      </c>
      <c r="C1033" s="34" t="s">
        <v>58</v>
      </c>
      <c r="D1033" s="508"/>
    </row>
    <row r="1034" spans="1:5">
      <c r="A1034" s="188" t="s">
        <v>570</v>
      </c>
      <c r="B1034" s="19" t="s">
        <v>1583</v>
      </c>
      <c r="C1034" s="34" t="s">
        <v>165</v>
      </c>
      <c r="D1034" s="508"/>
    </row>
    <row r="1035" spans="1:5">
      <c r="A1035" s="188" t="s">
        <v>570</v>
      </c>
      <c r="B1035" s="19" t="s">
        <v>1584</v>
      </c>
      <c r="C1035" s="34" t="s">
        <v>165</v>
      </c>
      <c r="D1035" s="508"/>
    </row>
    <row r="1036" spans="1:5">
      <c r="A1036" s="188" t="s">
        <v>570</v>
      </c>
      <c r="B1036" s="19" t="s">
        <v>1616</v>
      </c>
      <c r="C1036" s="34" t="s">
        <v>165</v>
      </c>
      <c r="D1036" s="508"/>
    </row>
    <row r="1037" spans="1:5">
      <c r="A1037" s="63" t="s">
        <v>3092</v>
      </c>
      <c r="B1037" s="58" t="s">
        <v>1675</v>
      </c>
      <c r="C1037" s="59" t="s">
        <v>149</v>
      </c>
      <c r="D1037" s="503"/>
    </row>
    <row r="1038" spans="1:5">
      <c r="A1038" s="188" t="s">
        <v>570</v>
      </c>
      <c r="B1038" s="19" t="s">
        <v>1772</v>
      </c>
      <c r="C1038" s="34" t="s">
        <v>28</v>
      </c>
      <c r="D1038" s="508"/>
    </row>
    <row r="1039" spans="1:5">
      <c r="A1039" s="188" t="s">
        <v>570</v>
      </c>
      <c r="B1039" s="19" t="s">
        <v>1773</v>
      </c>
      <c r="C1039" s="34" t="s">
        <v>28</v>
      </c>
      <c r="D1039" s="508"/>
    </row>
    <row r="1040" spans="1:5">
      <c r="A1040" s="63" t="s">
        <v>566</v>
      </c>
      <c r="B1040" s="35">
        <v>3206</v>
      </c>
      <c r="C1040" s="35" t="s">
        <v>27</v>
      </c>
      <c r="D1040" s="499"/>
    </row>
    <row r="1041" spans="1:5">
      <c r="A1041" s="188" t="s">
        <v>572</v>
      </c>
      <c r="B1041" s="19">
        <v>17800</v>
      </c>
      <c r="C1041" s="34" t="s">
        <v>165</v>
      </c>
      <c r="D1041" s="508"/>
    </row>
    <row r="1042" spans="1:5" s="41" customFormat="1">
      <c r="A1042" s="188" t="s">
        <v>572</v>
      </c>
      <c r="B1042" s="19">
        <v>17809</v>
      </c>
      <c r="C1042" s="34" t="s">
        <v>27</v>
      </c>
      <c r="D1042" s="508"/>
    </row>
    <row r="1043" spans="1:5">
      <c r="A1043" s="474" t="s">
        <v>572</v>
      </c>
      <c r="B1043" s="475">
        <v>17859</v>
      </c>
      <c r="C1043" s="476" t="s">
        <v>165</v>
      </c>
      <c r="D1043" s="509"/>
      <c r="E1043" s="41"/>
    </row>
    <row r="1044" spans="1:5">
      <c r="A1044" s="188" t="s">
        <v>572</v>
      </c>
      <c r="B1044" s="19">
        <v>17862</v>
      </c>
      <c r="C1044" s="34" t="s">
        <v>27</v>
      </c>
      <c r="D1044" s="508"/>
      <c r="E1044" s="41"/>
    </row>
    <row r="1045" spans="1:5">
      <c r="A1045" s="188" t="s">
        <v>572</v>
      </c>
      <c r="B1045" s="19">
        <v>45306</v>
      </c>
      <c r="C1045" s="34" t="s">
        <v>165</v>
      </c>
      <c r="D1045" s="508"/>
    </row>
    <row r="1046" spans="1:5">
      <c r="A1046" s="188" t="s">
        <v>572</v>
      </c>
      <c r="B1046" s="19">
        <v>55880</v>
      </c>
      <c r="C1046" s="34" t="s">
        <v>27</v>
      </c>
      <c r="D1046" s="508"/>
    </row>
    <row r="1047" spans="1:5">
      <c r="A1047" s="63" t="s">
        <v>566</v>
      </c>
      <c r="B1047" s="35">
        <v>2884</v>
      </c>
      <c r="C1047" s="35" t="s">
        <v>58</v>
      </c>
      <c r="D1047" s="499"/>
    </row>
    <row r="1048" spans="1:5">
      <c r="A1048" s="188" t="s">
        <v>562</v>
      </c>
      <c r="B1048" s="19">
        <v>93031</v>
      </c>
      <c r="C1048" s="34" t="s">
        <v>1822</v>
      </c>
      <c r="D1048" s="508"/>
    </row>
    <row r="1049" spans="1:5">
      <c r="A1049" s="63" t="s">
        <v>3092</v>
      </c>
      <c r="B1049" s="58" t="s">
        <v>1825</v>
      </c>
      <c r="C1049" s="59" t="s">
        <v>27</v>
      </c>
      <c r="D1049" s="503"/>
    </row>
    <row r="1050" spans="1:5">
      <c r="A1050" s="63" t="s">
        <v>566</v>
      </c>
      <c r="B1050" s="57">
        <v>8400</v>
      </c>
      <c r="C1050" s="57" t="s">
        <v>28</v>
      </c>
      <c r="D1050" s="501"/>
    </row>
    <row r="1051" spans="1:5">
      <c r="A1051" s="63" t="s">
        <v>566</v>
      </c>
      <c r="B1051" s="57">
        <v>3986</v>
      </c>
      <c r="C1051" s="57" t="s">
        <v>28</v>
      </c>
      <c r="D1051" s="501"/>
    </row>
    <row r="1052" spans="1:5">
      <c r="A1052" s="63" t="s">
        <v>566</v>
      </c>
      <c r="B1052" s="57">
        <v>3987</v>
      </c>
      <c r="C1052" s="57" t="s">
        <v>28</v>
      </c>
      <c r="D1052" s="501"/>
    </row>
    <row r="1053" spans="1:5">
      <c r="A1053" s="63" t="s">
        <v>566</v>
      </c>
      <c r="B1053" s="57">
        <v>3988</v>
      </c>
      <c r="C1053" s="57" t="s">
        <v>28</v>
      </c>
      <c r="D1053" s="501"/>
    </row>
    <row r="1054" spans="1:5">
      <c r="A1054" s="63" t="s">
        <v>566</v>
      </c>
      <c r="B1054" s="57">
        <v>3989</v>
      </c>
      <c r="C1054" s="57" t="s">
        <v>28</v>
      </c>
      <c r="D1054" s="501"/>
    </row>
    <row r="1055" spans="1:5">
      <c r="A1055" s="188" t="s">
        <v>572</v>
      </c>
      <c r="B1055" s="19">
        <v>17700</v>
      </c>
      <c r="C1055" s="34" t="s">
        <v>27</v>
      </c>
      <c r="D1055" s="508"/>
    </row>
    <row r="1056" spans="1:5">
      <c r="A1056" s="188" t="s">
        <v>3092</v>
      </c>
      <c r="B1056" s="478" t="s">
        <v>2118</v>
      </c>
      <c r="C1056" s="57" t="s">
        <v>29</v>
      </c>
      <c r="D1056" s="501"/>
    </row>
    <row r="1057" spans="1:4">
      <c r="A1057" s="188" t="s">
        <v>1386</v>
      </c>
      <c r="B1057" s="57">
        <v>86030</v>
      </c>
      <c r="C1057" s="57" t="s">
        <v>2123</v>
      </c>
      <c r="D1057" s="501"/>
    </row>
    <row r="1058" spans="1:4">
      <c r="A1058" s="35" t="s">
        <v>564</v>
      </c>
      <c r="B1058" s="57" t="s">
        <v>2174</v>
      </c>
      <c r="C1058" s="57" t="s">
        <v>29</v>
      </c>
      <c r="D1058" s="501"/>
    </row>
    <row r="1059" spans="1:4">
      <c r="A1059" s="35" t="s">
        <v>563</v>
      </c>
      <c r="B1059" s="57">
        <v>233975</v>
      </c>
      <c r="C1059" s="57" t="s">
        <v>2175</v>
      </c>
      <c r="D1059" s="501"/>
    </row>
    <row r="1060" spans="1:4">
      <c r="A1060" s="35" t="s">
        <v>561</v>
      </c>
      <c r="B1060" s="57">
        <v>12617</v>
      </c>
      <c r="C1060" s="57" t="s">
        <v>165</v>
      </c>
      <c r="D1060" s="501"/>
    </row>
    <row r="1061" spans="1:4">
      <c r="A1061" s="35" t="s">
        <v>566</v>
      </c>
      <c r="B1061" s="57">
        <v>3026</v>
      </c>
      <c r="C1061" s="57" t="s">
        <v>58</v>
      </c>
      <c r="D1061" s="501"/>
    </row>
    <row r="1062" spans="1:4">
      <c r="A1062" s="35" t="s">
        <v>561</v>
      </c>
      <c r="B1062" s="17" t="s">
        <v>2187</v>
      </c>
      <c r="C1062" s="57" t="s">
        <v>2188</v>
      </c>
      <c r="D1062" s="501"/>
    </row>
    <row r="1063" spans="1:4">
      <c r="A1063" s="35" t="s">
        <v>566</v>
      </c>
      <c r="B1063" s="57">
        <v>5529</v>
      </c>
      <c r="C1063" s="57" t="s">
        <v>28</v>
      </c>
      <c r="D1063" s="501"/>
    </row>
    <row r="1064" spans="1:4">
      <c r="A1064" s="35" t="s">
        <v>561</v>
      </c>
      <c r="B1064" s="57" t="s">
        <v>2200</v>
      </c>
      <c r="C1064" s="57" t="s">
        <v>58</v>
      </c>
      <c r="D1064" s="501"/>
    </row>
    <row r="1065" spans="1:4">
      <c r="A1065" s="35" t="s">
        <v>3092</v>
      </c>
      <c r="B1065" s="57" t="s">
        <v>2220</v>
      </c>
      <c r="C1065" s="57" t="s">
        <v>175</v>
      </c>
      <c r="D1065" s="501"/>
    </row>
    <row r="1066" spans="1:4">
      <c r="A1066" s="188" t="s">
        <v>570</v>
      </c>
      <c r="B1066" s="19" t="s">
        <v>2223</v>
      </c>
      <c r="C1066" s="34" t="s">
        <v>58</v>
      </c>
      <c r="D1066" s="508"/>
    </row>
    <row r="1067" spans="1:4">
      <c r="A1067" s="63" t="s">
        <v>566</v>
      </c>
      <c r="B1067" s="57">
        <v>2953</v>
      </c>
      <c r="C1067" s="57" t="s">
        <v>11</v>
      </c>
      <c r="D1067" s="501"/>
    </row>
    <row r="1068" spans="1:4">
      <c r="A1068" s="35" t="s">
        <v>3092</v>
      </c>
      <c r="B1068" s="57" t="s">
        <v>2227</v>
      </c>
      <c r="C1068" s="57" t="s">
        <v>58</v>
      </c>
      <c r="D1068" s="501"/>
    </row>
    <row r="1069" spans="1:4">
      <c r="A1069" s="35" t="s">
        <v>570</v>
      </c>
      <c r="B1069" s="19" t="s">
        <v>2231</v>
      </c>
      <c r="C1069" s="34" t="s">
        <v>58</v>
      </c>
      <c r="D1069" s="508"/>
    </row>
    <row r="1070" spans="1:4">
      <c r="A1070" s="35" t="s">
        <v>561</v>
      </c>
      <c r="B1070" s="17">
        <v>12618</v>
      </c>
      <c r="C1070" s="57" t="s">
        <v>2236</v>
      </c>
      <c r="D1070" s="501"/>
    </row>
    <row r="1071" spans="1:4">
      <c r="A1071" s="35" t="s">
        <v>561</v>
      </c>
      <c r="B1071" s="57" t="s">
        <v>2242</v>
      </c>
      <c r="C1071" s="34" t="s">
        <v>29</v>
      </c>
      <c r="D1071" s="501"/>
    </row>
    <row r="1072" spans="1:4">
      <c r="A1072" s="188" t="s">
        <v>570</v>
      </c>
      <c r="B1072" s="19" t="s">
        <v>2248</v>
      </c>
      <c r="C1072" s="34" t="s">
        <v>27</v>
      </c>
      <c r="D1072" s="508"/>
    </row>
    <row r="1073" spans="1:4">
      <c r="A1073" s="35" t="s">
        <v>3092</v>
      </c>
      <c r="B1073" s="57" t="s">
        <v>2249</v>
      </c>
      <c r="C1073" s="57" t="s">
        <v>58</v>
      </c>
      <c r="D1073" s="501"/>
    </row>
    <row r="1074" spans="1:4">
      <c r="A1074" s="35" t="s">
        <v>566</v>
      </c>
      <c r="B1074" s="57">
        <v>3027</v>
      </c>
      <c r="C1074" s="57" t="s">
        <v>58</v>
      </c>
      <c r="D1074" s="501"/>
    </row>
    <row r="1075" spans="1:4">
      <c r="A1075" s="35" t="s">
        <v>566</v>
      </c>
      <c r="B1075" s="57">
        <v>3276</v>
      </c>
      <c r="C1075" s="57" t="s">
        <v>58</v>
      </c>
      <c r="D1075" s="501"/>
    </row>
    <row r="1076" spans="1:4">
      <c r="A1076" s="35" t="s">
        <v>566</v>
      </c>
      <c r="B1076" s="57">
        <v>3277</v>
      </c>
      <c r="C1076" s="57" t="s">
        <v>58</v>
      </c>
      <c r="D1076" s="501"/>
    </row>
    <row r="1077" spans="1:4">
      <c r="A1077" s="35" t="s">
        <v>2295</v>
      </c>
      <c r="B1077" s="57">
        <v>57776</v>
      </c>
      <c r="C1077" s="57" t="s">
        <v>2296</v>
      </c>
      <c r="D1077" s="501" t="s">
        <v>2319</v>
      </c>
    </row>
    <row r="1078" spans="1:4" s="1103" customFormat="1">
      <c r="A1078" s="1094" t="s">
        <v>3092</v>
      </c>
      <c r="B1078" s="1092" t="s">
        <v>2297</v>
      </c>
      <c r="C1078" s="1092" t="s">
        <v>2298</v>
      </c>
      <c r="D1078" s="1112"/>
    </row>
    <row r="1079" spans="1:4">
      <c r="A1079" s="63" t="s">
        <v>569</v>
      </c>
      <c r="B1079" s="35">
        <v>302047</v>
      </c>
      <c r="C1079" s="35" t="s">
        <v>73</v>
      </c>
      <c r="D1079" s="499"/>
    </row>
    <row r="1080" spans="1:4">
      <c r="A1080" s="35" t="s">
        <v>2295</v>
      </c>
      <c r="B1080" s="57">
        <v>99820</v>
      </c>
      <c r="C1080" s="57" t="s">
        <v>28</v>
      </c>
      <c r="D1080" s="237" t="s">
        <v>2317</v>
      </c>
    </row>
    <row r="1081" spans="1:4">
      <c r="A1081" s="35" t="s">
        <v>3092</v>
      </c>
      <c r="B1081" s="57" t="s">
        <v>2474</v>
      </c>
      <c r="C1081" s="57" t="s">
        <v>58</v>
      </c>
      <c r="D1081" s="237" t="s">
        <v>2475</v>
      </c>
    </row>
    <row r="1082" spans="1:4">
      <c r="A1082" s="35" t="s">
        <v>3092</v>
      </c>
      <c r="B1082" s="57" t="s">
        <v>2476</v>
      </c>
      <c r="C1082" s="57" t="s">
        <v>2188</v>
      </c>
    </row>
    <row r="1083" spans="1:4">
      <c r="A1083" s="35" t="s">
        <v>2481</v>
      </c>
      <c r="B1083" s="17">
        <v>45600</v>
      </c>
      <c r="C1083" s="57" t="s">
        <v>2482</v>
      </c>
    </row>
    <row r="1084" spans="1:4">
      <c r="A1084" s="35" t="s">
        <v>566</v>
      </c>
      <c r="B1084" s="57">
        <v>2967</v>
      </c>
      <c r="C1084" s="57" t="s">
        <v>58</v>
      </c>
    </row>
    <row r="1085" spans="1:4">
      <c r="A1085" s="35" t="s">
        <v>572</v>
      </c>
      <c r="B1085" s="17">
        <v>69000</v>
      </c>
      <c r="C1085" s="57" t="s">
        <v>58</v>
      </c>
    </row>
    <row r="1086" spans="1:4">
      <c r="A1086" s="35" t="s">
        <v>564</v>
      </c>
      <c r="B1086" s="57" t="s">
        <v>2501</v>
      </c>
      <c r="C1086" s="57" t="s">
        <v>149</v>
      </c>
    </row>
    <row r="1087" spans="1:4">
      <c r="A1087" s="35" t="s">
        <v>566</v>
      </c>
      <c r="B1087" s="57">
        <v>2949</v>
      </c>
      <c r="C1087" s="57" t="s">
        <v>149</v>
      </c>
    </row>
    <row r="1088" spans="1:4">
      <c r="A1088" s="35" t="s">
        <v>561</v>
      </c>
      <c r="B1088" s="731">
        <v>13520</v>
      </c>
      <c r="C1088" s="731" t="s">
        <v>2507</v>
      </c>
    </row>
    <row r="1089" spans="1:3">
      <c r="A1089" s="35" t="s">
        <v>561</v>
      </c>
      <c r="B1089" s="57">
        <v>12618</v>
      </c>
      <c r="C1089" s="57" t="s">
        <v>165</v>
      </c>
    </row>
    <row r="1090" spans="1:3">
      <c r="A1090" s="35" t="s">
        <v>566</v>
      </c>
      <c r="B1090" s="57">
        <v>2966</v>
      </c>
      <c r="C1090" s="57" t="s">
        <v>58</v>
      </c>
    </row>
    <row r="1091" spans="1:3">
      <c r="A1091" s="35" t="s">
        <v>572</v>
      </c>
      <c r="B1091" s="17">
        <v>46500</v>
      </c>
      <c r="C1091" s="57" t="s">
        <v>58</v>
      </c>
    </row>
    <row r="1092" spans="1:3">
      <c r="A1092" s="35" t="s">
        <v>2543</v>
      </c>
      <c r="B1092" s="57">
        <v>80062</v>
      </c>
      <c r="C1092" s="57" t="s">
        <v>2544</v>
      </c>
    </row>
    <row r="1093" spans="1:3">
      <c r="A1093" s="35" t="s">
        <v>3092</v>
      </c>
      <c r="B1093" s="17" t="s">
        <v>2621</v>
      </c>
      <c r="C1093" s="57" t="s">
        <v>2622</v>
      </c>
    </row>
    <row r="1094" spans="1:3">
      <c r="A1094" s="35" t="s">
        <v>561</v>
      </c>
      <c r="B1094" s="17">
        <v>13519</v>
      </c>
      <c r="C1094" s="57" t="s">
        <v>27</v>
      </c>
    </row>
    <row r="1095" spans="1:3">
      <c r="A1095" s="35" t="s">
        <v>561</v>
      </c>
      <c r="B1095" s="57" t="s">
        <v>2682</v>
      </c>
      <c r="C1095" s="57" t="s">
        <v>165</v>
      </c>
    </row>
    <row r="1096" spans="1:3">
      <c r="A1096" s="35" t="s">
        <v>561</v>
      </c>
      <c r="B1096" s="57" t="s">
        <v>2683</v>
      </c>
      <c r="C1096" s="57" t="s">
        <v>27</v>
      </c>
    </row>
    <row r="1097" spans="1:3">
      <c r="A1097" s="188" t="s">
        <v>1549</v>
      </c>
      <c r="B1097" s="19" t="s">
        <v>2687</v>
      </c>
      <c r="C1097" s="34" t="s">
        <v>2688</v>
      </c>
    </row>
    <row r="1098" spans="1:3">
      <c r="A1098" s="35" t="s">
        <v>566</v>
      </c>
      <c r="B1098" s="57">
        <v>5611</v>
      </c>
      <c r="C1098" s="57" t="s">
        <v>28</v>
      </c>
    </row>
    <row r="1099" spans="1:3">
      <c r="A1099" s="35" t="s">
        <v>566</v>
      </c>
      <c r="B1099" s="57">
        <v>3048</v>
      </c>
      <c r="C1099" s="57" t="s">
        <v>165</v>
      </c>
    </row>
    <row r="1100" spans="1:3">
      <c r="A1100" s="35" t="s">
        <v>566</v>
      </c>
      <c r="B1100" s="57">
        <v>7073</v>
      </c>
      <c r="C1100" s="57" t="s">
        <v>27</v>
      </c>
    </row>
    <row r="1101" spans="1:3">
      <c r="A1101" s="35" t="s">
        <v>572</v>
      </c>
      <c r="B1101" s="17">
        <v>65101</v>
      </c>
      <c r="C1101" s="57" t="s">
        <v>58</v>
      </c>
    </row>
    <row r="1102" spans="1:3">
      <c r="A1102" s="35" t="s">
        <v>564</v>
      </c>
      <c r="B1102" s="57" t="s">
        <v>2786</v>
      </c>
      <c r="C1102" s="57" t="s">
        <v>149</v>
      </c>
    </row>
    <row r="1103" spans="1:3">
      <c r="A1103" s="35" t="s">
        <v>566</v>
      </c>
      <c r="B1103" s="57">
        <v>3027</v>
      </c>
      <c r="C1103" s="57" t="s">
        <v>58</v>
      </c>
    </row>
    <row r="1104" spans="1:3">
      <c r="A1104" s="35" t="s">
        <v>566</v>
      </c>
      <c r="B1104" s="57">
        <v>3188</v>
      </c>
      <c r="C1104" s="57" t="s">
        <v>2787</v>
      </c>
    </row>
    <row r="1105" spans="1:3">
      <c r="A1105" s="35" t="s">
        <v>572</v>
      </c>
      <c r="B1105" s="17">
        <v>45400</v>
      </c>
      <c r="C1105" s="57" t="s">
        <v>58</v>
      </c>
    </row>
    <row r="1106" spans="1:3">
      <c r="A1106" s="35" t="s">
        <v>572</v>
      </c>
      <c r="B1106" s="17">
        <v>45365</v>
      </c>
      <c r="C1106" s="57" t="s">
        <v>58</v>
      </c>
    </row>
    <row r="1107" spans="1:3">
      <c r="A1107" s="35" t="s">
        <v>572</v>
      </c>
      <c r="B1107" s="17">
        <v>45390</v>
      </c>
      <c r="C1107" s="57" t="s">
        <v>58</v>
      </c>
    </row>
    <row r="1108" spans="1:3">
      <c r="A1108" s="35" t="s">
        <v>572</v>
      </c>
      <c r="B1108" s="17">
        <v>92302</v>
      </c>
      <c r="C1108" s="57" t="s">
        <v>28</v>
      </c>
    </row>
    <row r="1109" spans="1:3">
      <c r="A1109" s="35" t="s">
        <v>566</v>
      </c>
      <c r="B1109" s="57">
        <v>3229</v>
      </c>
      <c r="C1109" s="57" t="s">
        <v>149</v>
      </c>
    </row>
    <row r="1110" spans="1:3">
      <c r="A1110" s="35" t="s">
        <v>563</v>
      </c>
      <c r="B1110" s="19">
        <v>231968</v>
      </c>
      <c r="C1110" s="57" t="s">
        <v>2788</v>
      </c>
    </row>
    <row r="1111" spans="1:3">
      <c r="A1111" s="35" t="s">
        <v>572</v>
      </c>
      <c r="B1111" s="17">
        <v>91388</v>
      </c>
      <c r="C1111" s="57" t="s">
        <v>27</v>
      </c>
    </row>
    <row r="1112" spans="1:3">
      <c r="A1112" s="35" t="s">
        <v>572</v>
      </c>
      <c r="B1112" s="17">
        <v>91305</v>
      </c>
      <c r="C1112" s="57" t="s">
        <v>27</v>
      </c>
    </row>
    <row r="1113" spans="1:3">
      <c r="A1113" s="35" t="s">
        <v>572</v>
      </c>
      <c r="B1113" s="17">
        <v>91392</v>
      </c>
      <c r="C1113" s="57" t="s">
        <v>27</v>
      </c>
    </row>
    <row r="1114" spans="1:3">
      <c r="A1114" s="35" t="s">
        <v>572</v>
      </c>
      <c r="B1114" s="17">
        <v>91393</v>
      </c>
      <c r="C1114" s="57" t="s">
        <v>27</v>
      </c>
    </row>
    <row r="1115" spans="1:3">
      <c r="A1115" s="35" t="s">
        <v>572</v>
      </c>
      <c r="B1115" s="17">
        <v>91394</v>
      </c>
      <c r="C1115" s="57" t="s">
        <v>27</v>
      </c>
    </row>
    <row r="1116" spans="1:3">
      <c r="A1116" s="35" t="s">
        <v>572</v>
      </c>
      <c r="B1116" s="17">
        <v>91395</v>
      </c>
      <c r="C1116" s="57" t="s">
        <v>27</v>
      </c>
    </row>
    <row r="1117" spans="1:3">
      <c r="A1117" s="35" t="s">
        <v>572</v>
      </c>
      <c r="B1117" s="17">
        <v>91396</v>
      </c>
      <c r="C1117" s="57" t="s">
        <v>27</v>
      </c>
    </row>
    <row r="1118" spans="1:3">
      <c r="A1118" s="35" t="s">
        <v>572</v>
      </c>
      <c r="B1118" s="17">
        <v>91397</v>
      </c>
      <c r="C1118" s="57" t="s">
        <v>27</v>
      </c>
    </row>
    <row r="1119" spans="1:3">
      <c r="A1119" s="35" t="s">
        <v>572</v>
      </c>
      <c r="B1119" s="17">
        <v>91398</v>
      </c>
      <c r="C1119" s="57" t="s">
        <v>27</v>
      </c>
    </row>
    <row r="1120" spans="1:3">
      <c r="A1120" s="35" t="s">
        <v>561</v>
      </c>
      <c r="B1120" s="17">
        <v>12624</v>
      </c>
      <c r="C1120" s="57" t="s">
        <v>28</v>
      </c>
    </row>
    <row r="1121" spans="1:3">
      <c r="A1121" s="35" t="s">
        <v>566</v>
      </c>
      <c r="B1121" s="57">
        <v>5569</v>
      </c>
      <c r="C1121" s="57" t="s">
        <v>58</v>
      </c>
    </row>
    <row r="1122" spans="1:3">
      <c r="A1122" s="35" t="s">
        <v>566</v>
      </c>
      <c r="B1122" s="57">
        <v>5590</v>
      </c>
      <c r="C1122" s="57" t="s">
        <v>58</v>
      </c>
    </row>
    <row r="1123" spans="1:3">
      <c r="A1123" s="35" t="s">
        <v>3092</v>
      </c>
      <c r="B1123" s="17" t="s">
        <v>2796</v>
      </c>
      <c r="C1123" s="57" t="s">
        <v>2798</v>
      </c>
    </row>
    <row r="1124" spans="1:3">
      <c r="A1124" s="35" t="s">
        <v>3092</v>
      </c>
      <c r="B1124" s="17" t="s">
        <v>2797</v>
      </c>
      <c r="C1124" s="57" t="s">
        <v>2798</v>
      </c>
    </row>
    <row r="1125" spans="1:3">
      <c r="A1125" s="35" t="s">
        <v>572</v>
      </c>
      <c r="B1125" s="17">
        <v>45490</v>
      </c>
      <c r="C1125" s="57" t="s">
        <v>58</v>
      </c>
    </row>
    <row r="1126" spans="1:3">
      <c r="A1126" s="35" t="s">
        <v>566</v>
      </c>
      <c r="B1126" s="17">
        <v>8148</v>
      </c>
      <c r="C1126" s="57" t="s">
        <v>29</v>
      </c>
    </row>
    <row r="1127" spans="1:3">
      <c r="A1127" s="35" t="s">
        <v>566</v>
      </c>
      <c r="B1127" s="17">
        <v>2979</v>
      </c>
      <c r="C1127" s="57" t="s">
        <v>28</v>
      </c>
    </row>
    <row r="1128" spans="1:3">
      <c r="A1128" s="35" t="s">
        <v>566</v>
      </c>
      <c r="B1128" s="19">
        <v>5649</v>
      </c>
      <c r="C1128" s="57" t="s">
        <v>2806</v>
      </c>
    </row>
    <row r="1129" spans="1:3">
      <c r="A1129" s="35" t="s">
        <v>566</v>
      </c>
      <c r="B1129" s="19">
        <v>5689</v>
      </c>
      <c r="C1129" s="57" t="s">
        <v>2806</v>
      </c>
    </row>
    <row r="1130" spans="1:3">
      <c r="A1130" s="35" t="s">
        <v>566</v>
      </c>
      <c r="B1130" s="19">
        <v>5729</v>
      </c>
      <c r="C1130" s="57" t="s">
        <v>2806</v>
      </c>
    </row>
    <row r="1131" spans="1:3">
      <c r="A1131" s="35" t="s">
        <v>566</v>
      </c>
      <c r="B1131" s="17">
        <v>8146</v>
      </c>
      <c r="C1131" s="57" t="s">
        <v>29</v>
      </c>
    </row>
    <row r="1132" spans="1:3">
      <c r="A1132" s="35" t="s">
        <v>566</v>
      </c>
      <c r="B1132" s="17">
        <v>8147</v>
      </c>
      <c r="C1132" s="57" t="s">
        <v>29</v>
      </c>
    </row>
    <row r="1133" spans="1:3">
      <c r="A1133" s="35" t="s">
        <v>564</v>
      </c>
      <c r="B1133" s="1053">
        <v>2509</v>
      </c>
      <c r="C1133" s="57" t="s">
        <v>28</v>
      </c>
    </row>
    <row r="1134" spans="1:3">
      <c r="A1134" s="35" t="s">
        <v>564</v>
      </c>
      <c r="B1134" s="57" t="s">
        <v>2870</v>
      </c>
      <c r="C1134" s="57" t="s">
        <v>58</v>
      </c>
    </row>
    <row r="1135" spans="1:3">
      <c r="A1135" s="35" t="s">
        <v>572</v>
      </c>
      <c r="B1135" s="17">
        <v>91306</v>
      </c>
      <c r="C1135" s="57" t="s">
        <v>27</v>
      </c>
    </row>
    <row r="1136" spans="1:3">
      <c r="A1136" s="35" t="s">
        <v>3092</v>
      </c>
      <c r="B1136" s="17" t="s">
        <v>3054</v>
      </c>
      <c r="C1136" s="57" t="s">
        <v>29</v>
      </c>
    </row>
    <row r="1137" spans="1:3">
      <c r="A1137" s="35" t="s">
        <v>3092</v>
      </c>
      <c r="B1137" s="17" t="s">
        <v>2883</v>
      </c>
      <c r="C1137" s="57" t="s">
        <v>27</v>
      </c>
    </row>
    <row r="1138" spans="1:3">
      <c r="A1138" s="35" t="s">
        <v>3092</v>
      </c>
      <c r="B1138" s="17" t="s">
        <v>2884</v>
      </c>
      <c r="C1138" s="57" t="s">
        <v>27</v>
      </c>
    </row>
    <row r="1139" spans="1:3">
      <c r="A1139" s="35" t="s">
        <v>2295</v>
      </c>
      <c r="B1139" s="17">
        <v>57788</v>
      </c>
      <c r="C1139" s="57" t="s">
        <v>28</v>
      </c>
    </row>
    <row r="1140" spans="1:3">
      <c r="A1140" s="35" t="s">
        <v>561</v>
      </c>
      <c r="B1140" s="17" t="s">
        <v>2885</v>
      </c>
      <c r="C1140" s="57" t="s">
        <v>29</v>
      </c>
    </row>
    <row r="1141" spans="1:3">
      <c r="A1141" s="35" t="s">
        <v>572</v>
      </c>
      <c r="B1141" s="17">
        <v>45420</v>
      </c>
      <c r="C1141" s="57" t="s">
        <v>58</v>
      </c>
    </row>
    <row r="1142" spans="1:3">
      <c r="A1142" s="35" t="s">
        <v>572</v>
      </c>
      <c r="B1142" s="17">
        <v>45308</v>
      </c>
      <c r="C1142" s="57" t="s">
        <v>58</v>
      </c>
    </row>
    <row r="1143" spans="1:3">
      <c r="A1143" s="35" t="s">
        <v>566</v>
      </c>
      <c r="B1143" s="17">
        <v>2983</v>
      </c>
      <c r="C1143" s="57" t="s">
        <v>58</v>
      </c>
    </row>
    <row r="1144" spans="1:3">
      <c r="A1144" s="35" t="s">
        <v>3092</v>
      </c>
      <c r="B1144" s="17" t="s">
        <v>2892</v>
      </c>
      <c r="C1144" s="57" t="s">
        <v>58</v>
      </c>
    </row>
    <row r="1145" spans="1:3">
      <c r="A1145" s="35" t="s">
        <v>561</v>
      </c>
      <c r="B1145" s="17">
        <v>14959</v>
      </c>
      <c r="C1145" s="57" t="s">
        <v>27</v>
      </c>
    </row>
    <row r="1146" spans="1:3">
      <c r="A1146" s="35" t="s">
        <v>566</v>
      </c>
      <c r="B1146" s="17">
        <v>8454</v>
      </c>
      <c r="C1146" s="57" t="s">
        <v>58</v>
      </c>
    </row>
    <row r="1147" spans="1:3">
      <c r="A1147" s="63" t="s">
        <v>562</v>
      </c>
      <c r="B1147" s="35">
        <v>63250</v>
      </c>
      <c r="C1147" s="35" t="s">
        <v>28</v>
      </c>
    </row>
    <row r="1148" spans="1:3">
      <c r="A1148" s="35" t="s">
        <v>566</v>
      </c>
      <c r="B1148" s="17">
        <v>8453</v>
      </c>
      <c r="C1148" s="57" t="s">
        <v>58</v>
      </c>
    </row>
    <row r="1149" spans="1:3">
      <c r="A1149" s="35" t="s">
        <v>564</v>
      </c>
      <c r="B1149" s="57" t="s">
        <v>2908</v>
      </c>
      <c r="C1149" s="57" t="s">
        <v>27</v>
      </c>
    </row>
    <row r="1150" spans="1:3">
      <c r="A1150" s="35" t="s">
        <v>2295</v>
      </c>
      <c r="B1150" s="17">
        <v>90670</v>
      </c>
      <c r="C1150" s="57" t="s">
        <v>28</v>
      </c>
    </row>
    <row r="1151" spans="1:3">
      <c r="A1151" s="35" t="s">
        <v>566</v>
      </c>
      <c r="B1151" s="17">
        <v>2987</v>
      </c>
      <c r="C1151" s="57" t="s">
        <v>27</v>
      </c>
    </row>
    <row r="1152" spans="1:3">
      <c r="A1152" s="35" t="s">
        <v>566</v>
      </c>
      <c r="B1152" s="17">
        <v>2988</v>
      </c>
      <c r="C1152" s="57" t="s">
        <v>27</v>
      </c>
    </row>
    <row r="1153" spans="1:3">
      <c r="A1153" s="35" t="s">
        <v>572</v>
      </c>
      <c r="B1153" s="17">
        <v>45310</v>
      </c>
      <c r="C1153" s="57" t="s">
        <v>58</v>
      </c>
    </row>
    <row r="1154" spans="1:3">
      <c r="A1154" s="63" t="s">
        <v>570</v>
      </c>
      <c r="B1154" s="35" t="s">
        <v>2928</v>
      </c>
      <c r="C1154" s="35" t="s">
        <v>27</v>
      </c>
    </row>
    <row r="1155" spans="1:3">
      <c r="A1155" s="35" t="s">
        <v>564</v>
      </c>
      <c r="B1155" s="57" t="s">
        <v>2945</v>
      </c>
      <c r="C1155" s="57" t="s">
        <v>149</v>
      </c>
    </row>
    <row r="1156" spans="1:3">
      <c r="A1156" s="35" t="s">
        <v>564</v>
      </c>
      <c r="B1156" s="57" t="s">
        <v>2946</v>
      </c>
      <c r="C1156" s="57" t="s">
        <v>58</v>
      </c>
    </row>
    <row r="1157" spans="1:3">
      <c r="A1157" s="35" t="s">
        <v>564</v>
      </c>
      <c r="B1157" s="57" t="s">
        <v>2952</v>
      </c>
      <c r="C1157" s="57" t="s">
        <v>27</v>
      </c>
    </row>
    <row r="1158" spans="1:3">
      <c r="A1158" s="35" t="s">
        <v>564</v>
      </c>
      <c r="B1158" s="57" t="s">
        <v>2953</v>
      </c>
      <c r="C1158" s="57" t="s">
        <v>58</v>
      </c>
    </row>
    <row r="1159" spans="1:3">
      <c r="A1159" s="188" t="s">
        <v>1549</v>
      </c>
      <c r="B1159" s="19" t="s">
        <v>2954</v>
      </c>
      <c r="C1159" s="34" t="s">
        <v>2127</v>
      </c>
    </row>
    <row r="1160" spans="1:3">
      <c r="A1160" s="188" t="s">
        <v>1549</v>
      </c>
      <c r="B1160" s="19" t="s">
        <v>2955</v>
      </c>
      <c r="C1160" s="34" t="s">
        <v>2127</v>
      </c>
    </row>
    <row r="1161" spans="1:3">
      <c r="A1161" s="188" t="s">
        <v>1549</v>
      </c>
      <c r="B1161" s="19" t="s">
        <v>2956</v>
      </c>
      <c r="C1161" s="34" t="s">
        <v>58</v>
      </c>
    </row>
    <row r="1162" spans="1:3">
      <c r="A1162" s="188" t="s">
        <v>1549</v>
      </c>
      <c r="B1162" s="19" t="s">
        <v>2957</v>
      </c>
      <c r="C1162" s="34" t="s">
        <v>58</v>
      </c>
    </row>
    <row r="1163" spans="1:3">
      <c r="A1163" s="35" t="s">
        <v>564</v>
      </c>
      <c r="B1163" s="57" t="s">
        <v>2959</v>
      </c>
      <c r="C1163" s="57" t="s">
        <v>58</v>
      </c>
    </row>
    <row r="1164" spans="1:3">
      <c r="A1164" s="35" t="s">
        <v>564</v>
      </c>
      <c r="B1164" s="57" t="s">
        <v>2960</v>
      </c>
      <c r="C1164" s="57" t="s">
        <v>28</v>
      </c>
    </row>
    <row r="1165" spans="1:3">
      <c r="A1165" s="35" t="s">
        <v>564</v>
      </c>
      <c r="B1165" s="57" t="s">
        <v>2963</v>
      </c>
      <c r="C1165" s="35" t="s">
        <v>27</v>
      </c>
    </row>
    <row r="1166" spans="1:3">
      <c r="A1166" s="35" t="s">
        <v>564</v>
      </c>
      <c r="B1166" s="57" t="s">
        <v>2989</v>
      </c>
      <c r="C1166" s="35" t="s">
        <v>355</v>
      </c>
    </row>
    <row r="1167" spans="1:3">
      <c r="A1167" s="35" t="s">
        <v>564</v>
      </c>
      <c r="B1167" s="57" t="s">
        <v>2990</v>
      </c>
      <c r="C1167" s="35" t="s">
        <v>28</v>
      </c>
    </row>
    <row r="1168" spans="1:3">
      <c r="A1168" s="35" t="s">
        <v>564</v>
      </c>
      <c r="B1168" s="57" t="s">
        <v>2993</v>
      </c>
      <c r="C1168" s="35" t="s">
        <v>149</v>
      </c>
    </row>
    <row r="1169" spans="1:3">
      <c r="A1169" s="35" t="s">
        <v>566</v>
      </c>
      <c r="B1169" s="17">
        <v>3007</v>
      </c>
      <c r="C1169" s="57" t="s">
        <v>149</v>
      </c>
    </row>
    <row r="1170" spans="1:3">
      <c r="A1170" s="35" t="s">
        <v>566</v>
      </c>
      <c r="B1170" s="17">
        <v>3006</v>
      </c>
      <c r="C1170" s="57" t="s">
        <v>149</v>
      </c>
    </row>
    <row r="1171" spans="1:3">
      <c r="A1171" s="35" t="s">
        <v>564</v>
      </c>
      <c r="B1171" s="57" t="s">
        <v>2994</v>
      </c>
      <c r="C1171" s="35" t="s">
        <v>58</v>
      </c>
    </row>
    <row r="1172" spans="1:3">
      <c r="A1172" s="35" t="s">
        <v>564</v>
      </c>
      <c r="B1172" s="57" t="s">
        <v>3009</v>
      </c>
      <c r="C1172" s="57" t="s">
        <v>58</v>
      </c>
    </row>
    <row r="1173" spans="1:3">
      <c r="A1173" s="35" t="s">
        <v>3092</v>
      </c>
      <c r="B1173" s="17" t="s">
        <v>3016</v>
      </c>
      <c r="C1173" s="57" t="s">
        <v>2188</v>
      </c>
    </row>
    <row r="1174" spans="1:3">
      <c r="A1174" s="35" t="s">
        <v>3092</v>
      </c>
      <c r="B1174" s="17" t="s">
        <v>3017</v>
      </c>
      <c r="C1174" s="57" t="s">
        <v>2188</v>
      </c>
    </row>
    <row r="1175" spans="1:3">
      <c r="A1175" s="35" t="s">
        <v>566</v>
      </c>
      <c r="B1175" s="17">
        <v>1532</v>
      </c>
      <c r="C1175" s="57" t="s">
        <v>58</v>
      </c>
    </row>
    <row r="1176" spans="1:3">
      <c r="A1176" s="35" t="s">
        <v>3019</v>
      </c>
      <c r="B1176" s="17">
        <v>57859</v>
      </c>
      <c r="C1176" s="57" t="s">
        <v>3018</v>
      </c>
    </row>
    <row r="1177" spans="1:3">
      <c r="A1177" s="35" t="s">
        <v>564</v>
      </c>
      <c r="B1177" s="57" t="s">
        <v>3020</v>
      </c>
      <c r="C1177" s="57" t="s">
        <v>73</v>
      </c>
    </row>
    <row r="1178" spans="1:3">
      <c r="A1178" s="35" t="s">
        <v>564</v>
      </c>
      <c r="B1178" s="57" t="s">
        <v>3021</v>
      </c>
      <c r="C1178" s="57" t="s">
        <v>58</v>
      </c>
    </row>
    <row r="1179" spans="1:3">
      <c r="A1179" s="35" t="s">
        <v>564</v>
      </c>
      <c r="B1179" s="57" t="s">
        <v>3022</v>
      </c>
      <c r="C1179" s="57" t="s">
        <v>27</v>
      </c>
    </row>
    <row r="1180" spans="1:3">
      <c r="A1180" s="35" t="s">
        <v>564</v>
      </c>
      <c r="B1180" s="57" t="s">
        <v>3027</v>
      </c>
      <c r="C1180" s="57" t="s">
        <v>175</v>
      </c>
    </row>
    <row r="1181" spans="1:3">
      <c r="A1181" s="35" t="s">
        <v>561</v>
      </c>
      <c r="B1181" s="17">
        <v>12570</v>
      </c>
      <c r="C1181" s="57" t="s">
        <v>29</v>
      </c>
    </row>
    <row r="1182" spans="1:3">
      <c r="A1182" s="35" t="s">
        <v>561</v>
      </c>
      <c r="B1182" s="17">
        <v>12616</v>
      </c>
      <c r="C1182" s="57" t="s">
        <v>29</v>
      </c>
    </row>
    <row r="1183" spans="1:3">
      <c r="A1183" s="35" t="s">
        <v>561</v>
      </c>
      <c r="B1183" s="17" t="s">
        <v>2242</v>
      </c>
      <c r="C1183" s="57" t="s">
        <v>29</v>
      </c>
    </row>
    <row r="1184" spans="1:3">
      <c r="A1184" s="35" t="s">
        <v>572</v>
      </c>
      <c r="B1184" s="57">
        <v>45430</v>
      </c>
      <c r="C1184" s="57" t="s">
        <v>27</v>
      </c>
    </row>
    <row r="1185" spans="1:3">
      <c r="A1185" s="35" t="s">
        <v>564</v>
      </c>
      <c r="B1185" s="57" t="s">
        <v>3055</v>
      </c>
      <c r="C1185" s="57" t="s">
        <v>149</v>
      </c>
    </row>
    <row r="1186" spans="1:3">
      <c r="A1186" s="35" t="s">
        <v>564</v>
      </c>
      <c r="B1186" s="57" t="s">
        <v>3056</v>
      </c>
      <c r="C1186" s="57" t="s">
        <v>29</v>
      </c>
    </row>
    <row r="1187" spans="1:3">
      <c r="A1187" s="35" t="s">
        <v>566</v>
      </c>
      <c r="B1187" s="17">
        <v>2989</v>
      </c>
      <c r="C1187" s="57" t="s">
        <v>58</v>
      </c>
    </row>
    <row r="1188" spans="1:3">
      <c r="A1188" s="35" t="s">
        <v>3019</v>
      </c>
      <c r="B1188" s="17">
        <v>57803</v>
      </c>
      <c r="C1188" s="57" t="s">
        <v>28</v>
      </c>
    </row>
    <row r="1189" spans="1:3">
      <c r="A1189" s="35" t="s">
        <v>3019</v>
      </c>
      <c r="B1189" s="17">
        <v>57470</v>
      </c>
      <c r="C1189" s="57" t="s">
        <v>165</v>
      </c>
    </row>
    <row r="1190" spans="1:3">
      <c r="A1190" s="35" t="s">
        <v>564</v>
      </c>
      <c r="B1190" s="57" t="s">
        <v>3080</v>
      </c>
      <c r="C1190" s="57" t="s">
        <v>58</v>
      </c>
    </row>
    <row r="1191" spans="1:3">
      <c r="A1191" s="35" t="s">
        <v>3081</v>
      </c>
      <c r="B1191" s="57">
        <v>2167</v>
      </c>
      <c r="C1191" s="57" t="s">
        <v>28</v>
      </c>
    </row>
    <row r="1192" spans="1:3">
      <c r="A1192" s="35" t="s">
        <v>566</v>
      </c>
      <c r="B1192" s="57">
        <v>8023</v>
      </c>
      <c r="C1192" s="57" t="s">
        <v>28</v>
      </c>
    </row>
    <row r="1193" spans="1:3">
      <c r="A1193" s="35" t="s">
        <v>561</v>
      </c>
      <c r="B1193" s="57" t="s">
        <v>3084</v>
      </c>
      <c r="C1193" s="57" t="s">
        <v>27</v>
      </c>
    </row>
    <row r="1194" spans="1:3">
      <c r="A1194" s="35" t="s">
        <v>3092</v>
      </c>
      <c r="B1194" s="17" t="s">
        <v>3085</v>
      </c>
      <c r="C1194" s="57" t="s">
        <v>29</v>
      </c>
    </row>
    <row r="1195" spans="1:3">
      <c r="A1195" s="35" t="s">
        <v>566</v>
      </c>
      <c r="B1195" s="57">
        <v>3008</v>
      </c>
      <c r="C1195" s="57" t="s">
        <v>58</v>
      </c>
    </row>
    <row r="1196" spans="1:3">
      <c r="A1196" s="35" t="s">
        <v>572</v>
      </c>
      <c r="B1196" s="57">
        <v>91399</v>
      </c>
      <c r="C1196" s="57" t="s">
        <v>27</v>
      </c>
    </row>
    <row r="1197" spans="1:3">
      <c r="A1197" s="35" t="s">
        <v>572</v>
      </c>
      <c r="B1197" s="57">
        <v>91400</v>
      </c>
      <c r="C1197" s="57" t="s">
        <v>27</v>
      </c>
    </row>
    <row r="1198" spans="1:3">
      <c r="A1198" s="35" t="s">
        <v>1549</v>
      </c>
      <c r="B1198" s="57" t="s">
        <v>3094</v>
      </c>
      <c r="C1198" s="57" t="s">
        <v>58</v>
      </c>
    </row>
    <row r="1199" spans="1:3">
      <c r="A1199" s="35" t="s">
        <v>1549</v>
      </c>
      <c r="B1199" s="57" t="s">
        <v>3095</v>
      </c>
      <c r="C1199" s="57" t="s">
        <v>58</v>
      </c>
    </row>
    <row r="1200" spans="1:3">
      <c r="A1200" s="35" t="s">
        <v>566</v>
      </c>
      <c r="B1200" s="57">
        <v>3017</v>
      </c>
      <c r="C1200" s="57" t="s">
        <v>28</v>
      </c>
    </row>
    <row r="1201" spans="1:3">
      <c r="A1201" s="63" t="s">
        <v>566</v>
      </c>
      <c r="B1201" s="57">
        <v>3383</v>
      </c>
      <c r="C1201" s="57" t="s">
        <v>28</v>
      </c>
    </row>
    <row r="1202" spans="1:3">
      <c r="A1202" s="63" t="s">
        <v>566</v>
      </c>
      <c r="B1202" s="57">
        <v>3668</v>
      </c>
      <c r="C1202" s="57" t="s">
        <v>3098</v>
      </c>
    </row>
    <row r="1203" spans="1:3">
      <c r="A1203" s="35" t="s">
        <v>1387</v>
      </c>
      <c r="B1203" s="19">
        <v>60524</v>
      </c>
      <c r="C1203" s="34" t="s">
        <v>28</v>
      </c>
    </row>
    <row r="1204" spans="1:3">
      <c r="A1204" s="35" t="s">
        <v>566</v>
      </c>
      <c r="B1204" s="57">
        <v>3283</v>
      </c>
      <c r="C1204" s="57" t="s">
        <v>28</v>
      </c>
    </row>
    <row r="1205" spans="1:3">
      <c r="A1205" s="35" t="s">
        <v>561</v>
      </c>
      <c r="B1205" s="57">
        <v>12621</v>
      </c>
      <c r="C1205" s="57" t="s">
        <v>27</v>
      </c>
    </row>
  </sheetData>
  <phoneticPr fontId="2" type="noConversion"/>
  <conditionalFormatting sqref="A1">
    <cfRule type="duplicateValues" dxfId="15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59999389629810485"/>
  </sheetPr>
  <dimension ref="A1:O52"/>
  <sheetViews>
    <sheetView workbookViewId="0">
      <selection activeCell="D23" sqref="D23"/>
    </sheetView>
  </sheetViews>
  <sheetFormatPr defaultRowHeight="16.5"/>
  <cols>
    <col min="1" max="1" width="13.25" bestFit="1" customWidth="1"/>
    <col min="2" max="2" width="12.5" bestFit="1" customWidth="1"/>
    <col min="4" max="4" width="11" style="237" bestFit="1" customWidth="1"/>
    <col min="5" max="5" width="15.875" bestFit="1" customWidth="1"/>
    <col min="6" max="6" width="11" customWidth="1"/>
    <col min="7" max="8" width="15.125" bestFit="1" customWidth="1"/>
    <col min="9" max="9" width="68.375" bestFit="1" customWidth="1"/>
    <col min="10" max="10" width="11" bestFit="1" customWidth="1"/>
    <col min="11" max="11" width="11.125" bestFit="1" customWidth="1"/>
    <col min="12" max="13" width="19.125" bestFit="1" customWidth="1"/>
    <col min="14" max="14" width="15.5" customWidth="1"/>
  </cols>
  <sheetData>
    <row r="1" spans="1:15" ht="17.25" thickBot="1">
      <c r="A1" s="919" t="s">
        <v>2277</v>
      </c>
      <c r="B1" s="920" t="s">
        <v>0</v>
      </c>
      <c r="C1" s="920" t="s">
        <v>1</v>
      </c>
      <c r="D1" s="920" t="s">
        <v>17</v>
      </c>
      <c r="E1" s="920" t="s">
        <v>1826</v>
      </c>
      <c r="F1" s="920" t="s">
        <v>3</v>
      </c>
      <c r="G1" s="920" t="s">
        <v>317</v>
      </c>
      <c r="H1" s="921" t="s">
        <v>4</v>
      </c>
      <c r="I1" s="922" t="s">
        <v>1325</v>
      </c>
      <c r="J1" s="923" t="s">
        <v>1553</v>
      </c>
      <c r="K1" s="924" t="s">
        <v>7</v>
      </c>
      <c r="L1" s="925" t="s">
        <v>8</v>
      </c>
      <c r="M1" s="925" t="s">
        <v>9</v>
      </c>
      <c r="N1" s="925" t="s">
        <v>316</v>
      </c>
    </row>
    <row r="2" spans="1:15" s="358" customFormat="1" ht="17.25" thickTop="1">
      <c r="A2" s="34">
        <v>1</v>
      </c>
      <c r="B2" s="484" t="s">
        <v>1324</v>
      </c>
      <c r="C2" s="484">
        <v>12251</v>
      </c>
      <c r="D2" s="484" t="s">
        <v>37</v>
      </c>
      <c r="E2" s="61" t="s">
        <v>1850</v>
      </c>
      <c r="F2" s="484" t="s">
        <v>49</v>
      </c>
      <c r="G2" s="61" t="s">
        <v>592</v>
      </c>
      <c r="H2" s="484" t="s">
        <v>580</v>
      </c>
      <c r="I2" s="487" t="s">
        <v>2278</v>
      </c>
      <c r="J2" s="484" t="s">
        <v>1552</v>
      </c>
      <c r="K2" s="488">
        <v>1154.53</v>
      </c>
      <c r="L2" s="489">
        <v>183751156688</v>
      </c>
      <c r="M2" s="204">
        <v>159156767944</v>
      </c>
      <c r="N2" s="484" t="s">
        <v>579</v>
      </c>
    </row>
    <row r="3" spans="1:15" s="358" customFormat="1" ht="17.25" customHeight="1">
      <c r="A3" s="34">
        <v>2</v>
      </c>
      <c r="B3" s="484" t="s">
        <v>1324</v>
      </c>
      <c r="C3" s="484">
        <v>12284</v>
      </c>
      <c r="D3" s="484" t="s">
        <v>37</v>
      </c>
      <c r="E3" s="61" t="s">
        <v>1851</v>
      </c>
      <c r="F3" s="484" t="s">
        <v>49</v>
      </c>
      <c r="G3" s="61" t="s">
        <v>592</v>
      </c>
      <c r="H3" s="484" t="s">
        <v>577</v>
      </c>
      <c r="I3" s="487" t="s">
        <v>2279</v>
      </c>
      <c r="J3" s="484">
        <v>2017.05</v>
      </c>
      <c r="K3" s="488">
        <v>1982.96</v>
      </c>
      <c r="L3" s="489">
        <v>260184957211</v>
      </c>
      <c r="M3" s="204">
        <v>131210132941</v>
      </c>
      <c r="N3" s="484" t="s">
        <v>579</v>
      </c>
    </row>
    <row r="4" spans="1:15" s="358" customFormat="1">
      <c r="A4" s="34">
        <v>3</v>
      </c>
      <c r="B4" s="64" t="s">
        <v>1324</v>
      </c>
      <c r="C4" s="64">
        <v>12470</v>
      </c>
      <c r="D4" s="64" t="s">
        <v>42</v>
      </c>
      <c r="E4" s="61" t="s">
        <v>1852</v>
      </c>
      <c r="F4" s="64" t="s">
        <v>83</v>
      </c>
      <c r="G4" s="61" t="s">
        <v>592</v>
      </c>
      <c r="H4" s="64" t="s">
        <v>1559</v>
      </c>
      <c r="I4" s="202" t="s">
        <v>2280</v>
      </c>
      <c r="J4" s="64">
        <v>2020.09</v>
      </c>
      <c r="K4" s="203">
        <v>1011.6</v>
      </c>
      <c r="L4" s="204">
        <v>36274042560</v>
      </c>
      <c r="M4" s="204">
        <v>35858137611</v>
      </c>
      <c r="N4" s="64" t="s">
        <v>579</v>
      </c>
    </row>
    <row r="5" spans="1:15" s="358" customFormat="1">
      <c r="A5" s="34">
        <v>4</v>
      </c>
      <c r="B5" s="64" t="s">
        <v>1324</v>
      </c>
      <c r="C5" s="64">
        <v>12526</v>
      </c>
      <c r="D5" s="64" t="s">
        <v>805</v>
      </c>
      <c r="E5" s="61" t="s">
        <v>1853</v>
      </c>
      <c r="F5" s="64" t="s">
        <v>806</v>
      </c>
      <c r="G5" s="61" t="s">
        <v>592</v>
      </c>
      <c r="H5" s="64" t="s">
        <v>1559</v>
      </c>
      <c r="I5" s="202" t="s">
        <v>2282</v>
      </c>
      <c r="J5" s="64">
        <v>2021.08</v>
      </c>
      <c r="K5" s="203">
        <v>822.36</v>
      </c>
      <c r="L5" s="204">
        <v>10649011824</v>
      </c>
      <c r="M5" s="204">
        <v>12949265374</v>
      </c>
      <c r="N5" s="64" t="s">
        <v>1554</v>
      </c>
    </row>
    <row r="6" spans="1:15" s="358" customFormat="1">
      <c r="A6" s="34">
        <v>5</v>
      </c>
      <c r="B6" s="64" t="s">
        <v>1324</v>
      </c>
      <c r="C6" s="64">
        <v>13470</v>
      </c>
      <c r="D6" s="64" t="s">
        <v>33</v>
      </c>
      <c r="E6" s="61" t="s">
        <v>1855</v>
      </c>
      <c r="F6" s="64" t="s">
        <v>29</v>
      </c>
      <c r="G6" s="61" t="s">
        <v>796</v>
      </c>
      <c r="H6" s="64" t="s">
        <v>1559</v>
      </c>
      <c r="I6" s="202" t="s">
        <v>2284</v>
      </c>
      <c r="J6" s="64">
        <v>2021.03</v>
      </c>
      <c r="K6" s="203">
        <v>884.4</v>
      </c>
      <c r="L6" s="204">
        <v>88235180929</v>
      </c>
      <c r="M6" s="204">
        <v>99768314042</v>
      </c>
      <c r="N6" s="64" t="s">
        <v>845</v>
      </c>
    </row>
    <row r="7" spans="1:15" s="358" customFormat="1">
      <c r="A7" s="34">
        <v>6</v>
      </c>
      <c r="B7" s="64" t="s">
        <v>1324</v>
      </c>
      <c r="C7" s="64">
        <v>14493</v>
      </c>
      <c r="D7" s="64" t="s">
        <v>768</v>
      </c>
      <c r="E7" s="61" t="s">
        <v>1857</v>
      </c>
      <c r="F7" s="64" t="s">
        <v>767</v>
      </c>
      <c r="G7" s="61" t="s">
        <v>2302</v>
      </c>
      <c r="H7" s="64"/>
      <c r="I7" s="202" t="s">
        <v>2281</v>
      </c>
      <c r="J7" s="64">
        <v>2014.09</v>
      </c>
      <c r="K7" s="203">
        <v>1106.3699999999999</v>
      </c>
      <c r="L7" s="204">
        <v>7229159812</v>
      </c>
      <c r="M7" s="204">
        <v>6534110596</v>
      </c>
      <c r="N7" s="64" t="s">
        <v>845</v>
      </c>
    </row>
    <row r="8" spans="1:15" s="358" customFormat="1">
      <c r="A8" s="34">
        <v>7</v>
      </c>
      <c r="B8" s="35" t="s">
        <v>1324</v>
      </c>
      <c r="C8" s="35" t="s">
        <v>1292</v>
      </c>
      <c r="D8" s="35" t="s">
        <v>274</v>
      </c>
      <c r="E8" s="61" t="s">
        <v>1858</v>
      </c>
      <c r="F8" s="35" t="s">
        <v>165</v>
      </c>
      <c r="G8" s="61" t="s">
        <v>796</v>
      </c>
      <c r="H8" s="64"/>
      <c r="I8" s="202" t="s">
        <v>2285</v>
      </c>
      <c r="J8" s="203">
        <v>2022.05</v>
      </c>
      <c r="K8" s="234">
        <v>988.5</v>
      </c>
      <c r="L8" s="204">
        <v>39371889639</v>
      </c>
      <c r="M8" s="204">
        <v>39830004500</v>
      </c>
      <c r="N8" s="64" t="s">
        <v>1554</v>
      </c>
      <c r="O8" s="358" t="s">
        <v>1420</v>
      </c>
    </row>
    <row r="9" spans="1:15" s="358" customFormat="1" ht="15.75" customHeight="1">
      <c r="A9" s="34">
        <v>8</v>
      </c>
      <c r="B9" s="35" t="s">
        <v>1324</v>
      </c>
      <c r="C9" s="35">
        <v>13416</v>
      </c>
      <c r="D9" s="35" t="s">
        <v>305</v>
      </c>
      <c r="E9" s="516" t="s">
        <v>2353</v>
      </c>
      <c r="F9" s="35" t="s">
        <v>29</v>
      </c>
      <c r="G9" s="61" t="s">
        <v>318</v>
      </c>
      <c r="H9" s="64" t="s">
        <v>303</v>
      </c>
      <c r="I9" s="517" t="s">
        <v>2352</v>
      </c>
      <c r="J9" s="235">
        <v>2019.09</v>
      </c>
      <c r="K9" s="234">
        <v>1221.1099999999999</v>
      </c>
      <c r="L9" s="204" t="s">
        <v>1339</v>
      </c>
      <c r="M9" s="204" t="s">
        <v>1340</v>
      </c>
      <c r="N9" s="204" t="s">
        <v>32</v>
      </c>
    </row>
    <row r="10" spans="1:15" s="358" customFormat="1">
      <c r="A10" s="34">
        <v>9</v>
      </c>
      <c r="B10" s="64" t="s">
        <v>1324</v>
      </c>
      <c r="C10" s="64" t="s">
        <v>1436</v>
      </c>
      <c r="D10" s="64" t="s">
        <v>19</v>
      </c>
      <c r="E10" s="516" t="s">
        <v>2992</v>
      </c>
      <c r="F10" s="64" t="s">
        <v>1440</v>
      </c>
      <c r="G10" s="61" t="s">
        <v>1432</v>
      </c>
      <c r="H10" s="64" t="s">
        <v>1433</v>
      </c>
      <c r="I10" s="202" t="s">
        <v>2286</v>
      </c>
      <c r="J10" s="64" t="s">
        <v>1439</v>
      </c>
      <c r="K10" s="203">
        <v>843.4</v>
      </c>
      <c r="L10" s="204">
        <v>50000000000</v>
      </c>
      <c r="M10" s="204">
        <v>49822673815</v>
      </c>
      <c r="N10" s="64"/>
    </row>
    <row r="11" spans="1:15" s="358" customFormat="1" ht="15.75" customHeight="1">
      <c r="A11" s="34">
        <v>10</v>
      </c>
      <c r="B11" s="64" t="s">
        <v>1324</v>
      </c>
      <c r="C11" s="64" t="s">
        <v>1435</v>
      </c>
      <c r="D11" s="64" t="s">
        <v>19</v>
      </c>
      <c r="E11" s="516" t="s">
        <v>2355</v>
      </c>
      <c r="F11" s="64" t="s">
        <v>1440</v>
      </c>
      <c r="G11" s="35" t="s">
        <v>1432</v>
      </c>
      <c r="H11" s="64" t="s">
        <v>1433</v>
      </c>
      <c r="I11" s="202" t="s">
        <v>2287</v>
      </c>
      <c r="J11" s="64" t="s">
        <v>1434</v>
      </c>
      <c r="K11" s="203">
        <v>740.22</v>
      </c>
      <c r="L11" s="204">
        <v>52280000000</v>
      </c>
      <c r="M11" s="204">
        <v>43555406793</v>
      </c>
      <c r="N11" s="484"/>
    </row>
    <row r="12" spans="1:15" s="358" customFormat="1">
      <c r="A12" s="34">
        <v>11</v>
      </c>
      <c r="B12" s="64" t="s">
        <v>1324</v>
      </c>
      <c r="C12" s="64" t="s">
        <v>1473</v>
      </c>
      <c r="D12" s="64" t="s">
        <v>1471</v>
      </c>
      <c r="E12" s="61" t="s">
        <v>2070</v>
      </c>
      <c r="F12" s="64" t="s">
        <v>1472</v>
      </c>
      <c r="G12" s="35" t="s">
        <v>1432</v>
      </c>
      <c r="H12" s="64" t="s">
        <v>1812</v>
      </c>
      <c r="I12" s="202" t="s">
        <v>2288</v>
      </c>
      <c r="J12" s="64">
        <v>2020.12</v>
      </c>
      <c r="K12" s="203">
        <v>758.04</v>
      </c>
      <c r="L12" s="204">
        <v>32240821044</v>
      </c>
      <c r="M12" s="204">
        <v>35000000000</v>
      </c>
      <c r="N12" s="484" t="s">
        <v>1551</v>
      </c>
    </row>
    <row r="13" spans="1:15" s="358" customFormat="1">
      <c r="A13" s="34">
        <v>12</v>
      </c>
      <c r="B13" s="35" t="s">
        <v>1324</v>
      </c>
      <c r="C13" s="35" t="s">
        <v>2080</v>
      </c>
      <c r="D13" s="35" t="s">
        <v>274</v>
      </c>
      <c r="E13" s="61" t="s">
        <v>2089</v>
      </c>
      <c r="F13" s="35" t="s">
        <v>29</v>
      </c>
      <c r="G13" s="35" t="s">
        <v>318</v>
      </c>
      <c r="H13" s="64" t="s">
        <v>2081</v>
      </c>
      <c r="I13" s="202" t="s">
        <v>2082</v>
      </c>
      <c r="J13" s="203">
        <v>2024.07</v>
      </c>
      <c r="K13" s="234">
        <v>1000</v>
      </c>
      <c r="L13" s="204"/>
      <c r="M13" s="204"/>
      <c r="N13" s="484" t="s">
        <v>13</v>
      </c>
    </row>
    <row r="14" spans="1:15" s="358" customFormat="1">
      <c r="A14" s="34">
        <v>13</v>
      </c>
      <c r="B14" s="35" t="s">
        <v>1324</v>
      </c>
      <c r="C14" s="64" t="s">
        <v>2322</v>
      </c>
      <c r="D14" s="64" t="s">
        <v>2324</v>
      </c>
      <c r="E14" s="61" t="s">
        <v>2329</v>
      </c>
      <c r="F14" s="64" t="s">
        <v>2321</v>
      </c>
      <c r="G14" s="35" t="s">
        <v>2326</v>
      </c>
      <c r="H14" s="64" t="s">
        <v>2325</v>
      </c>
      <c r="I14" s="202" t="s">
        <v>2327</v>
      </c>
      <c r="J14" s="64">
        <v>2024.11</v>
      </c>
      <c r="K14" s="203">
        <v>1017.34</v>
      </c>
      <c r="L14" s="204"/>
      <c r="M14" s="204"/>
      <c r="N14" s="484"/>
    </row>
    <row r="15" spans="1:15" s="358" customFormat="1">
      <c r="A15" s="34">
        <v>14</v>
      </c>
      <c r="B15" s="35" t="s">
        <v>1324</v>
      </c>
      <c r="C15" s="64" t="s">
        <v>2323</v>
      </c>
      <c r="D15" s="64" t="s">
        <v>2324</v>
      </c>
      <c r="E15" s="61" t="s">
        <v>2330</v>
      </c>
      <c r="F15" s="64" t="s">
        <v>2321</v>
      </c>
      <c r="G15" s="35" t="s">
        <v>2326</v>
      </c>
      <c r="H15" s="64" t="s">
        <v>2325</v>
      </c>
      <c r="I15" s="202" t="s">
        <v>2328</v>
      </c>
      <c r="J15" s="64">
        <v>2024.11</v>
      </c>
      <c r="K15" s="203">
        <v>998.19</v>
      </c>
      <c r="L15" s="204"/>
      <c r="M15" s="204"/>
      <c r="N15" s="484"/>
    </row>
    <row r="16" spans="1:15" s="358" customFormat="1">
      <c r="A16" s="34">
        <v>15</v>
      </c>
      <c r="B16" s="35" t="s">
        <v>1324</v>
      </c>
      <c r="C16" s="64" t="s">
        <v>2909</v>
      </c>
      <c r="D16" s="64" t="s">
        <v>33</v>
      </c>
      <c r="E16" s="61" t="s">
        <v>2910</v>
      </c>
      <c r="F16" s="35" t="s">
        <v>27</v>
      </c>
      <c r="G16" s="35" t="s">
        <v>318</v>
      </c>
      <c r="H16" s="64" t="s">
        <v>2081</v>
      </c>
      <c r="I16" s="202" t="s">
        <v>2911</v>
      </c>
      <c r="J16" s="64">
        <v>2025.11</v>
      </c>
      <c r="K16" s="203">
        <v>1000</v>
      </c>
      <c r="L16" s="204"/>
      <c r="M16" s="204"/>
      <c r="N16" s="484"/>
    </row>
    <row r="17" spans="1:14" s="358" customFormat="1">
      <c r="A17" s="34">
        <v>16</v>
      </c>
      <c r="B17" s="35" t="s">
        <v>1324</v>
      </c>
      <c r="C17" s="64">
        <v>12621</v>
      </c>
      <c r="D17" s="35" t="s">
        <v>274</v>
      </c>
      <c r="E17" s="61" t="s">
        <v>2912</v>
      </c>
      <c r="F17" s="35" t="s">
        <v>27</v>
      </c>
      <c r="G17" s="35"/>
      <c r="H17" s="64" t="s">
        <v>1451</v>
      </c>
      <c r="I17" s="202" t="s">
        <v>2914</v>
      </c>
      <c r="J17" s="64">
        <v>2025.11</v>
      </c>
      <c r="K17" s="203">
        <v>1000</v>
      </c>
      <c r="L17" s="204"/>
      <c r="M17" s="204"/>
      <c r="N17" s="484"/>
    </row>
    <row r="18" spans="1:14" s="358" customFormat="1">
      <c r="A18" s="34">
        <v>17</v>
      </c>
      <c r="B18" s="35" t="s">
        <v>1324</v>
      </c>
      <c r="C18" s="64">
        <v>12622</v>
      </c>
      <c r="D18" s="35" t="s">
        <v>274</v>
      </c>
      <c r="E18" s="61" t="s">
        <v>2913</v>
      </c>
      <c r="F18" s="35" t="s">
        <v>27</v>
      </c>
      <c r="G18" s="35"/>
      <c r="H18" s="64" t="s">
        <v>1451</v>
      </c>
      <c r="I18" s="202" t="s">
        <v>2915</v>
      </c>
      <c r="J18" s="64">
        <v>2025.11</v>
      </c>
      <c r="K18" s="203">
        <v>1000</v>
      </c>
      <c r="L18" s="204"/>
      <c r="M18" s="204"/>
      <c r="N18" s="484"/>
    </row>
    <row r="19" spans="1:14" s="358" customFormat="1">
      <c r="A19" s="34">
        <v>18</v>
      </c>
      <c r="B19" s="35" t="s">
        <v>1324</v>
      </c>
      <c r="C19" s="64">
        <v>12643</v>
      </c>
      <c r="D19" s="35" t="s">
        <v>274</v>
      </c>
      <c r="E19" s="61" t="s">
        <v>2927</v>
      </c>
      <c r="F19" s="35" t="s">
        <v>27</v>
      </c>
      <c r="G19" s="35"/>
      <c r="H19" s="64" t="s">
        <v>2081</v>
      </c>
      <c r="I19" s="202" t="s">
        <v>2926</v>
      </c>
      <c r="J19" s="64">
        <v>2025.11</v>
      </c>
      <c r="K19" s="203">
        <v>1000</v>
      </c>
      <c r="L19" s="204"/>
      <c r="M19" s="204"/>
      <c r="N19" s="484"/>
    </row>
    <row r="20" spans="1:14" s="358" customFormat="1">
      <c r="A20" s="34">
        <v>19</v>
      </c>
      <c r="B20" s="35" t="s">
        <v>1324</v>
      </c>
      <c r="C20" s="64">
        <v>14959</v>
      </c>
      <c r="D20" s="35" t="s">
        <v>33</v>
      </c>
      <c r="E20" s="61" t="s">
        <v>2940</v>
      </c>
      <c r="F20" s="35" t="s">
        <v>27</v>
      </c>
      <c r="G20" s="35"/>
      <c r="H20" s="64" t="s">
        <v>2081</v>
      </c>
      <c r="I20" s="202" t="s">
        <v>2941</v>
      </c>
      <c r="J20" s="64">
        <v>2025.09</v>
      </c>
      <c r="K20" s="203">
        <v>1000</v>
      </c>
      <c r="L20" s="204"/>
      <c r="M20" s="204"/>
      <c r="N20" s="484"/>
    </row>
    <row r="21" spans="1:14" s="358" customFormat="1">
      <c r="A21" s="34">
        <v>20</v>
      </c>
      <c r="B21" s="35" t="s">
        <v>1324</v>
      </c>
      <c r="C21" s="64" t="s">
        <v>2976</v>
      </c>
      <c r="D21" s="35" t="s">
        <v>33</v>
      </c>
      <c r="E21" s="61" t="s">
        <v>2980</v>
      </c>
      <c r="F21" s="35" t="s">
        <v>58</v>
      </c>
      <c r="G21" s="35"/>
      <c r="H21" s="64" t="s">
        <v>2081</v>
      </c>
      <c r="I21" s="202" t="s">
        <v>2978</v>
      </c>
      <c r="J21" s="203">
        <v>2022.1</v>
      </c>
      <c r="K21" s="203">
        <v>1000</v>
      </c>
      <c r="L21" s="204">
        <v>77071266347</v>
      </c>
      <c r="M21" s="204"/>
      <c r="N21" s="484"/>
    </row>
    <row r="22" spans="1:14" s="358" customFormat="1">
      <c r="A22" s="34">
        <v>21</v>
      </c>
      <c r="B22" s="35" t="s">
        <v>1324</v>
      </c>
      <c r="C22" s="64" t="s">
        <v>2977</v>
      </c>
      <c r="D22" s="35" t="s">
        <v>19</v>
      </c>
      <c r="E22" s="61" t="s">
        <v>2981</v>
      </c>
      <c r="F22" s="35" t="s">
        <v>58</v>
      </c>
      <c r="G22" s="35"/>
      <c r="H22" s="64" t="s">
        <v>2081</v>
      </c>
      <c r="I22" s="202" t="s">
        <v>2979</v>
      </c>
      <c r="J22" s="64">
        <v>2025.01</v>
      </c>
      <c r="K22" s="203">
        <v>1000</v>
      </c>
      <c r="L22" s="204">
        <v>161450609858</v>
      </c>
      <c r="M22" s="204"/>
      <c r="N22" s="484"/>
    </row>
    <row r="23" spans="1:14" s="358" customFormat="1">
      <c r="A23" s="34">
        <v>22</v>
      </c>
      <c r="B23" s="35" t="s">
        <v>1324</v>
      </c>
      <c r="C23" s="64">
        <v>12649</v>
      </c>
      <c r="D23" s="35" t="s">
        <v>19</v>
      </c>
      <c r="E23" s="61" t="s">
        <v>3102</v>
      </c>
      <c r="F23" s="35" t="s">
        <v>27</v>
      </c>
      <c r="G23" s="35"/>
      <c r="H23" s="64" t="s">
        <v>2081</v>
      </c>
      <c r="I23" s="202" t="s">
        <v>3105</v>
      </c>
      <c r="J23" s="64" t="s">
        <v>3103</v>
      </c>
      <c r="K23" s="203">
        <v>1000</v>
      </c>
      <c r="L23" s="204"/>
      <c r="M23" s="204"/>
      <c r="N23" s="484"/>
    </row>
    <row r="24" spans="1:14" s="358" customFormat="1">
      <c r="A24" s="508"/>
      <c r="B24" s="499"/>
      <c r="C24" s="500"/>
      <c r="D24" s="499"/>
      <c r="E24" s="499"/>
      <c r="F24" s="499"/>
      <c r="G24" s="499"/>
      <c r="H24" s="500"/>
      <c r="I24" s="1062"/>
      <c r="J24" s="500"/>
      <c r="K24" s="1063"/>
      <c r="L24" s="1064"/>
      <c r="M24" s="1064"/>
      <c r="N24" s="500"/>
    </row>
    <row r="25" spans="1:14" s="358" customFormat="1">
      <c r="A25" s="508"/>
      <c r="B25" s="499"/>
      <c r="C25" s="500"/>
      <c r="D25" s="499"/>
      <c r="E25" s="499"/>
      <c r="F25" s="499"/>
      <c r="G25" s="499"/>
      <c r="H25" s="500"/>
      <c r="I25" s="1062"/>
      <c r="J25" s="500"/>
      <c r="K25" s="1063"/>
      <c r="L25" s="1064"/>
      <c r="M25" s="1064"/>
      <c r="N25" s="500"/>
    </row>
    <row r="26" spans="1:14" s="358" customFormat="1">
      <c r="A26" s="508"/>
      <c r="B26" s="499"/>
      <c r="C26" s="500"/>
      <c r="D26" s="499"/>
      <c r="E26" s="499"/>
      <c r="F26" s="499"/>
      <c r="G26" s="499"/>
      <c r="H26" s="500"/>
      <c r="I26" s="1062"/>
      <c r="J26" s="500"/>
      <c r="K26" s="1063"/>
      <c r="L26" s="1064"/>
      <c r="M26" s="1064"/>
      <c r="N26" s="500"/>
    </row>
    <row r="27" spans="1:14" s="358" customFormat="1">
      <c r="A27" s="508"/>
      <c r="B27" s="499"/>
      <c r="C27" s="500"/>
      <c r="D27" s="499"/>
      <c r="E27" s="499"/>
      <c r="F27" s="499"/>
      <c r="G27" s="499"/>
      <c r="H27" s="500"/>
      <c r="I27" s="1062"/>
      <c r="J27" s="500"/>
      <c r="K27" s="1063"/>
      <c r="L27" s="1064"/>
      <c r="M27" s="1064"/>
      <c r="N27" s="500"/>
    </row>
    <row r="28" spans="1:14" s="358" customFormat="1">
      <c r="A28" s="508"/>
      <c r="B28" s="499"/>
      <c r="C28" s="500"/>
      <c r="D28" s="499"/>
      <c r="E28" s="499"/>
      <c r="F28" s="499"/>
      <c r="G28" s="499"/>
      <c r="H28" s="500"/>
      <c r="I28" s="1062"/>
      <c r="J28" s="500"/>
      <c r="K28" s="1063"/>
      <c r="L28" s="1064"/>
      <c r="M28" s="1064"/>
      <c r="N28" s="500"/>
    </row>
    <row r="29" spans="1:14" s="358" customFormat="1">
      <c r="A29" s="508"/>
      <c r="B29" s="499"/>
      <c r="C29" s="500"/>
      <c r="D29" s="499"/>
      <c r="E29" s="499"/>
      <c r="F29" s="499"/>
      <c r="G29" s="499"/>
      <c r="H29" s="500"/>
      <c r="I29" s="1062"/>
      <c r="J29" s="500"/>
      <c r="K29" s="1063"/>
      <c r="L29" s="1064"/>
      <c r="M29" s="1064"/>
      <c r="N29" s="500"/>
    </row>
    <row r="31" spans="1:14">
      <c r="A31" s="972" t="s">
        <v>2276</v>
      </c>
      <c r="C31" s="237"/>
      <c r="D31"/>
    </row>
    <row r="32" spans="1:14" ht="17.25" thickBot="1">
      <c r="A32" s="919" t="s">
        <v>2277</v>
      </c>
      <c r="B32" s="920" t="s">
        <v>0</v>
      </c>
      <c r="C32" s="920" t="s">
        <v>1</v>
      </c>
      <c r="D32" s="920" t="s">
        <v>17</v>
      </c>
      <c r="E32" s="920" t="s">
        <v>1826</v>
      </c>
      <c r="F32" s="920" t="s">
        <v>3</v>
      </c>
      <c r="G32" s="920" t="s">
        <v>317</v>
      </c>
      <c r="H32" s="921" t="s">
        <v>4</v>
      </c>
      <c r="I32" s="922" t="s">
        <v>1325</v>
      </c>
      <c r="J32" s="923" t="s">
        <v>1553</v>
      </c>
      <c r="K32" s="924" t="s">
        <v>7</v>
      </c>
      <c r="L32" s="925" t="s">
        <v>8</v>
      </c>
      <c r="M32" s="925" t="s">
        <v>9</v>
      </c>
      <c r="N32" s="925" t="s">
        <v>316</v>
      </c>
    </row>
    <row r="33" spans="1:15" ht="17.25" thickTop="1">
      <c r="A33" s="34">
        <v>1</v>
      </c>
      <c r="B33" s="448" t="s">
        <v>1324</v>
      </c>
      <c r="C33" s="448" t="s">
        <v>313</v>
      </c>
      <c r="D33" s="448" t="s">
        <v>308</v>
      </c>
      <c r="E33" s="445"/>
      <c r="F33" s="448" t="s">
        <v>165</v>
      </c>
      <c r="G33" s="448" t="s">
        <v>318</v>
      </c>
      <c r="H33" s="449" t="s">
        <v>307</v>
      </c>
      <c r="I33" s="485" t="s">
        <v>312</v>
      </c>
      <c r="J33" s="450">
        <v>2019.03</v>
      </c>
      <c r="K33" s="451">
        <v>951.77</v>
      </c>
      <c r="L33" s="452">
        <v>27700000000</v>
      </c>
      <c r="M33" s="208" t="s">
        <v>590</v>
      </c>
      <c r="N33" s="490" t="s">
        <v>1554</v>
      </c>
    </row>
    <row r="34" spans="1:15">
      <c r="A34" s="34">
        <v>2</v>
      </c>
      <c r="B34" s="370" t="s">
        <v>1324</v>
      </c>
      <c r="C34" s="370" t="s">
        <v>309</v>
      </c>
      <c r="D34" s="370" t="s">
        <v>19</v>
      </c>
      <c r="E34" s="371" t="s">
        <v>1859</v>
      </c>
      <c r="F34" s="370" t="s">
        <v>165</v>
      </c>
      <c r="G34" s="371" t="s">
        <v>318</v>
      </c>
      <c r="H34" s="375" t="s">
        <v>307</v>
      </c>
      <c r="I34" s="374" t="s">
        <v>306</v>
      </c>
      <c r="J34" s="376">
        <v>2019.1</v>
      </c>
      <c r="K34" s="377">
        <v>902.25</v>
      </c>
      <c r="L34" s="378">
        <v>54966829054</v>
      </c>
      <c r="M34" s="372">
        <v>60922103633</v>
      </c>
      <c r="N34" s="369" t="s">
        <v>1554</v>
      </c>
    </row>
    <row r="35" spans="1:15">
      <c r="A35" s="34">
        <v>3</v>
      </c>
      <c r="B35" s="64" t="s">
        <v>1324</v>
      </c>
      <c r="C35" s="64">
        <v>12393</v>
      </c>
      <c r="D35" s="64" t="s">
        <v>305</v>
      </c>
      <c r="E35" s="445"/>
      <c r="F35" s="64" t="s">
        <v>304</v>
      </c>
      <c r="G35" s="49" t="s">
        <v>318</v>
      </c>
      <c r="H35" s="64" t="s">
        <v>303</v>
      </c>
      <c r="I35" s="202" t="s">
        <v>1327</v>
      </c>
      <c r="J35" s="64">
        <v>2019.07</v>
      </c>
      <c r="K35" s="203">
        <v>1253</v>
      </c>
      <c r="L35" s="204" t="s">
        <v>1341</v>
      </c>
      <c r="M35" s="204" t="s">
        <v>1342</v>
      </c>
      <c r="N35" s="64" t="s">
        <v>32</v>
      </c>
    </row>
    <row r="36" spans="1:15">
      <c r="A36" s="34">
        <v>4</v>
      </c>
      <c r="B36" s="64" t="s">
        <v>1324</v>
      </c>
      <c r="C36" s="64">
        <v>12427</v>
      </c>
      <c r="D36" s="64" t="s">
        <v>42</v>
      </c>
      <c r="E36" s="445"/>
      <c r="F36" s="64" t="s">
        <v>49</v>
      </c>
      <c r="G36" s="49" t="s">
        <v>592</v>
      </c>
      <c r="H36" s="64" t="s">
        <v>580</v>
      </c>
      <c r="I36" s="202" t="s">
        <v>582</v>
      </c>
      <c r="J36" s="203">
        <v>2019.1</v>
      </c>
      <c r="K36" s="203">
        <v>979.86</v>
      </c>
      <c r="L36" s="204">
        <v>11565235942</v>
      </c>
      <c r="M36" s="204">
        <v>11803000000</v>
      </c>
      <c r="N36" s="64" t="s">
        <v>1550</v>
      </c>
    </row>
    <row r="37" spans="1:15">
      <c r="A37" s="34">
        <v>5</v>
      </c>
      <c r="B37" s="64" t="s">
        <v>1324</v>
      </c>
      <c r="C37" s="64" t="s">
        <v>584</v>
      </c>
      <c r="D37" s="64" t="s">
        <v>42</v>
      </c>
      <c r="E37" s="445"/>
      <c r="F37" s="64" t="s">
        <v>83</v>
      </c>
      <c r="G37" s="43" t="s">
        <v>592</v>
      </c>
      <c r="H37" s="64" t="s">
        <v>575</v>
      </c>
      <c r="I37" s="202" t="s">
        <v>586</v>
      </c>
      <c r="J37" s="64">
        <v>2015.02</v>
      </c>
      <c r="K37" s="203" t="s">
        <v>590</v>
      </c>
      <c r="L37" s="204" t="s">
        <v>590</v>
      </c>
      <c r="M37" s="204" t="s">
        <v>590</v>
      </c>
      <c r="N37" s="484" t="s">
        <v>591</v>
      </c>
    </row>
    <row r="38" spans="1:15">
      <c r="A38" s="34">
        <v>6</v>
      </c>
      <c r="B38" s="64" t="s">
        <v>1324</v>
      </c>
      <c r="C38" s="64">
        <v>12321</v>
      </c>
      <c r="D38" s="64" t="s">
        <v>37</v>
      </c>
      <c r="E38" s="445"/>
      <c r="F38" s="64" t="s">
        <v>49</v>
      </c>
      <c r="G38" s="49" t="s">
        <v>592</v>
      </c>
      <c r="H38" s="64" t="s">
        <v>575</v>
      </c>
      <c r="I38" s="202" t="s">
        <v>587</v>
      </c>
      <c r="J38" s="64">
        <v>2017.09</v>
      </c>
      <c r="K38" s="203" t="s">
        <v>590</v>
      </c>
      <c r="L38" s="204" t="s">
        <v>590</v>
      </c>
      <c r="M38" s="204" t="s">
        <v>590</v>
      </c>
      <c r="N38" s="64" t="s">
        <v>591</v>
      </c>
    </row>
    <row r="39" spans="1:15">
      <c r="A39" s="34">
        <v>7</v>
      </c>
      <c r="B39" s="484" t="s">
        <v>1324</v>
      </c>
      <c r="C39" s="484">
        <v>12315</v>
      </c>
      <c r="D39" s="484" t="s">
        <v>37</v>
      </c>
      <c r="E39" s="445"/>
      <c r="F39" s="484" t="s">
        <v>49</v>
      </c>
      <c r="G39" s="49" t="s">
        <v>592</v>
      </c>
      <c r="H39" s="484" t="s">
        <v>575</v>
      </c>
      <c r="I39" s="487" t="s">
        <v>588</v>
      </c>
      <c r="J39" s="484">
        <v>2017.09</v>
      </c>
      <c r="K39" s="488" t="s">
        <v>590</v>
      </c>
      <c r="L39" s="489" t="s">
        <v>590</v>
      </c>
      <c r="M39" s="204" t="s">
        <v>590</v>
      </c>
      <c r="N39" s="484" t="s">
        <v>591</v>
      </c>
    </row>
    <row r="40" spans="1:15">
      <c r="A40" s="34">
        <v>8</v>
      </c>
      <c r="B40" s="64" t="s">
        <v>1324</v>
      </c>
      <c r="C40" s="64">
        <v>12328</v>
      </c>
      <c r="D40" s="64" t="s">
        <v>37</v>
      </c>
      <c r="E40" s="445"/>
      <c r="F40" s="64" t="s">
        <v>49</v>
      </c>
      <c r="G40" s="49" t="s">
        <v>592</v>
      </c>
      <c r="H40" s="64" t="s">
        <v>575</v>
      </c>
      <c r="I40" s="202" t="s">
        <v>589</v>
      </c>
      <c r="J40" s="203">
        <v>2017.1</v>
      </c>
      <c r="K40" s="203" t="s">
        <v>590</v>
      </c>
      <c r="L40" s="204" t="s">
        <v>590</v>
      </c>
      <c r="M40" s="204" t="s">
        <v>590</v>
      </c>
      <c r="N40" s="64" t="s">
        <v>591</v>
      </c>
    </row>
    <row r="41" spans="1:15">
      <c r="A41" s="34">
        <v>9</v>
      </c>
      <c r="B41" s="64" t="s">
        <v>1324</v>
      </c>
      <c r="C41" s="64">
        <v>12433</v>
      </c>
      <c r="D41" s="64" t="s">
        <v>42</v>
      </c>
      <c r="E41" s="445"/>
      <c r="F41" s="64" t="s">
        <v>83</v>
      </c>
      <c r="G41" s="49" t="s">
        <v>592</v>
      </c>
      <c r="H41" s="64" t="s">
        <v>575</v>
      </c>
      <c r="I41" s="202" t="s">
        <v>576</v>
      </c>
      <c r="J41" s="64">
        <v>2020.7</v>
      </c>
      <c r="K41" s="203">
        <v>1376.85</v>
      </c>
      <c r="L41" s="204">
        <v>13768491536</v>
      </c>
      <c r="M41" s="204">
        <v>10000000000</v>
      </c>
      <c r="N41" s="64" t="s">
        <v>32</v>
      </c>
    </row>
    <row r="42" spans="1:15">
      <c r="A42" s="34">
        <v>10</v>
      </c>
      <c r="B42" s="453" t="s">
        <v>1324</v>
      </c>
      <c r="C42" s="453">
        <v>12574</v>
      </c>
      <c r="D42" s="453" t="s">
        <v>33</v>
      </c>
      <c r="E42" s="445"/>
      <c r="F42" s="453" t="s">
        <v>868</v>
      </c>
      <c r="G42" s="445" t="s">
        <v>796</v>
      </c>
      <c r="H42" s="453" t="s">
        <v>1559</v>
      </c>
      <c r="I42" s="486" t="s">
        <v>1332</v>
      </c>
      <c r="J42" s="453">
        <v>2022.04</v>
      </c>
      <c r="K42" s="455">
        <v>1000.84</v>
      </c>
      <c r="L42" s="447">
        <v>1753962430</v>
      </c>
      <c r="M42" s="447">
        <v>1752490016</v>
      </c>
      <c r="N42" s="453" t="s">
        <v>1554</v>
      </c>
    </row>
    <row r="43" spans="1:15">
      <c r="A43" s="34">
        <v>11</v>
      </c>
      <c r="B43" s="454" t="s">
        <v>1324</v>
      </c>
      <c r="C43" s="454" t="s">
        <v>1301</v>
      </c>
      <c r="D43" s="454" t="s">
        <v>274</v>
      </c>
      <c r="E43" s="445"/>
      <c r="F43" s="454" t="s">
        <v>27</v>
      </c>
      <c r="G43" s="454" t="s">
        <v>318</v>
      </c>
      <c r="H43" s="456" t="s">
        <v>307</v>
      </c>
      <c r="I43" s="457" t="s">
        <v>1557</v>
      </c>
      <c r="J43" s="458">
        <v>2022.07</v>
      </c>
      <c r="K43" s="459">
        <v>985.05</v>
      </c>
      <c r="L43" s="460">
        <v>5611214044</v>
      </c>
      <c r="M43" s="447">
        <v>5696372419</v>
      </c>
      <c r="N43" s="446" t="s">
        <v>1554</v>
      </c>
    </row>
    <row r="44" spans="1:15">
      <c r="A44" s="34">
        <v>12</v>
      </c>
      <c r="B44" s="64" t="s">
        <v>1324</v>
      </c>
      <c r="C44" s="64">
        <v>14891</v>
      </c>
      <c r="D44" s="64" t="s">
        <v>274</v>
      </c>
      <c r="E44" s="445"/>
      <c r="F44" s="64" t="s">
        <v>29</v>
      </c>
      <c r="G44" s="49" t="s">
        <v>796</v>
      </c>
      <c r="H44" s="64"/>
      <c r="I44" s="198" t="s">
        <v>1334</v>
      </c>
      <c r="J44" s="64">
        <v>2022.08</v>
      </c>
      <c r="K44" s="203"/>
      <c r="L44" s="204"/>
      <c r="M44" s="204"/>
      <c r="N44" s="64"/>
    </row>
    <row r="45" spans="1:15">
      <c r="A45" s="34">
        <v>13</v>
      </c>
      <c r="B45" s="64" t="s">
        <v>1324</v>
      </c>
      <c r="C45" s="64" t="s">
        <v>585</v>
      </c>
      <c r="D45" s="64" t="s">
        <v>42</v>
      </c>
      <c r="E45" s="445"/>
      <c r="F45" s="64" t="s">
        <v>83</v>
      </c>
      <c r="G45" s="49" t="s">
        <v>592</v>
      </c>
      <c r="H45" s="64" t="s">
        <v>575</v>
      </c>
      <c r="I45" s="202" t="s">
        <v>1328</v>
      </c>
      <c r="J45" s="64">
        <v>2017.09</v>
      </c>
      <c r="K45" s="203" t="s">
        <v>590</v>
      </c>
      <c r="L45" s="204" t="s">
        <v>590</v>
      </c>
      <c r="M45" s="204" t="s">
        <v>590</v>
      </c>
      <c r="N45" s="64" t="s">
        <v>591</v>
      </c>
    </row>
    <row r="46" spans="1:15" s="373" customFormat="1">
      <c r="A46" s="34">
        <v>14</v>
      </c>
      <c r="B46" s="195" t="s">
        <v>1324</v>
      </c>
      <c r="C46" s="195" t="s">
        <v>315</v>
      </c>
      <c r="D46" s="195" t="s">
        <v>308</v>
      </c>
      <c r="E46" s="445"/>
      <c r="F46" s="195" t="s">
        <v>165</v>
      </c>
      <c r="G46" s="195" t="s">
        <v>318</v>
      </c>
      <c r="H46" s="209" t="s">
        <v>307</v>
      </c>
      <c r="I46" s="206" t="s">
        <v>314</v>
      </c>
      <c r="J46" s="210">
        <v>2017.05</v>
      </c>
      <c r="K46" s="211">
        <v>1019.63</v>
      </c>
      <c r="L46" s="212" t="s">
        <v>1337</v>
      </c>
      <c r="M46" s="212" t="s">
        <v>1338</v>
      </c>
      <c r="N46" s="491" t="s">
        <v>13</v>
      </c>
      <c r="O46" s="358" t="s">
        <v>1347</v>
      </c>
    </row>
    <row r="47" spans="1:15" s="358" customFormat="1" ht="15.75" customHeight="1">
      <c r="A47" s="34">
        <v>15</v>
      </c>
      <c r="B47" s="205" t="s">
        <v>1324</v>
      </c>
      <c r="C47" s="205">
        <v>12523</v>
      </c>
      <c r="D47" s="205" t="s">
        <v>42</v>
      </c>
      <c r="E47" s="445"/>
      <c r="F47" s="205" t="s">
        <v>165</v>
      </c>
      <c r="G47" s="186" t="s">
        <v>796</v>
      </c>
      <c r="H47" s="205"/>
      <c r="I47" s="206" t="s">
        <v>1330</v>
      </c>
      <c r="J47" s="205">
        <v>2021.06</v>
      </c>
      <c r="K47" s="207">
        <v>988.96</v>
      </c>
      <c r="L47" s="208">
        <v>97590732422</v>
      </c>
      <c r="M47" s="208">
        <v>97590732422</v>
      </c>
      <c r="N47" s="205" t="s">
        <v>845</v>
      </c>
      <c r="O47" s="358" t="s">
        <v>1347</v>
      </c>
    </row>
    <row r="48" spans="1:15" s="358" customFormat="1" ht="15.75" customHeight="1">
      <c r="A48" s="34">
        <v>16</v>
      </c>
      <c r="B48" s="205" t="s">
        <v>1324</v>
      </c>
      <c r="C48" s="205">
        <v>14893</v>
      </c>
      <c r="D48" s="205" t="s">
        <v>274</v>
      </c>
      <c r="E48" s="445"/>
      <c r="F48" s="205" t="s">
        <v>1303</v>
      </c>
      <c r="G48" s="186" t="s">
        <v>796</v>
      </c>
      <c r="H48" s="205"/>
      <c r="I48" s="206" t="s">
        <v>1336</v>
      </c>
      <c r="J48" s="205">
        <v>2022.08</v>
      </c>
      <c r="K48" s="207"/>
      <c r="L48" s="208"/>
      <c r="M48" s="208"/>
      <c r="N48" s="205"/>
      <c r="O48" s="358" t="s">
        <v>1347</v>
      </c>
    </row>
    <row r="49" spans="1:14" s="358" customFormat="1">
      <c r="A49" s="34">
        <v>17</v>
      </c>
      <c r="B49" s="64" t="s">
        <v>1324</v>
      </c>
      <c r="C49" s="64">
        <v>12591</v>
      </c>
      <c r="D49" s="64" t="s">
        <v>274</v>
      </c>
      <c r="E49" s="61" t="s">
        <v>1854</v>
      </c>
      <c r="F49" s="64" t="s">
        <v>868</v>
      </c>
      <c r="G49" s="61" t="s">
        <v>796</v>
      </c>
      <c r="H49" s="64" t="s">
        <v>1559</v>
      </c>
      <c r="I49" s="202" t="s">
        <v>2283</v>
      </c>
      <c r="J49" s="64">
        <v>2022.03</v>
      </c>
      <c r="K49" s="203">
        <v>883.4</v>
      </c>
      <c r="L49" s="204">
        <v>26502117960</v>
      </c>
      <c r="M49" s="204">
        <v>30000000000</v>
      </c>
      <c r="N49" s="64" t="s">
        <v>1554</v>
      </c>
    </row>
    <row r="50" spans="1:14" s="358" customFormat="1">
      <c r="A50" s="34">
        <v>18</v>
      </c>
      <c r="B50" s="64" t="s">
        <v>1324</v>
      </c>
      <c r="C50" s="64">
        <v>13490</v>
      </c>
      <c r="D50" s="64" t="s">
        <v>1449</v>
      </c>
      <c r="E50" s="61" t="s">
        <v>1856</v>
      </c>
      <c r="F50" s="64" t="s">
        <v>1450</v>
      </c>
      <c r="G50" s="61" t="s">
        <v>796</v>
      </c>
      <c r="H50" s="64" t="s">
        <v>1451</v>
      </c>
      <c r="I50" s="202" t="s">
        <v>1452</v>
      </c>
      <c r="J50" s="64">
        <v>2022.12</v>
      </c>
      <c r="K50" s="203">
        <v>1004.12</v>
      </c>
      <c r="L50" s="204">
        <v>611024149</v>
      </c>
      <c r="M50" s="204">
        <v>608516625</v>
      </c>
      <c r="N50" s="64" t="s">
        <v>1551</v>
      </c>
    </row>
    <row r="51" spans="1:14" s="358" customFormat="1" ht="15.75" customHeight="1">
      <c r="A51" s="34">
        <v>10</v>
      </c>
      <c r="B51" s="64" t="s">
        <v>1324</v>
      </c>
      <c r="C51" s="64">
        <v>14892</v>
      </c>
      <c r="D51" s="64" t="s">
        <v>274</v>
      </c>
      <c r="E51" s="516" t="s">
        <v>2354</v>
      </c>
      <c r="F51" s="64" t="s">
        <v>29</v>
      </c>
      <c r="G51" s="61" t="s">
        <v>796</v>
      </c>
      <c r="H51" s="64"/>
      <c r="I51" s="202" t="s">
        <v>2291</v>
      </c>
      <c r="J51" s="64">
        <v>2022.08</v>
      </c>
      <c r="K51" s="203"/>
      <c r="L51" s="204"/>
      <c r="M51" s="204"/>
      <c r="N51" s="64"/>
    </row>
    <row r="52" spans="1:14" s="358" customFormat="1">
      <c r="A52" s="34">
        <v>8</v>
      </c>
      <c r="B52" s="61" t="s">
        <v>1324</v>
      </c>
      <c r="C52" s="61" t="s">
        <v>1739</v>
      </c>
      <c r="D52" s="61" t="s">
        <v>274</v>
      </c>
      <c r="E52" s="61" t="s">
        <v>1860</v>
      </c>
      <c r="F52" s="61" t="s">
        <v>165</v>
      </c>
      <c r="G52" s="61" t="s">
        <v>318</v>
      </c>
      <c r="H52" s="484" t="s">
        <v>307</v>
      </c>
      <c r="I52" s="487" t="s">
        <v>1740</v>
      </c>
      <c r="J52" s="488">
        <v>2023.12</v>
      </c>
      <c r="K52" s="518">
        <v>1015.62</v>
      </c>
      <c r="L52" s="489">
        <v>15294490418</v>
      </c>
      <c r="M52" s="204">
        <v>15059290497</v>
      </c>
      <c r="N52" s="484" t="s">
        <v>13</v>
      </c>
    </row>
  </sheetData>
  <sortState xmlns:xlrd2="http://schemas.microsoft.com/office/spreadsheetml/2017/richdata2" ref="C2:P32">
    <sortCondition ref="D1"/>
  </sortState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7">
    <tabColor theme="9" tint="0.59999389629810485"/>
  </sheetPr>
  <dimension ref="B1:O21"/>
  <sheetViews>
    <sheetView workbookViewId="0">
      <selection activeCell="I6" sqref="I6"/>
    </sheetView>
  </sheetViews>
  <sheetFormatPr defaultRowHeight="16.5"/>
  <cols>
    <col min="2" max="2" width="17.25" bestFit="1" customWidth="1"/>
    <col min="3" max="3" width="16.875" customWidth="1"/>
    <col min="4" max="4" width="9.875" customWidth="1"/>
    <col min="5" max="5" width="17.125" bestFit="1" customWidth="1"/>
    <col min="6" max="6" width="9.75" bestFit="1" customWidth="1"/>
    <col min="7" max="7" width="11.875" bestFit="1" customWidth="1"/>
    <col min="8" max="8" width="23.125" bestFit="1" customWidth="1"/>
    <col min="9" max="9" width="63.125" customWidth="1"/>
    <col min="10" max="10" width="11.875" bestFit="1" customWidth="1"/>
    <col min="11" max="11" width="11.125" bestFit="1" customWidth="1"/>
    <col min="12" max="13" width="19.125" bestFit="1" customWidth="1"/>
    <col min="14" max="14" width="15.625" bestFit="1" customWidth="1"/>
  </cols>
  <sheetData>
    <row r="1" spans="2:14" ht="17.25">
      <c r="B1" s="926" t="s">
        <v>0</v>
      </c>
      <c r="C1" s="926" t="s">
        <v>1</v>
      </c>
      <c r="D1" s="926" t="s">
        <v>17</v>
      </c>
      <c r="E1" s="926" t="s">
        <v>1862</v>
      </c>
      <c r="F1" s="926" t="s">
        <v>3</v>
      </c>
      <c r="G1" s="926" t="s">
        <v>4</v>
      </c>
      <c r="H1" s="926" t="s">
        <v>2304</v>
      </c>
      <c r="I1" s="926" t="s">
        <v>5</v>
      </c>
      <c r="J1" s="927" t="s">
        <v>6</v>
      </c>
      <c r="K1" s="928" t="s">
        <v>7</v>
      </c>
      <c r="L1" s="929" t="s">
        <v>8</v>
      </c>
      <c r="M1" s="929" t="s">
        <v>9</v>
      </c>
      <c r="N1" s="929" t="s">
        <v>90</v>
      </c>
    </row>
    <row r="2" spans="2:14" s="41" customFormat="1">
      <c r="B2" s="519" t="s">
        <v>22</v>
      </c>
      <c r="C2" s="519">
        <v>19117</v>
      </c>
      <c r="D2" s="519" t="s">
        <v>19</v>
      </c>
      <c r="E2" s="519" t="s">
        <v>1979</v>
      </c>
      <c r="F2" s="519" t="s">
        <v>29</v>
      </c>
      <c r="G2" s="520" t="s">
        <v>2303</v>
      </c>
      <c r="H2" s="521" t="s">
        <v>2305</v>
      </c>
      <c r="I2" s="522" t="s">
        <v>24</v>
      </c>
      <c r="J2" s="523">
        <v>2016.06</v>
      </c>
      <c r="K2" s="524">
        <v>1074.3900000000001</v>
      </c>
      <c r="L2" s="525">
        <v>4929243504</v>
      </c>
      <c r="M2" s="525">
        <v>4587945933</v>
      </c>
      <c r="N2" s="525" t="s">
        <v>13</v>
      </c>
    </row>
    <row r="3" spans="2:14" s="366" customFormat="1">
      <c r="B3" s="43" t="s">
        <v>22</v>
      </c>
      <c r="C3" s="43">
        <v>19118</v>
      </c>
      <c r="D3" s="43" t="s">
        <v>19</v>
      </c>
      <c r="E3" s="528" t="s">
        <v>2356</v>
      </c>
      <c r="F3" s="43" t="s">
        <v>29</v>
      </c>
      <c r="G3" s="197"/>
      <c r="H3" s="197"/>
      <c r="I3" s="526" t="s">
        <v>2360</v>
      </c>
      <c r="J3" s="201">
        <v>2016.06</v>
      </c>
      <c r="K3" s="200">
        <v>952.65</v>
      </c>
      <c r="L3" s="47">
        <v>16882531477</v>
      </c>
      <c r="M3" s="47">
        <v>17721629626</v>
      </c>
      <c r="N3" s="47" t="s">
        <v>32</v>
      </c>
    </row>
    <row r="4" spans="2:14" s="41" customFormat="1">
      <c r="B4" s="519" t="s">
        <v>26</v>
      </c>
      <c r="C4" s="519">
        <v>50146</v>
      </c>
      <c r="D4" s="519" t="s">
        <v>19</v>
      </c>
      <c r="E4" s="519" t="s">
        <v>1980</v>
      </c>
      <c r="F4" s="519" t="s">
        <v>789</v>
      </c>
      <c r="G4" s="520"/>
      <c r="H4" s="520"/>
      <c r="I4" s="522" t="s">
        <v>788</v>
      </c>
      <c r="J4" s="527">
        <v>2019.12</v>
      </c>
      <c r="K4" s="524">
        <v>883.34</v>
      </c>
      <c r="L4" s="525">
        <v>57038074934</v>
      </c>
      <c r="M4" s="525">
        <v>64571277490</v>
      </c>
      <c r="N4" s="525" t="s">
        <v>13</v>
      </c>
    </row>
    <row r="5" spans="2:14" s="41" customFormat="1">
      <c r="B5" s="519" t="s">
        <v>26</v>
      </c>
      <c r="C5" s="519">
        <v>74088</v>
      </c>
      <c r="D5" s="519" t="s">
        <v>19</v>
      </c>
      <c r="E5" s="519" t="s">
        <v>1981</v>
      </c>
      <c r="F5" s="519" t="s">
        <v>798</v>
      </c>
      <c r="G5" s="520" t="s">
        <v>2303</v>
      </c>
      <c r="H5" s="520"/>
      <c r="I5" s="522" t="s">
        <v>797</v>
      </c>
      <c r="J5" s="527">
        <v>2021.06</v>
      </c>
      <c r="K5" s="524">
        <v>605.61</v>
      </c>
      <c r="L5" s="525">
        <v>16856618815</v>
      </c>
      <c r="M5" s="525">
        <v>27834121996</v>
      </c>
      <c r="N5" s="525" t="s">
        <v>13</v>
      </c>
    </row>
    <row r="6" spans="2:14" s="41" customFormat="1">
      <c r="B6" s="519" t="s">
        <v>26</v>
      </c>
      <c r="C6" s="519">
        <v>52108</v>
      </c>
      <c r="D6" s="519" t="s">
        <v>19</v>
      </c>
      <c r="E6" s="519" t="s">
        <v>3097</v>
      </c>
      <c r="F6" s="519" t="s">
        <v>28</v>
      </c>
      <c r="G6" s="520" t="s">
        <v>2512</v>
      </c>
      <c r="H6" s="521" t="s">
        <v>2306</v>
      </c>
      <c r="I6" s="522" t="s">
        <v>1753</v>
      </c>
      <c r="J6" s="527" t="s">
        <v>1754</v>
      </c>
      <c r="K6" s="524">
        <v>1402.08</v>
      </c>
      <c r="L6" s="525">
        <v>7930358877</v>
      </c>
      <c r="M6" s="525">
        <v>5656149844</v>
      </c>
      <c r="N6" s="525" t="s">
        <v>13</v>
      </c>
    </row>
    <row r="7" spans="2:14" s="41" customFormat="1">
      <c r="B7" s="43" t="s">
        <v>26</v>
      </c>
      <c r="C7" s="43">
        <v>19208</v>
      </c>
      <c r="D7" s="43" t="s">
        <v>19</v>
      </c>
      <c r="E7" s="529" t="s">
        <v>2357</v>
      </c>
      <c r="F7" s="43" t="s">
        <v>1806</v>
      </c>
      <c r="G7" s="197" t="s">
        <v>2513</v>
      </c>
      <c r="H7" s="197"/>
      <c r="I7" s="526" t="s">
        <v>2358</v>
      </c>
      <c r="J7" s="199" t="s">
        <v>1807</v>
      </c>
      <c r="K7" s="530" t="s">
        <v>2359</v>
      </c>
      <c r="L7" s="47"/>
      <c r="M7" s="47"/>
      <c r="N7" s="47"/>
    </row>
    <row r="8" spans="2:14" s="366" customFormat="1"/>
    <row r="9" spans="2:14" s="366" customFormat="1"/>
    <row r="10" spans="2:14" s="41" customFormat="1"/>
    <row r="16" spans="2:14">
      <c r="B16" s="492" t="s">
        <v>2276</v>
      </c>
      <c r="D16" s="237"/>
    </row>
    <row r="17" spans="2:15" ht="18" thickBot="1">
      <c r="B17" s="926" t="s">
        <v>0</v>
      </c>
      <c r="C17" s="926" t="s">
        <v>1</v>
      </c>
      <c r="D17" s="926" t="s">
        <v>17</v>
      </c>
      <c r="E17" s="926" t="s">
        <v>1862</v>
      </c>
      <c r="F17" s="926" t="s">
        <v>3</v>
      </c>
      <c r="G17" s="926" t="s">
        <v>4</v>
      </c>
      <c r="H17" s="926"/>
      <c r="I17" s="926" t="s">
        <v>5</v>
      </c>
      <c r="J17" s="927" t="s">
        <v>6</v>
      </c>
      <c r="K17" s="928" t="s">
        <v>7</v>
      </c>
      <c r="L17" s="929" t="s">
        <v>8</v>
      </c>
      <c r="M17" s="929" t="s">
        <v>9</v>
      </c>
      <c r="N17" s="929" t="s">
        <v>90</v>
      </c>
      <c r="O17" s="50" t="s">
        <v>316</v>
      </c>
    </row>
    <row r="18" spans="2:15" ht="17.25" thickTop="1">
      <c r="B18" s="35" t="s">
        <v>26</v>
      </c>
      <c r="C18" s="35">
        <v>74067</v>
      </c>
      <c r="D18" s="35" t="s">
        <v>19</v>
      </c>
      <c r="E18" s="35" t="s">
        <v>1883</v>
      </c>
      <c r="F18" s="35" t="s">
        <v>27</v>
      </c>
      <c r="G18" s="64" t="s">
        <v>91</v>
      </c>
      <c r="H18" s="64"/>
      <c r="I18" s="36" t="s">
        <v>93</v>
      </c>
      <c r="J18" s="203">
        <v>2017.04</v>
      </c>
      <c r="K18" s="234">
        <v>1097.3</v>
      </c>
      <c r="L18" s="204">
        <v>36420130792</v>
      </c>
      <c r="M18" s="204">
        <v>33190783610</v>
      </c>
      <c r="N18" s="204" t="s">
        <v>32</v>
      </c>
    </row>
    <row r="19" spans="2:15">
      <c r="B19" s="35" t="s">
        <v>22</v>
      </c>
      <c r="C19" s="35"/>
      <c r="D19" s="35" t="s">
        <v>19</v>
      </c>
      <c r="E19" s="35" t="s">
        <v>1883</v>
      </c>
      <c r="F19" s="35"/>
      <c r="G19" s="64" t="s">
        <v>778</v>
      </c>
      <c r="H19" s="64"/>
      <c r="I19" s="36" t="s">
        <v>779</v>
      </c>
      <c r="J19" s="235">
        <v>2021.05</v>
      </c>
      <c r="K19" s="234"/>
      <c r="L19" s="204"/>
      <c r="M19" s="204"/>
      <c r="N19" s="204"/>
    </row>
    <row r="20" spans="2:15">
      <c r="B20" s="35" t="s">
        <v>26</v>
      </c>
      <c r="C20" s="35"/>
      <c r="D20" s="35" t="s">
        <v>19</v>
      </c>
      <c r="E20" s="35" t="s">
        <v>1883</v>
      </c>
      <c r="F20" s="35"/>
      <c r="G20" s="64" t="s">
        <v>778</v>
      </c>
      <c r="H20" s="64"/>
      <c r="I20" s="36" t="s">
        <v>780</v>
      </c>
      <c r="J20" s="203">
        <v>2021.05</v>
      </c>
      <c r="K20" s="234"/>
      <c r="L20" s="204"/>
      <c r="M20" s="204"/>
      <c r="N20" s="204"/>
    </row>
    <row r="21" spans="2:15">
      <c r="B21" s="35" t="s">
        <v>22</v>
      </c>
      <c r="C21" s="35">
        <v>19100</v>
      </c>
      <c r="D21" s="35" t="s">
        <v>19</v>
      </c>
      <c r="E21" s="35" t="s">
        <v>1883</v>
      </c>
      <c r="F21" s="35" t="s">
        <v>23</v>
      </c>
      <c r="G21" s="64" t="s">
        <v>91</v>
      </c>
      <c r="H21" s="64"/>
      <c r="I21" s="217" t="s">
        <v>92</v>
      </c>
      <c r="J21" s="235">
        <v>2012.11</v>
      </c>
      <c r="K21" s="234">
        <v>496.48</v>
      </c>
      <c r="L21" s="204">
        <v>430828454</v>
      </c>
      <c r="M21" s="204">
        <v>867758687</v>
      </c>
      <c r="N21" s="204" t="s">
        <v>32</v>
      </c>
    </row>
  </sheetData>
  <phoneticPr fontId="2" type="noConversion"/>
  <conditionalFormatting sqref="E3">
    <cfRule type="duplicateValues" dxfId="14" priority="1"/>
  </conditionalFormatting>
  <hyperlinks>
    <hyperlink ref="H2" r:id="rId1" xr:uid="{00000000-0004-0000-0300-000000000000}"/>
    <hyperlink ref="H6" r:id="rId2" xr:uid="{00000000-0004-0000-0300-000001000000}"/>
  </hyperlinks>
  <pageMargins left="0.7" right="0.7" top="0.75" bottom="0.75" header="0.3" footer="0.3"/>
  <pageSetup paperSize="9" orientation="portrait"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tabColor theme="9" tint="0.59999389629810485"/>
  </sheetPr>
  <dimension ref="A1:N29"/>
  <sheetViews>
    <sheetView workbookViewId="0">
      <selection activeCell="H7" sqref="H7"/>
    </sheetView>
  </sheetViews>
  <sheetFormatPr defaultRowHeight="16.5"/>
  <cols>
    <col min="1" max="1" width="9" style="41"/>
    <col min="6" max="6" width="11" bestFit="1" customWidth="1"/>
    <col min="7" max="7" width="16.125" bestFit="1" customWidth="1"/>
    <col min="8" max="8" width="63.25" customWidth="1"/>
    <col min="9" max="9" width="11" bestFit="1" customWidth="1"/>
    <col min="10" max="10" width="11.375" bestFit="1" customWidth="1"/>
    <col min="11" max="12" width="17.875" bestFit="1" customWidth="1"/>
    <col min="13" max="13" width="14" bestFit="1" customWidth="1"/>
    <col min="14" max="16384" width="9" style="41"/>
  </cols>
  <sheetData>
    <row r="1" spans="1:14" ht="17.25" thickBot="1">
      <c r="A1" s="919" t="s">
        <v>2277</v>
      </c>
      <c r="B1" s="930" t="s">
        <v>0</v>
      </c>
      <c r="C1" s="931" t="s">
        <v>1</v>
      </c>
      <c r="D1" s="931" t="s">
        <v>17</v>
      </c>
      <c r="E1" s="931" t="s">
        <v>3</v>
      </c>
      <c r="F1" s="932" t="s">
        <v>4</v>
      </c>
      <c r="G1" s="932" t="s">
        <v>1826</v>
      </c>
      <c r="H1" s="933" t="s">
        <v>5</v>
      </c>
      <c r="I1" s="931" t="s">
        <v>18</v>
      </c>
      <c r="J1" s="931" t="s">
        <v>7</v>
      </c>
      <c r="K1" s="931" t="s">
        <v>8</v>
      </c>
      <c r="L1" s="931" t="s">
        <v>9</v>
      </c>
      <c r="M1" s="934" t="s">
        <v>65</v>
      </c>
      <c r="N1" s="18"/>
    </row>
    <row r="2" spans="1:14" s="367" customFormat="1">
      <c r="A2" s="48">
        <v>1</v>
      </c>
      <c r="B2" s="49" t="s">
        <v>66</v>
      </c>
      <c r="C2" s="49">
        <v>1512</v>
      </c>
      <c r="D2" s="49" t="s">
        <v>19</v>
      </c>
      <c r="E2" s="49" t="s">
        <v>27</v>
      </c>
      <c r="F2" s="531" t="s">
        <v>2511</v>
      </c>
      <c r="G2" s="531" t="s">
        <v>1839</v>
      </c>
      <c r="H2" s="496" t="s">
        <v>76</v>
      </c>
      <c r="I2" s="493">
        <v>2016.1</v>
      </c>
      <c r="J2" s="493">
        <v>999.68</v>
      </c>
      <c r="K2" s="532">
        <v>14929031018</v>
      </c>
      <c r="L2" s="532">
        <v>14933773442</v>
      </c>
      <c r="M2" s="532" t="s">
        <v>13</v>
      </c>
    </row>
    <row r="3" spans="1:14" s="367" customFormat="1">
      <c r="A3" s="48">
        <v>2</v>
      </c>
      <c r="B3" s="43" t="s">
        <v>66</v>
      </c>
      <c r="C3" s="43">
        <v>1513</v>
      </c>
      <c r="D3" s="43" t="s">
        <v>19</v>
      </c>
      <c r="E3" s="43" t="s">
        <v>27</v>
      </c>
      <c r="F3" s="533" t="s">
        <v>2511</v>
      </c>
      <c r="G3" s="531" t="s">
        <v>1840</v>
      </c>
      <c r="H3" s="213" t="s">
        <v>77</v>
      </c>
      <c r="I3" s="199">
        <v>2016.1</v>
      </c>
      <c r="J3" s="197">
        <v>1019.49</v>
      </c>
      <c r="K3" s="534">
        <v>7473315148</v>
      </c>
      <c r="L3" s="534">
        <v>7330411653</v>
      </c>
      <c r="M3" s="532" t="s">
        <v>13</v>
      </c>
    </row>
    <row r="4" spans="1:14" s="367" customFormat="1">
      <c r="A4" s="48">
        <v>3</v>
      </c>
      <c r="B4" s="43" t="s">
        <v>66</v>
      </c>
      <c r="C4" s="43">
        <v>1711</v>
      </c>
      <c r="D4" s="43" t="s">
        <v>19</v>
      </c>
      <c r="E4" s="43" t="s">
        <v>29</v>
      </c>
      <c r="F4" s="533" t="s">
        <v>2511</v>
      </c>
      <c r="G4" s="531" t="s">
        <v>1841</v>
      </c>
      <c r="H4" s="213" t="s">
        <v>78</v>
      </c>
      <c r="I4" s="199">
        <v>2015.1</v>
      </c>
      <c r="J4" s="197">
        <v>922.21</v>
      </c>
      <c r="K4" s="534">
        <v>10292726876</v>
      </c>
      <c r="L4" s="534">
        <v>11160893595</v>
      </c>
      <c r="M4" s="197" t="s">
        <v>13</v>
      </c>
    </row>
    <row r="5" spans="1:14" s="367" customFormat="1" ht="15.75" customHeight="1">
      <c r="A5" s="48">
        <v>4</v>
      </c>
      <c r="B5" s="43" t="s">
        <v>66</v>
      </c>
      <c r="C5" s="43">
        <v>1800</v>
      </c>
      <c r="D5" s="43" t="s">
        <v>19</v>
      </c>
      <c r="E5" s="43" t="s">
        <v>29</v>
      </c>
      <c r="F5" s="533" t="s">
        <v>2511</v>
      </c>
      <c r="G5" s="531" t="s">
        <v>1842</v>
      </c>
      <c r="H5" s="533" t="s">
        <v>68</v>
      </c>
      <c r="I5" s="199">
        <v>2016.1</v>
      </c>
      <c r="J5" s="197">
        <v>1225.6400000000001</v>
      </c>
      <c r="K5" s="535">
        <v>15177908752</v>
      </c>
      <c r="L5" s="535">
        <v>12383639691</v>
      </c>
      <c r="M5" s="534" t="s">
        <v>13</v>
      </c>
    </row>
    <row r="6" spans="1:14" s="367" customFormat="1">
      <c r="A6" s="48">
        <v>5</v>
      </c>
      <c r="B6" s="43" t="s">
        <v>66</v>
      </c>
      <c r="C6" s="43">
        <v>1804</v>
      </c>
      <c r="D6" s="43" t="s">
        <v>19</v>
      </c>
      <c r="E6" s="43" t="s">
        <v>27</v>
      </c>
      <c r="F6" s="533" t="s">
        <v>2511</v>
      </c>
      <c r="G6" s="531" t="s">
        <v>1843</v>
      </c>
      <c r="H6" s="533" t="s">
        <v>71</v>
      </c>
      <c r="I6" s="197">
        <v>2018.02</v>
      </c>
      <c r="J6" s="197">
        <v>2161.17</v>
      </c>
      <c r="K6" s="535">
        <v>7076180853</v>
      </c>
      <c r="L6" s="535">
        <v>3274240620</v>
      </c>
      <c r="M6" s="534" t="s">
        <v>13</v>
      </c>
    </row>
    <row r="7" spans="1:14" s="367" customFormat="1">
      <c r="A7" s="48">
        <v>6</v>
      </c>
      <c r="B7" s="43" t="s">
        <v>66</v>
      </c>
      <c r="C7" s="43">
        <v>1805</v>
      </c>
      <c r="D7" s="43" t="s">
        <v>19</v>
      </c>
      <c r="E7" s="43" t="s">
        <v>27</v>
      </c>
      <c r="F7" s="533" t="s">
        <v>2511</v>
      </c>
      <c r="G7" s="531" t="s">
        <v>1844</v>
      </c>
      <c r="H7" s="533" t="s">
        <v>72</v>
      </c>
      <c r="I7" s="197">
        <v>2018.02</v>
      </c>
      <c r="J7" s="197">
        <v>2111.7600000000002</v>
      </c>
      <c r="K7" s="535">
        <v>4717121512</v>
      </c>
      <c r="L7" s="535">
        <v>2233736996</v>
      </c>
      <c r="M7" s="534" t="s">
        <v>13</v>
      </c>
    </row>
    <row r="8" spans="1:14" s="367" customFormat="1">
      <c r="A8" s="48">
        <v>7</v>
      </c>
      <c r="B8" s="43" t="s">
        <v>66</v>
      </c>
      <c r="C8" s="43">
        <v>1810</v>
      </c>
      <c r="D8" s="43" t="s">
        <v>19</v>
      </c>
      <c r="E8" s="43" t="s">
        <v>11</v>
      </c>
      <c r="F8" s="533" t="s">
        <v>2511</v>
      </c>
      <c r="G8" s="531" t="s">
        <v>2031</v>
      </c>
      <c r="H8" s="533" t="s">
        <v>69</v>
      </c>
      <c r="I8" s="197">
        <v>2017.01</v>
      </c>
      <c r="J8" s="197">
        <v>1038.57</v>
      </c>
      <c r="K8" s="535">
        <v>12753915972</v>
      </c>
      <c r="L8" s="535">
        <v>12280278880</v>
      </c>
      <c r="M8" s="534" t="s">
        <v>13</v>
      </c>
    </row>
    <row r="9" spans="1:14">
      <c r="A9" s="48">
        <v>8</v>
      </c>
      <c r="B9" s="43" t="s">
        <v>66</v>
      </c>
      <c r="C9" s="43">
        <v>1850</v>
      </c>
      <c r="D9" s="43" t="s">
        <v>19</v>
      </c>
      <c r="E9" s="43" t="s">
        <v>11</v>
      </c>
      <c r="F9" s="533" t="s">
        <v>2511</v>
      </c>
      <c r="G9" s="531" t="s">
        <v>1845</v>
      </c>
      <c r="H9" s="533" t="s">
        <v>1618</v>
      </c>
      <c r="I9" s="197">
        <v>2018.02</v>
      </c>
      <c r="J9" s="197">
        <v>851.56</v>
      </c>
      <c r="K9" s="535">
        <v>6367081632</v>
      </c>
      <c r="L9" s="535">
        <v>7476991302</v>
      </c>
      <c r="M9" s="534" t="s">
        <v>13</v>
      </c>
    </row>
    <row r="10" spans="1:14">
      <c r="A10" s="48">
        <v>9</v>
      </c>
      <c r="B10" s="43" t="s">
        <v>66</v>
      </c>
      <c r="C10" s="43">
        <v>8155</v>
      </c>
      <c r="D10" s="43" t="s">
        <v>19</v>
      </c>
      <c r="E10" s="43" t="s">
        <v>11</v>
      </c>
      <c r="F10" s="533" t="s">
        <v>2511</v>
      </c>
      <c r="G10" s="531" t="s">
        <v>1846</v>
      </c>
      <c r="H10" s="533" t="s">
        <v>1619</v>
      </c>
      <c r="I10" s="197">
        <v>2018.09</v>
      </c>
      <c r="J10" s="199">
        <v>843.93</v>
      </c>
      <c r="K10" s="535">
        <v>6318542387</v>
      </c>
      <c r="L10" s="535">
        <v>7487006271</v>
      </c>
      <c r="M10" s="534" t="s">
        <v>13</v>
      </c>
    </row>
    <row r="11" spans="1:14" s="497" customFormat="1">
      <c r="A11" s="48">
        <v>10</v>
      </c>
      <c r="B11" s="43" t="s">
        <v>66</v>
      </c>
      <c r="C11" s="43">
        <v>8164</v>
      </c>
      <c r="D11" s="43" t="s">
        <v>19</v>
      </c>
      <c r="E11" s="43" t="s">
        <v>11</v>
      </c>
      <c r="F11" s="533" t="s">
        <v>2511</v>
      </c>
      <c r="G11" s="531" t="s">
        <v>1847</v>
      </c>
      <c r="H11" s="533" t="s">
        <v>1838</v>
      </c>
      <c r="I11" s="197">
        <v>2019.04</v>
      </c>
      <c r="J11" s="197">
        <v>1057.1300000000001</v>
      </c>
      <c r="K11" s="535">
        <v>6335807646</v>
      </c>
      <c r="L11" s="535">
        <v>5993420457</v>
      </c>
      <c r="M11" s="534" t="s">
        <v>13</v>
      </c>
    </row>
    <row r="12" spans="1:14">
      <c r="A12" s="48">
        <v>11</v>
      </c>
      <c r="B12" s="43" t="s">
        <v>66</v>
      </c>
      <c r="C12" s="43">
        <v>8169</v>
      </c>
      <c r="D12" s="43" t="s">
        <v>19</v>
      </c>
      <c r="E12" s="43" t="s">
        <v>73</v>
      </c>
      <c r="F12" s="533" t="s">
        <v>2511</v>
      </c>
      <c r="G12" s="531" t="s">
        <v>1848</v>
      </c>
      <c r="H12" s="533" t="s">
        <v>1621</v>
      </c>
      <c r="I12" s="197">
        <v>2019.1</v>
      </c>
      <c r="J12" s="197">
        <v>810.06</v>
      </c>
      <c r="K12" s="535">
        <v>6673319723</v>
      </c>
      <c r="L12" s="535">
        <v>8238014775</v>
      </c>
      <c r="M12" s="534" t="s">
        <v>13</v>
      </c>
    </row>
    <row r="13" spans="1:14" s="367" customFormat="1">
      <c r="A13" s="48">
        <v>12</v>
      </c>
      <c r="B13" s="43" t="s">
        <v>66</v>
      </c>
      <c r="C13" s="43">
        <v>73070</v>
      </c>
      <c r="D13" s="43" t="s">
        <v>19</v>
      </c>
      <c r="E13" s="43" t="s">
        <v>11</v>
      </c>
      <c r="F13" s="533" t="s">
        <v>2511</v>
      </c>
      <c r="G13" s="531" t="s">
        <v>1849</v>
      </c>
      <c r="H13" s="533" t="s">
        <v>70</v>
      </c>
      <c r="I13" s="197">
        <v>2018.08</v>
      </c>
      <c r="J13" s="199">
        <v>1657.85</v>
      </c>
      <c r="K13" s="535">
        <v>15092565823</v>
      </c>
      <c r="L13" s="535">
        <v>9103721828</v>
      </c>
      <c r="M13" s="534" t="s">
        <v>13</v>
      </c>
    </row>
    <row r="14" spans="1:14" s="367" customFormat="1">
      <c r="A14" s="48">
        <v>13</v>
      </c>
      <c r="B14" s="43" t="s">
        <v>66</v>
      </c>
      <c r="C14" s="43">
        <v>97000</v>
      </c>
      <c r="D14" s="43" t="s">
        <v>19</v>
      </c>
      <c r="E14" s="43" t="s">
        <v>29</v>
      </c>
      <c r="F14" s="533" t="s">
        <v>2511</v>
      </c>
      <c r="G14" s="531" t="s">
        <v>2311</v>
      </c>
      <c r="H14" s="533" t="s">
        <v>75</v>
      </c>
      <c r="I14" s="197">
        <v>2020.01</v>
      </c>
      <c r="J14" s="197">
        <v>1317.17</v>
      </c>
      <c r="K14" s="536">
        <v>25265092958</v>
      </c>
      <c r="L14" s="536">
        <v>19181398805</v>
      </c>
      <c r="M14" s="197" t="s">
        <v>13</v>
      </c>
    </row>
    <row r="15" spans="1:14" ht="15.75" customHeight="1">
      <c r="A15" s="48">
        <v>14</v>
      </c>
      <c r="B15" s="43" t="s">
        <v>66</v>
      </c>
      <c r="C15" s="1054">
        <v>50011</v>
      </c>
      <c r="D15" s="43" t="s">
        <v>33</v>
      </c>
      <c r="E15" s="43" t="s">
        <v>28</v>
      </c>
      <c r="F15" s="533" t="s">
        <v>2308</v>
      </c>
      <c r="G15" s="531" t="s">
        <v>2012</v>
      </c>
      <c r="H15" s="213" t="s">
        <v>800</v>
      </c>
      <c r="I15" s="199">
        <v>2019.08</v>
      </c>
      <c r="J15" s="197">
        <v>977.45</v>
      </c>
      <c r="K15" s="534">
        <v>1401000000</v>
      </c>
      <c r="L15" s="534">
        <v>1370000000</v>
      </c>
      <c r="M15" s="197" t="s">
        <v>13</v>
      </c>
    </row>
    <row r="16" spans="1:14" s="367" customFormat="1">
      <c r="A16" s="48">
        <v>15</v>
      </c>
      <c r="B16" s="43" t="s">
        <v>66</v>
      </c>
      <c r="C16" s="1054">
        <v>57471</v>
      </c>
      <c r="D16" s="43" t="s">
        <v>33</v>
      </c>
      <c r="E16" s="43" t="s">
        <v>165</v>
      </c>
      <c r="F16" s="533" t="s">
        <v>2308</v>
      </c>
      <c r="G16" s="531" t="s">
        <v>2310</v>
      </c>
      <c r="H16" s="213" t="s">
        <v>2309</v>
      </c>
      <c r="I16" s="199">
        <v>2022.05</v>
      </c>
      <c r="J16" s="199">
        <v>1038.54</v>
      </c>
      <c r="K16" s="534">
        <v>8981000000</v>
      </c>
      <c r="L16" s="534">
        <v>8648000000</v>
      </c>
      <c r="M16" s="197" t="s">
        <v>13</v>
      </c>
    </row>
    <row r="17" spans="1:13">
      <c r="A17" s="48">
        <v>16</v>
      </c>
      <c r="B17" s="43" t="s">
        <v>66</v>
      </c>
      <c r="C17" s="1054">
        <v>57500</v>
      </c>
      <c r="D17" s="43" t="s">
        <v>33</v>
      </c>
      <c r="E17" s="43" t="s">
        <v>165</v>
      </c>
      <c r="F17" s="533" t="s">
        <v>2308</v>
      </c>
      <c r="G17" s="531" t="s">
        <v>2312</v>
      </c>
      <c r="H17" s="537" t="s">
        <v>2314</v>
      </c>
      <c r="I17" s="199">
        <v>2023.04</v>
      </c>
      <c r="J17" s="537">
        <v>1000</v>
      </c>
      <c r="K17" s="534">
        <v>200000000</v>
      </c>
      <c r="L17" s="534">
        <v>200000000</v>
      </c>
      <c r="M17" s="537"/>
    </row>
    <row r="18" spans="1:13" s="367" customFormat="1">
      <c r="A18" s="48">
        <v>17</v>
      </c>
      <c r="B18" s="43" t="s">
        <v>66</v>
      </c>
      <c r="C18" s="1054">
        <v>57516</v>
      </c>
      <c r="D18" s="43" t="s">
        <v>33</v>
      </c>
      <c r="E18" s="43" t="s">
        <v>165</v>
      </c>
      <c r="F18" s="533" t="s">
        <v>2308</v>
      </c>
      <c r="G18" s="531" t="s">
        <v>2313</v>
      </c>
      <c r="H18" s="537" t="s">
        <v>2315</v>
      </c>
      <c r="I18" s="199">
        <v>2023.04</v>
      </c>
      <c r="J18" s="537">
        <v>1000</v>
      </c>
      <c r="K18" s="534">
        <v>200000000</v>
      </c>
      <c r="L18" s="534">
        <v>200000000</v>
      </c>
      <c r="M18" s="537"/>
    </row>
    <row r="19" spans="1:13" s="358" customFormat="1">
      <c r="A19" s="34">
        <v>18</v>
      </c>
      <c r="B19" s="35" t="s">
        <v>66</v>
      </c>
      <c r="C19" s="1060">
        <v>99801</v>
      </c>
      <c r="D19" s="35" t="s">
        <v>33</v>
      </c>
      <c r="E19" s="35" t="s">
        <v>28</v>
      </c>
      <c r="F19" s="217" t="s">
        <v>2931</v>
      </c>
      <c r="G19" s="531" t="s">
        <v>2930</v>
      </c>
      <c r="H19" s="1059" t="s">
        <v>2929</v>
      </c>
      <c r="I19" s="203">
        <v>2018.07</v>
      </c>
      <c r="J19" s="203">
        <v>2678.45</v>
      </c>
      <c r="K19" s="1058">
        <v>16628118376</v>
      </c>
      <c r="L19" s="1058">
        <v>6126490507</v>
      </c>
      <c r="M19" s="64" t="s">
        <v>13</v>
      </c>
    </row>
    <row r="20" spans="1:13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</row>
    <row r="24" spans="1:13" ht="17.25" thickBot="1">
      <c r="A24" s="935" t="s">
        <v>2307</v>
      </c>
    </row>
    <row r="25" spans="1:13" ht="17.25" thickBot="1">
      <c r="A25" s="919" t="s">
        <v>2277</v>
      </c>
      <c r="B25" s="930" t="s">
        <v>0</v>
      </c>
      <c r="C25" s="931" t="s">
        <v>1</v>
      </c>
      <c r="D25" s="931" t="s">
        <v>17</v>
      </c>
      <c r="E25" s="931" t="s">
        <v>3</v>
      </c>
      <c r="F25" s="932" t="s">
        <v>4</v>
      </c>
      <c r="G25" s="932" t="s">
        <v>1826</v>
      </c>
      <c r="H25" s="933" t="s">
        <v>5</v>
      </c>
      <c r="I25" s="931" t="s">
        <v>18</v>
      </c>
      <c r="J25" s="931" t="s">
        <v>7</v>
      </c>
      <c r="K25" s="931" t="s">
        <v>8</v>
      </c>
      <c r="L25" s="931" t="s">
        <v>9</v>
      </c>
      <c r="M25" s="934" t="s">
        <v>65</v>
      </c>
    </row>
    <row r="26" spans="1:13">
      <c r="A26" s="34">
        <v>1</v>
      </c>
      <c r="B26" s="5" t="s">
        <v>66</v>
      </c>
      <c r="C26" s="192" t="s">
        <v>799</v>
      </c>
      <c r="D26" s="5" t="s">
        <v>33</v>
      </c>
      <c r="E26" s="5" t="s">
        <v>28</v>
      </c>
      <c r="F26" s="217" t="s">
        <v>790</v>
      </c>
      <c r="G26" s="236"/>
      <c r="H26" s="213" t="s">
        <v>801</v>
      </c>
      <c r="I26" s="42">
        <v>2016.12</v>
      </c>
      <c r="J26" s="224">
        <v>1144.02</v>
      </c>
      <c r="K26" s="219">
        <v>10545000000</v>
      </c>
      <c r="L26" s="219">
        <v>9218000000</v>
      </c>
      <c r="M26" s="219" t="s">
        <v>32</v>
      </c>
    </row>
    <row r="27" spans="1:13">
      <c r="A27" s="34">
        <v>2</v>
      </c>
      <c r="B27" s="214" t="s">
        <v>66</v>
      </c>
      <c r="C27" s="215" t="s">
        <v>793</v>
      </c>
      <c r="D27" s="214" t="s">
        <v>19</v>
      </c>
      <c r="E27" s="214" t="s">
        <v>792</v>
      </c>
      <c r="F27" s="220" t="s">
        <v>790</v>
      </c>
      <c r="G27" s="429"/>
      <c r="H27" s="216" t="s">
        <v>791</v>
      </c>
      <c r="I27" s="221">
        <v>2021.06</v>
      </c>
      <c r="J27" s="222" t="s">
        <v>21</v>
      </c>
      <c r="K27" s="223" t="s">
        <v>21</v>
      </c>
      <c r="L27" s="223" t="s">
        <v>21</v>
      </c>
      <c r="M27" s="223"/>
    </row>
    <row r="28" spans="1:13">
      <c r="A28" s="34">
        <v>3</v>
      </c>
      <c r="B28" s="5" t="s">
        <v>66</v>
      </c>
      <c r="C28" s="5"/>
      <c r="D28" s="5" t="s">
        <v>19</v>
      </c>
      <c r="E28" s="5"/>
      <c r="F28" s="217" t="s">
        <v>2221</v>
      </c>
      <c r="G28" s="429"/>
      <c r="H28" s="213" t="s">
        <v>765</v>
      </c>
      <c r="I28" s="42">
        <v>2021.03</v>
      </c>
      <c r="J28" s="218" t="s">
        <v>21</v>
      </c>
      <c r="K28" s="219" t="s">
        <v>21</v>
      </c>
      <c r="L28" s="219" t="s">
        <v>21</v>
      </c>
      <c r="M28" s="219" t="s">
        <v>32</v>
      </c>
    </row>
    <row r="29" spans="1:13">
      <c r="A29" s="34">
        <v>4</v>
      </c>
      <c r="B29" s="5" t="s">
        <v>66</v>
      </c>
      <c r="C29" s="5"/>
      <c r="D29" s="5" t="s">
        <v>19</v>
      </c>
      <c r="E29" s="5"/>
      <c r="F29" s="217" t="s">
        <v>2221</v>
      </c>
      <c r="G29" s="429"/>
      <c r="H29" s="213" t="s">
        <v>766</v>
      </c>
      <c r="I29" s="42">
        <v>2021.03</v>
      </c>
      <c r="J29" s="218" t="s">
        <v>21</v>
      </c>
      <c r="K29" s="219" t="s">
        <v>21</v>
      </c>
      <c r="L29" s="219" t="s">
        <v>21</v>
      </c>
      <c r="M29" s="219" t="s">
        <v>32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theme="9" tint="0.59999389629810485"/>
  </sheetPr>
  <dimension ref="A1:L6"/>
  <sheetViews>
    <sheetView workbookViewId="0">
      <selection activeCell="F10" sqref="F10"/>
    </sheetView>
  </sheetViews>
  <sheetFormatPr defaultRowHeight="16.5"/>
  <cols>
    <col min="1" max="1" width="10.25" bestFit="1" customWidth="1"/>
    <col min="4" max="4" width="18.625" bestFit="1" customWidth="1"/>
    <col min="5" max="5" width="9.125" customWidth="1"/>
    <col min="6" max="6" width="23.875" bestFit="1" customWidth="1"/>
    <col min="7" max="7" width="63.875" bestFit="1" customWidth="1"/>
    <col min="8" max="8" width="11" bestFit="1" customWidth="1"/>
    <col min="9" max="9" width="11.125" bestFit="1" customWidth="1"/>
    <col min="10" max="11" width="19.125" bestFit="1" customWidth="1"/>
    <col min="12" max="12" width="32.125" bestFit="1" customWidth="1"/>
  </cols>
  <sheetData>
    <row r="1" spans="1:12">
      <c r="A1" s="936" t="s">
        <v>0</v>
      </c>
      <c r="B1" s="937" t="s">
        <v>1</v>
      </c>
      <c r="C1" s="937" t="s">
        <v>17</v>
      </c>
      <c r="D1" s="937" t="s">
        <v>2010</v>
      </c>
      <c r="E1" s="937" t="s">
        <v>3</v>
      </c>
      <c r="F1" s="937" t="s">
        <v>35</v>
      </c>
      <c r="G1" s="937" t="s">
        <v>5</v>
      </c>
      <c r="H1" s="938" t="s">
        <v>18</v>
      </c>
      <c r="I1" s="939" t="s">
        <v>7</v>
      </c>
      <c r="J1" s="940" t="s">
        <v>8</v>
      </c>
      <c r="K1" s="941" t="s">
        <v>9</v>
      </c>
      <c r="L1" s="941" t="s">
        <v>65</v>
      </c>
    </row>
    <row r="2" spans="1:12" s="367" customFormat="1">
      <c r="A2" s="35" t="s">
        <v>14</v>
      </c>
      <c r="B2" s="35">
        <v>95389</v>
      </c>
      <c r="C2" s="35" t="s">
        <v>19</v>
      </c>
      <c r="D2" s="35" t="s">
        <v>2011</v>
      </c>
      <c r="E2" s="35" t="s">
        <v>15</v>
      </c>
      <c r="F2" s="495" t="s">
        <v>20</v>
      </c>
      <c r="G2" s="495" t="s">
        <v>12</v>
      </c>
      <c r="H2" s="34">
        <v>2011.05</v>
      </c>
      <c r="I2" s="34">
        <v>1189.8699999999999</v>
      </c>
      <c r="J2" s="513">
        <v>204416541378</v>
      </c>
      <c r="K2" s="513">
        <v>171797955670</v>
      </c>
      <c r="L2" s="34" t="s">
        <v>13</v>
      </c>
    </row>
    <row r="3" spans="1:12" s="465" customFormat="1"/>
    <row r="4" spans="1:12">
      <c r="A4" s="935" t="s">
        <v>2344</v>
      </c>
    </row>
    <row r="5" spans="1:12">
      <c r="A5" s="936" t="s">
        <v>0</v>
      </c>
      <c r="B5" s="937" t="s">
        <v>1</v>
      </c>
      <c r="C5" s="937" t="s">
        <v>17</v>
      </c>
      <c r="D5" s="937" t="s">
        <v>2010</v>
      </c>
      <c r="E5" s="937" t="s">
        <v>3</v>
      </c>
      <c r="F5" s="937" t="s">
        <v>35</v>
      </c>
      <c r="G5" s="937" t="s">
        <v>5</v>
      </c>
      <c r="H5" s="938" t="s">
        <v>18</v>
      </c>
      <c r="I5" s="939" t="s">
        <v>7</v>
      </c>
      <c r="J5" s="940" t="s">
        <v>8</v>
      </c>
      <c r="K5" s="941" t="s">
        <v>9</v>
      </c>
      <c r="L5" s="941" t="s">
        <v>65</v>
      </c>
    </row>
    <row r="6" spans="1:12">
      <c r="A6" s="214" t="s">
        <v>14</v>
      </c>
      <c r="B6" s="214">
        <v>95364</v>
      </c>
      <c r="C6" s="214" t="s">
        <v>19</v>
      </c>
      <c r="D6" s="214"/>
      <c r="E6" s="214" t="s">
        <v>15</v>
      </c>
      <c r="F6" s="462" t="s">
        <v>20</v>
      </c>
      <c r="G6" s="463" t="s">
        <v>16</v>
      </c>
      <c r="H6" s="464">
        <v>2009.09</v>
      </c>
      <c r="I6" s="464">
        <v>385.31</v>
      </c>
      <c r="J6" s="464">
        <v>140.45947057999999</v>
      </c>
      <c r="K6" s="464"/>
      <c r="L6" s="464" t="s">
        <v>21</v>
      </c>
    </row>
  </sheetData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theme="9" tint="0.59999389629810485"/>
  </sheetPr>
  <dimension ref="A1:N14"/>
  <sheetViews>
    <sheetView workbookViewId="0">
      <selection activeCell="H20" sqref="H20"/>
    </sheetView>
  </sheetViews>
  <sheetFormatPr defaultRowHeight="16.5"/>
  <cols>
    <col min="3" max="3" width="9.125" bestFit="1" customWidth="1"/>
    <col min="4" max="4" width="10.25" customWidth="1"/>
    <col min="5" max="5" width="15" bestFit="1" customWidth="1"/>
    <col min="6" max="6" width="11" bestFit="1" customWidth="1"/>
    <col min="7" max="7" width="12.5" customWidth="1"/>
    <col min="8" max="8" width="63.625" customWidth="1"/>
    <col min="9" max="9" width="12.5" bestFit="1" customWidth="1"/>
    <col min="10" max="10" width="11.125" bestFit="1" customWidth="1"/>
    <col min="11" max="12" width="19.25" bestFit="1" customWidth="1"/>
    <col min="13" max="13" width="22.75" customWidth="1"/>
  </cols>
  <sheetData>
    <row r="1" spans="1:14">
      <c r="A1" s="942" t="s">
        <v>2345</v>
      </c>
      <c r="B1" s="942" t="s">
        <v>0</v>
      </c>
      <c r="C1" s="942" t="s">
        <v>1</v>
      </c>
      <c r="D1" s="942" t="s">
        <v>17</v>
      </c>
      <c r="E1" s="942" t="s">
        <v>1862</v>
      </c>
      <c r="F1" s="942" t="s">
        <v>3</v>
      </c>
      <c r="G1" s="942" t="s">
        <v>4</v>
      </c>
      <c r="H1" s="942" t="s">
        <v>5</v>
      </c>
      <c r="I1" s="943" t="s">
        <v>18</v>
      </c>
      <c r="J1" s="944" t="s">
        <v>7</v>
      </c>
      <c r="K1" s="945" t="s">
        <v>8</v>
      </c>
      <c r="L1" s="945" t="s">
        <v>9</v>
      </c>
      <c r="M1" s="945" t="s">
        <v>65</v>
      </c>
    </row>
    <row r="2" spans="1:14" s="367" customFormat="1">
      <c r="A2" s="34">
        <v>1</v>
      </c>
      <c r="B2" s="35" t="s">
        <v>55</v>
      </c>
      <c r="C2" s="35">
        <v>59636</v>
      </c>
      <c r="D2" s="35" t="s">
        <v>33</v>
      </c>
      <c r="E2" s="35" t="s">
        <v>1893</v>
      </c>
      <c r="F2" s="35" t="s">
        <v>28</v>
      </c>
      <c r="G2" s="34" t="s">
        <v>56</v>
      </c>
      <c r="H2" s="495" t="s">
        <v>1504</v>
      </c>
      <c r="I2" s="511">
        <v>42655</v>
      </c>
      <c r="J2" s="512">
        <v>1443.54</v>
      </c>
      <c r="K2" s="513">
        <v>12694136020</v>
      </c>
      <c r="L2" s="513">
        <v>8793755121</v>
      </c>
      <c r="M2" s="513" t="s">
        <v>13</v>
      </c>
    </row>
    <row r="3" spans="1:14" s="367" customFormat="1">
      <c r="A3" s="34">
        <v>2</v>
      </c>
      <c r="B3" s="35" t="s">
        <v>57</v>
      </c>
      <c r="C3" s="35">
        <v>57188</v>
      </c>
      <c r="D3" s="35" t="s">
        <v>33</v>
      </c>
      <c r="E3" s="35" t="s">
        <v>1894</v>
      </c>
      <c r="F3" s="35" t="s">
        <v>58</v>
      </c>
      <c r="G3" s="34" t="s">
        <v>56</v>
      </c>
      <c r="H3" s="495" t="s">
        <v>59</v>
      </c>
      <c r="I3" s="511">
        <v>39153</v>
      </c>
      <c r="J3" s="512">
        <v>1832.71</v>
      </c>
      <c r="K3" s="513">
        <v>132705868359</v>
      </c>
      <c r="L3" s="513">
        <v>72409634299</v>
      </c>
      <c r="M3" s="513" t="s">
        <v>13</v>
      </c>
    </row>
    <row r="4" spans="1:14" s="367" customFormat="1">
      <c r="A4" s="34">
        <v>3</v>
      </c>
      <c r="B4" s="35" t="s">
        <v>57</v>
      </c>
      <c r="C4" s="35">
        <v>59561</v>
      </c>
      <c r="D4" s="35" t="s">
        <v>33</v>
      </c>
      <c r="E4" s="35" t="s">
        <v>1895</v>
      </c>
      <c r="F4" s="35" t="s">
        <v>28</v>
      </c>
      <c r="G4" s="34" t="s">
        <v>56</v>
      </c>
      <c r="H4" s="495" t="s">
        <v>60</v>
      </c>
      <c r="I4" s="511">
        <v>42426</v>
      </c>
      <c r="J4" s="512">
        <v>1787.89</v>
      </c>
      <c r="K4" s="513">
        <v>141143635059</v>
      </c>
      <c r="L4" s="513">
        <v>78944374109</v>
      </c>
      <c r="M4" s="513" t="s">
        <v>13</v>
      </c>
    </row>
    <row r="5" spans="1:14">
      <c r="A5" s="34">
        <v>4</v>
      </c>
      <c r="B5" s="35" t="s">
        <v>55</v>
      </c>
      <c r="C5" s="35">
        <v>59818</v>
      </c>
      <c r="D5" s="35" t="s">
        <v>33</v>
      </c>
      <c r="E5" s="510" t="s">
        <v>2348</v>
      </c>
      <c r="F5" s="35" t="s">
        <v>27</v>
      </c>
      <c r="G5" s="34" t="s">
        <v>56</v>
      </c>
      <c r="H5" s="495" t="s">
        <v>61</v>
      </c>
      <c r="I5" s="511">
        <v>42794</v>
      </c>
      <c r="J5" s="512">
        <v>1297.75</v>
      </c>
      <c r="K5" s="513">
        <v>17246000000</v>
      </c>
      <c r="L5" s="513">
        <v>13289000000</v>
      </c>
      <c r="M5" s="513" t="s">
        <v>32</v>
      </c>
    </row>
    <row r="6" spans="1:14">
      <c r="A6" s="34">
        <v>5</v>
      </c>
      <c r="B6" s="35" t="s">
        <v>55</v>
      </c>
      <c r="C6" s="35">
        <v>59632</v>
      </c>
      <c r="D6" s="35" t="s">
        <v>33</v>
      </c>
      <c r="E6" s="510" t="s">
        <v>2349</v>
      </c>
      <c r="F6" s="35" t="s">
        <v>28</v>
      </c>
      <c r="G6" s="34" t="s">
        <v>56</v>
      </c>
      <c r="H6" s="495" t="s">
        <v>62</v>
      </c>
      <c r="I6" s="511">
        <v>42564</v>
      </c>
      <c r="J6" s="512">
        <v>1778.75</v>
      </c>
      <c r="K6" s="513">
        <v>11273000000</v>
      </c>
      <c r="L6" s="513">
        <v>6338000000</v>
      </c>
      <c r="M6" s="513" t="s">
        <v>32</v>
      </c>
    </row>
    <row r="7" spans="1:14">
      <c r="A7" s="34">
        <v>6</v>
      </c>
      <c r="B7" s="52" t="s">
        <v>57</v>
      </c>
      <c r="C7" s="35">
        <v>60154</v>
      </c>
      <c r="D7" s="52" t="s">
        <v>33</v>
      </c>
      <c r="E7" s="510" t="s">
        <v>2350</v>
      </c>
      <c r="F7" s="52" t="s">
        <v>29</v>
      </c>
      <c r="G7" s="73" t="s">
        <v>56</v>
      </c>
      <c r="H7" s="514" t="s">
        <v>63</v>
      </c>
      <c r="I7" s="515">
        <v>43866</v>
      </c>
      <c r="J7" s="30">
        <v>1769.85</v>
      </c>
      <c r="K7" s="3">
        <v>255399000000</v>
      </c>
      <c r="L7" s="3">
        <v>144306000000</v>
      </c>
      <c r="M7" s="3" t="s">
        <v>32</v>
      </c>
      <c r="N7" s="1"/>
    </row>
    <row r="8" spans="1:14" s="367" customFormat="1">
      <c r="A8" s="34">
        <v>7</v>
      </c>
      <c r="B8" s="35" t="s">
        <v>57</v>
      </c>
      <c r="C8" s="35">
        <v>60155</v>
      </c>
      <c r="D8" s="35" t="s">
        <v>33</v>
      </c>
      <c r="E8" s="35" t="s">
        <v>1896</v>
      </c>
      <c r="F8" s="35" t="s">
        <v>29</v>
      </c>
      <c r="G8" s="34" t="s">
        <v>56</v>
      </c>
      <c r="H8" s="495" t="s">
        <v>64</v>
      </c>
      <c r="I8" s="511">
        <v>43866</v>
      </c>
      <c r="J8" s="512">
        <v>1836.16</v>
      </c>
      <c r="K8" s="513">
        <v>347699472489</v>
      </c>
      <c r="L8" s="513">
        <v>189362702607</v>
      </c>
      <c r="M8" s="513" t="s">
        <v>13</v>
      </c>
    </row>
    <row r="9" spans="1:14">
      <c r="A9" s="34">
        <v>8</v>
      </c>
      <c r="B9" s="52" t="s">
        <v>57</v>
      </c>
      <c r="C9" s="35">
        <v>60272</v>
      </c>
      <c r="D9" s="52" t="s">
        <v>33</v>
      </c>
      <c r="E9" s="510" t="s">
        <v>2351</v>
      </c>
      <c r="F9" s="52" t="s">
        <v>58</v>
      </c>
      <c r="G9" s="73" t="s">
        <v>56</v>
      </c>
      <c r="H9" s="514" t="s">
        <v>777</v>
      </c>
      <c r="I9" s="515">
        <v>44287</v>
      </c>
      <c r="J9" s="30" t="s">
        <v>21</v>
      </c>
      <c r="K9" s="3" t="s">
        <v>21</v>
      </c>
      <c r="L9" s="3" t="s">
        <v>21</v>
      </c>
      <c r="M9" s="3" t="s">
        <v>32</v>
      </c>
    </row>
    <row r="10" spans="1:14">
      <c r="A10" s="34">
        <v>9</v>
      </c>
      <c r="B10" s="52" t="s">
        <v>57</v>
      </c>
      <c r="C10" s="35">
        <v>60273</v>
      </c>
      <c r="D10" s="52" t="s">
        <v>33</v>
      </c>
      <c r="E10" s="510" t="s">
        <v>2852</v>
      </c>
      <c r="F10" s="52" t="s">
        <v>771</v>
      </c>
      <c r="G10" s="73" t="s">
        <v>56</v>
      </c>
      <c r="H10" s="514" t="s">
        <v>770</v>
      </c>
      <c r="I10" s="515">
        <v>44287</v>
      </c>
      <c r="J10" s="30" t="s">
        <v>21</v>
      </c>
      <c r="K10" s="3" t="s">
        <v>21</v>
      </c>
      <c r="L10" s="3" t="s">
        <v>21</v>
      </c>
      <c r="M10" s="3" t="s">
        <v>32</v>
      </c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>
      <c r="A12" s="946" t="s">
        <v>2344</v>
      </c>
      <c r="B12" s="2"/>
      <c r="C12" s="2"/>
      <c r="D12" s="2"/>
      <c r="E12" s="2"/>
      <c r="F12" s="2"/>
      <c r="G12" s="2"/>
      <c r="H12" s="80"/>
      <c r="I12" s="2"/>
      <c r="J12" s="2"/>
      <c r="K12" s="2"/>
      <c r="L12" s="2"/>
      <c r="M12" s="2"/>
    </row>
    <row r="13" spans="1:14">
      <c r="A13" s="942" t="s">
        <v>2345</v>
      </c>
      <c r="B13" s="942" t="s">
        <v>0</v>
      </c>
      <c r="C13" s="942" t="s">
        <v>1</v>
      </c>
      <c r="D13" s="942" t="s">
        <v>17</v>
      </c>
      <c r="E13" s="942" t="s">
        <v>1862</v>
      </c>
      <c r="F13" s="942" t="s">
        <v>3</v>
      </c>
      <c r="G13" s="942" t="s">
        <v>4</v>
      </c>
      <c r="H13" s="942" t="s">
        <v>5</v>
      </c>
      <c r="I13" s="943" t="s">
        <v>18</v>
      </c>
      <c r="J13" s="944" t="s">
        <v>7</v>
      </c>
      <c r="K13" s="945" t="s">
        <v>8</v>
      </c>
      <c r="L13" s="945" t="s">
        <v>9</v>
      </c>
      <c r="M13" s="945" t="s">
        <v>65</v>
      </c>
    </row>
    <row r="14" spans="1:14">
      <c r="A14" s="34">
        <v>10</v>
      </c>
      <c r="B14" s="52" t="s">
        <v>57</v>
      </c>
      <c r="C14" s="35">
        <v>60291</v>
      </c>
      <c r="D14" s="52" t="s">
        <v>33</v>
      </c>
      <c r="E14" s="35"/>
      <c r="F14" s="52" t="s">
        <v>58</v>
      </c>
      <c r="G14" s="73" t="s">
        <v>56</v>
      </c>
      <c r="H14" s="514" t="s">
        <v>783</v>
      </c>
      <c r="I14" s="515">
        <v>44317</v>
      </c>
      <c r="J14" s="30" t="s">
        <v>21</v>
      </c>
      <c r="K14" s="3" t="s">
        <v>21</v>
      </c>
      <c r="L14" s="3" t="s">
        <v>21</v>
      </c>
      <c r="M14" s="3" t="s">
        <v>32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59999389629810485"/>
    <pageSetUpPr fitToPage="1"/>
  </sheetPr>
  <dimension ref="A1:M150"/>
  <sheetViews>
    <sheetView topLeftCell="A53" zoomScaleNormal="100" workbookViewId="0">
      <selection activeCell="H69" sqref="H69"/>
    </sheetView>
  </sheetViews>
  <sheetFormatPr defaultRowHeight="16.5"/>
  <cols>
    <col min="1" max="1" width="9" style="2"/>
    <col min="2" max="2" width="9.5" style="2" bestFit="1" customWidth="1"/>
    <col min="3" max="3" width="14" style="2" bestFit="1" customWidth="1"/>
    <col min="4" max="4" width="11.5" style="2" bestFit="1" customWidth="1"/>
    <col min="5" max="5" width="21.875" style="2" bestFit="1" customWidth="1"/>
    <col min="6" max="6" width="9.5" style="2" bestFit="1" customWidth="1"/>
    <col min="7" max="7" width="20" style="2" bestFit="1" customWidth="1"/>
    <col min="8" max="8" width="81.875" style="2" bestFit="1" customWidth="1"/>
    <col min="9" max="9" width="13.25" style="33" bestFit="1" customWidth="1"/>
    <col min="10" max="10" width="15.875" style="2" customWidth="1"/>
    <col min="11" max="11" width="20.25" style="2" bestFit="1" customWidth="1"/>
    <col min="12" max="12" width="19.375" style="2" customWidth="1"/>
    <col min="13" max="13" width="29.375" style="2" bestFit="1" customWidth="1"/>
    <col min="14" max="16384" width="9" style="2"/>
  </cols>
  <sheetData>
    <row r="1" spans="1:13" s="358" customFormat="1" ht="18" thickBot="1">
      <c r="A1" s="476" t="s">
        <v>2277</v>
      </c>
      <c r="B1" s="706" t="s">
        <v>0</v>
      </c>
      <c r="C1" s="707" t="s">
        <v>1</v>
      </c>
      <c r="D1" s="707" t="s">
        <v>17</v>
      </c>
      <c r="E1" s="707" t="s">
        <v>1862</v>
      </c>
      <c r="F1" s="707" t="s">
        <v>3</v>
      </c>
      <c r="G1" s="707" t="s">
        <v>35</v>
      </c>
      <c r="H1" s="707" t="s">
        <v>5</v>
      </c>
      <c r="I1" s="708" t="s">
        <v>18</v>
      </c>
      <c r="J1" s="709" t="s">
        <v>7</v>
      </c>
      <c r="K1" s="710" t="s">
        <v>8</v>
      </c>
      <c r="L1" s="711" t="s">
        <v>9</v>
      </c>
      <c r="M1" s="712" t="s">
        <v>65</v>
      </c>
    </row>
    <row r="2" spans="1:13" s="547" customFormat="1" ht="18" thickTop="1">
      <c r="A2" s="705">
        <v>1</v>
      </c>
      <c r="B2" s="695" t="s">
        <v>155</v>
      </c>
      <c r="C2" s="548" t="s">
        <v>391</v>
      </c>
      <c r="D2" s="595" t="s">
        <v>42</v>
      </c>
      <c r="E2" s="549" t="s">
        <v>2042</v>
      </c>
      <c r="F2" s="595" t="s">
        <v>175</v>
      </c>
      <c r="G2" s="596" t="s">
        <v>733</v>
      </c>
      <c r="H2" s="550" t="s">
        <v>761</v>
      </c>
      <c r="I2" s="610">
        <v>2015.11</v>
      </c>
      <c r="J2" s="597"/>
      <c r="K2" s="611"/>
      <c r="L2" s="599"/>
      <c r="M2" s="600" t="s">
        <v>32</v>
      </c>
    </row>
    <row r="3" spans="1:13" s="360" customFormat="1" ht="17.25">
      <c r="A3" s="705">
        <v>2</v>
      </c>
      <c r="B3" s="696" t="s">
        <v>155</v>
      </c>
      <c r="C3" s="551" t="s">
        <v>390</v>
      </c>
      <c r="D3" s="587" t="s">
        <v>42</v>
      </c>
      <c r="E3" s="549" t="s">
        <v>2041</v>
      </c>
      <c r="F3" s="587" t="s">
        <v>175</v>
      </c>
      <c r="G3" s="601" t="s">
        <v>733</v>
      </c>
      <c r="H3" s="552" t="s">
        <v>760</v>
      </c>
      <c r="I3" s="570">
        <v>2015.11</v>
      </c>
      <c r="J3" s="571"/>
      <c r="K3" s="572"/>
      <c r="L3" s="573"/>
      <c r="M3" s="592" t="s">
        <v>32</v>
      </c>
    </row>
    <row r="4" spans="1:13" s="360" customFormat="1" ht="17.25">
      <c r="A4" s="705">
        <v>3</v>
      </c>
      <c r="B4" s="696" t="s">
        <v>155</v>
      </c>
      <c r="C4" s="587" t="s">
        <v>397</v>
      </c>
      <c r="D4" s="587" t="s">
        <v>42</v>
      </c>
      <c r="E4" s="693" t="s">
        <v>2419</v>
      </c>
      <c r="F4" s="587" t="s">
        <v>175</v>
      </c>
      <c r="G4" s="601" t="s">
        <v>733</v>
      </c>
      <c r="H4" s="582" t="s">
        <v>2420</v>
      </c>
      <c r="I4" s="570">
        <v>2016.05</v>
      </c>
      <c r="J4" s="571">
        <v>939.55</v>
      </c>
      <c r="K4" s="572">
        <v>42708172433</v>
      </c>
      <c r="L4" s="573">
        <v>45456194149</v>
      </c>
      <c r="M4" s="592" t="s">
        <v>13</v>
      </c>
    </row>
    <row r="5" spans="1:13" s="360" customFormat="1" ht="17.25">
      <c r="A5" s="705">
        <v>4</v>
      </c>
      <c r="B5" s="696" t="s">
        <v>155</v>
      </c>
      <c r="C5" s="587" t="s">
        <v>396</v>
      </c>
      <c r="D5" s="587" t="s">
        <v>42</v>
      </c>
      <c r="E5" s="549" t="s">
        <v>2453</v>
      </c>
      <c r="F5" s="587" t="s">
        <v>175</v>
      </c>
      <c r="G5" s="601" t="s">
        <v>733</v>
      </c>
      <c r="H5" s="552" t="s">
        <v>745</v>
      </c>
      <c r="I5" s="570">
        <v>2016.05</v>
      </c>
      <c r="J5" s="571"/>
      <c r="K5" s="572"/>
      <c r="L5" s="573"/>
      <c r="M5" s="592" t="s">
        <v>32</v>
      </c>
    </row>
    <row r="6" spans="1:13" s="360" customFormat="1" ht="17.25">
      <c r="A6" s="705">
        <v>5</v>
      </c>
      <c r="B6" s="697" t="s">
        <v>155</v>
      </c>
      <c r="C6" s="586" t="s">
        <v>360</v>
      </c>
      <c r="D6" s="587" t="s">
        <v>42</v>
      </c>
      <c r="E6" s="549" t="s">
        <v>1970</v>
      </c>
      <c r="F6" s="587" t="s">
        <v>29</v>
      </c>
      <c r="G6" s="601" t="s">
        <v>733</v>
      </c>
      <c r="H6" s="581" t="s">
        <v>744</v>
      </c>
      <c r="I6" s="570">
        <v>2017.08</v>
      </c>
      <c r="J6" s="571">
        <v>992.37</v>
      </c>
      <c r="K6" s="572">
        <v>16301847403</v>
      </c>
      <c r="L6" s="573">
        <v>16427211694</v>
      </c>
      <c r="M6" s="592" t="s">
        <v>13</v>
      </c>
    </row>
    <row r="7" spans="1:13" s="1103" customFormat="1">
      <c r="A7" s="1092">
        <v>6</v>
      </c>
      <c r="B7" s="1093" t="s">
        <v>155</v>
      </c>
      <c r="C7" s="1094" t="s">
        <v>384</v>
      </c>
      <c r="D7" s="1095" t="s">
        <v>42</v>
      </c>
      <c r="E7" s="1096" t="s">
        <v>2452</v>
      </c>
      <c r="F7" s="1095" t="s">
        <v>29</v>
      </c>
      <c r="G7" s="1097" t="s">
        <v>733</v>
      </c>
      <c r="H7" s="1098" t="s">
        <v>748</v>
      </c>
      <c r="I7" s="1095">
        <v>2017.1</v>
      </c>
      <c r="J7" s="1099">
        <v>1212.1600000000001</v>
      </c>
      <c r="K7" s="1100">
        <v>224813438931</v>
      </c>
      <c r="L7" s="1101">
        <v>185464804113</v>
      </c>
      <c r="M7" s="1102" t="s">
        <v>13</v>
      </c>
    </row>
    <row r="8" spans="1:13" s="360" customFormat="1" ht="17.25">
      <c r="A8" s="705">
        <v>7</v>
      </c>
      <c r="B8" s="696" t="s">
        <v>155</v>
      </c>
      <c r="C8" s="551" t="s">
        <v>392</v>
      </c>
      <c r="D8" s="587" t="s">
        <v>42</v>
      </c>
      <c r="E8" s="693" t="s">
        <v>2451</v>
      </c>
      <c r="F8" s="587" t="s">
        <v>27</v>
      </c>
      <c r="G8" s="601" t="s">
        <v>733</v>
      </c>
      <c r="H8" s="552" t="s">
        <v>749</v>
      </c>
      <c r="I8" s="570">
        <v>2017.11</v>
      </c>
      <c r="J8" s="571"/>
      <c r="K8" s="572"/>
      <c r="L8" s="573"/>
      <c r="M8" s="592" t="s">
        <v>32</v>
      </c>
    </row>
    <row r="9" spans="1:13" s="360" customFormat="1" ht="17.25">
      <c r="A9" s="705">
        <v>8</v>
      </c>
      <c r="B9" s="696" t="s">
        <v>155</v>
      </c>
      <c r="C9" s="587" t="s">
        <v>359</v>
      </c>
      <c r="D9" s="587" t="s">
        <v>42</v>
      </c>
      <c r="E9" s="549" t="s">
        <v>1957</v>
      </c>
      <c r="F9" s="587" t="s">
        <v>29</v>
      </c>
      <c r="G9" s="601" t="s">
        <v>733</v>
      </c>
      <c r="H9" s="581" t="s">
        <v>735</v>
      </c>
      <c r="I9" s="570">
        <v>2017.12</v>
      </c>
      <c r="J9" s="571">
        <v>794.7</v>
      </c>
      <c r="K9" s="572">
        <v>11954560080</v>
      </c>
      <c r="L9" s="573">
        <v>15042889969</v>
      </c>
      <c r="M9" s="592" t="s">
        <v>13</v>
      </c>
    </row>
    <row r="10" spans="1:13" s="360" customFormat="1" ht="17.25">
      <c r="A10" s="705">
        <v>9</v>
      </c>
      <c r="B10" s="698" t="s">
        <v>155</v>
      </c>
      <c r="C10" s="558" t="s">
        <v>464</v>
      </c>
      <c r="D10" s="559" t="s">
        <v>42</v>
      </c>
      <c r="E10" s="549" t="s">
        <v>1958</v>
      </c>
      <c r="F10" s="577" t="s">
        <v>29</v>
      </c>
      <c r="G10" s="560" t="s">
        <v>733</v>
      </c>
      <c r="H10" s="561" t="s">
        <v>750</v>
      </c>
      <c r="I10" s="559">
        <v>2018.02</v>
      </c>
      <c r="J10" s="562">
        <v>1033.92</v>
      </c>
      <c r="K10" s="575">
        <v>215936385645</v>
      </c>
      <c r="L10" s="576"/>
      <c r="M10" s="565" t="s">
        <v>13</v>
      </c>
    </row>
    <row r="11" spans="1:13" s="360" customFormat="1" ht="17.25">
      <c r="A11" s="705">
        <v>10</v>
      </c>
      <c r="B11" s="696" t="s">
        <v>155</v>
      </c>
      <c r="C11" s="586" t="s">
        <v>195</v>
      </c>
      <c r="D11" s="551" t="s">
        <v>19</v>
      </c>
      <c r="E11" s="693" t="s">
        <v>2417</v>
      </c>
      <c r="F11" s="551" t="s">
        <v>27</v>
      </c>
      <c r="G11" s="629" t="s">
        <v>192</v>
      </c>
      <c r="H11" s="582" t="s">
        <v>2418</v>
      </c>
      <c r="I11" s="570">
        <v>2018.05</v>
      </c>
      <c r="J11" s="591" t="s">
        <v>21</v>
      </c>
      <c r="K11" s="572" t="s">
        <v>21</v>
      </c>
      <c r="L11" s="573" t="s">
        <v>21</v>
      </c>
      <c r="M11" s="592" t="s">
        <v>32</v>
      </c>
    </row>
    <row r="12" spans="1:13" s="360" customFormat="1" ht="17.25">
      <c r="A12" s="705">
        <v>11</v>
      </c>
      <c r="B12" s="696" t="s">
        <v>155</v>
      </c>
      <c r="C12" s="586" t="s">
        <v>193</v>
      </c>
      <c r="D12" s="551" t="s">
        <v>19</v>
      </c>
      <c r="E12" s="694" t="s">
        <v>2450</v>
      </c>
      <c r="F12" s="551" t="s">
        <v>27</v>
      </c>
      <c r="G12" s="629" t="s">
        <v>192</v>
      </c>
      <c r="H12" s="582" t="s">
        <v>3093</v>
      </c>
      <c r="I12" s="570">
        <v>2018.07</v>
      </c>
      <c r="J12" s="591" t="s">
        <v>21</v>
      </c>
      <c r="K12" s="572" t="s">
        <v>21</v>
      </c>
      <c r="L12" s="573" t="s">
        <v>21</v>
      </c>
      <c r="M12" s="592" t="s">
        <v>32</v>
      </c>
    </row>
    <row r="13" spans="1:13" s="360" customFormat="1" ht="17.25">
      <c r="A13" s="705">
        <v>12</v>
      </c>
      <c r="B13" s="696" t="s">
        <v>155</v>
      </c>
      <c r="C13" s="551" t="s">
        <v>369</v>
      </c>
      <c r="D13" s="587" t="s">
        <v>42</v>
      </c>
      <c r="E13" s="549" t="s">
        <v>2040</v>
      </c>
      <c r="F13" s="577" t="s">
        <v>29</v>
      </c>
      <c r="G13" s="596" t="s">
        <v>733</v>
      </c>
      <c r="H13" s="552" t="s">
        <v>751</v>
      </c>
      <c r="I13" s="570">
        <v>2018.08</v>
      </c>
      <c r="J13" s="571"/>
      <c r="K13" s="572"/>
      <c r="L13" s="573"/>
      <c r="M13" s="592" t="s">
        <v>32</v>
      </c>
    </row>
    <row r="14" spans="1:13" s="233" customFormat="1" ht="17.25">
      <c r="A14" s="705">
        <v>13</v>
      </c>
      <c r="B14" s="696" t="s">
        <v>155</v>
      </c>
      <c r="C14" s="551" t="s">
        <v>752</v>
      </c>
      <c r="D14" s="587" t="s">
        <v>42</v>
      </c>
      <c r="E14" s="693" t="s">
        <v>2427</v>
      </c>
      <c r="F14" s="587" t="s">
        <v>28</v>
      </c>
      <c r="G14" s="596" t="s">
        <v>733</v>
      </c>
      <c r="H14" s="552" t="s">
        <v>753</v>
      </c>
      <c r="I14" s="570">
        <v>2018.09</v>
      </c>
      <c r="J14" s="571"/>
      <c r="K14" s="572"/>
      <c r="L14" s="573"/>
      <c r="M14" s="592" t="s">
        <v>32</v>
      </c>
    </row>
    <row r="15" spans="1:13" s="360" customFormat="1" ht="17.25">
      <c r="A15" s="705">
        <v>14</v>
      </c>
      <c r="B15" s="696" t="s">
        <v>155</v>
      </c>
      <c r="C15" s="551" t="s">
        <v>362</v>
      </c>
      <c r="D15" s="587" t="s">
        <v>42</v>
      </c>
      <c r="E15" s="549" t="s">
        <v>2039</v>
      </c>
      <c r="F15" s="587" t="s">
        <v>29</v>
      </c>
      <c r="G15" s="596" t="s">
        <v>733</v>
      </c>
      <c r="H15" s="552" t="s">
        <v>736</v>
      </c>
      <c r="I15" s="570">
        <v>2018.11</v>
      </c>
      <c r="J15" s="571">
        <v>1014.79</v>
      </c>
      <c r="K15" s="572">
        <v>21092756432</v>
      </c>
      <c r="L15" s="573">
        <v>20785269383</v>
      </c>
      <c r="M15" s="592" t="s">
        <v>13</v>
      </c>
    </row>
    <row r="16" spans="1:13" s="233" customFormat="1" ht="17.25">
      <c r="A16" s="705">
        <v>15</v>
      </c>
      <c r="B16" s="699" t="s">
        <v>155</v>
      </c>
      <c r="C16" s="555" t="s">
        <v>387</v>
      </c>
      <c r="D16" s="603" t="s">
        <v>42</v>
      </c>
      <c r="E16" s="549" t="s">
        <v>2038</v>
      </c>
      <c r="F16" s="603" t="s">
        <v>29</v>
      </c>
      <c r="G16" s="604" t="s">
        <v>733</v>
      </c>
      <c r="H16" s="556" t="s">
        <v>756</v>
      </c>
      <c r="I16" s="605">
        <v>2018.11</v>
      </c>
      <c r="J16" s="606"/>
      <c r="K16" s="639"/>
      <c r="L16" s="608"/>
      <c r="M16" s="609" t="s">
        <v>32</v>
      </c>
    </row>
    <row r="17" spans="1:13" s="233" customFormat="1" ht="16.5" customHeight="1">
      <c r="A17" s="705">
        <v>16</v>
      </c>
      <c r="B17" s="696" t="s">
        <v>155</v>
      </c>
      <c r="C17" s="551" t="s">
        <v>370</v>
      </c>
      <c r="D17" s="587" t="s">
        <v>42</v>
      </c>
      <c r="E17" s="567" t="s">
        <v>2421</v>
      </c>
      <c r="F17" s="577" t="s">
        <v>29</v>
      </c>
      <c r="G17" s="601" t="s">
        <v>733</v>
      </c>
      <c r="H17" s="582" t="s">
        <v>2422</v>
      </c>
      <c r="I17" s="570">
        <v>2018.12</v>
      </c>
      <c r="J17" s="571">
        <v>970.96</v>
      </c>
      <c r="K17" s="572">
        <v>113639083565</v>
      </c>
      <c r="L17" s="592">
        <v>117038076277</v>
      </c>
      <c r="M17" s="592" t="s">
        <v>13</v>
      </c>
    </row>
    <row r="18" spans="1:13" s="1103" customFormat="1" ht="16.5" customHeight="1">
      <c r="A18" s="1092">
        <v>17</v>
      </c>
      <c r="B18" s="1093" t="s">
        <v>155</v>
      </c>
      <c r="C18" s="1094" t="s">
        <v>361</v>
      </c>
      <c r="D18" s="1095" t="s">
        <v>42</v>
      </c>
      <c r="E18" s="1104" t="s">
        <v>2065</v>
      </c>
      <c r="F18" s="1095" t="s">
        <v>28</v>
      </c>
      <c r="G18" s="1105" t="s">
        <v>733</v>
      </c>
      <c r="H18" s="1106" t="s">
        <v>1311</v>
      </c>
      <c r="I18" s="1095">
        <v>2018.12</v>
      </c>
      <c r="J18" s="1099">
        <v>1098.8800000000001</v>
      </c>
      <c r="K18" s="1100">
        <v>23253756161</v>
      </c>
      <c r="L18" s="1102">
        <v>21161369437</v>
      </c>
      <c r="M18" s="1102" t="s">
        <v>13</v>
      </c>
    </row>
    <row r="19" spans="1:13" s="360" customFormat="1" ht="17.25">
      <c r="A19" s="705">
        <v>18</v>
      </c>
      <c r="B19" s="696" t="s">
        <v>155</v>
      </c>
      <c r="C19" s="551" t="s">
        <v>389</v>
      </c>
      <c r="D19" s="587" t="s">
        <v>42</v>
      </c>
      <c r="E19" s="549" t="s">
        <v>1959</v>
      </c>
      <c r="F19" s="577" t="s">
        <v>29</v>
      </c>
      <c r="G19" s="596" t="s">
        <v>2649</v>
      </c>
      <c r="H19" s="552" t="s">
        <v>757</v>
      </c>
      <c r="I19" s="570">
        <v>2018.12</v>
      </c>
      <c r="J19" s="571"/>
      <c r="K19" s="572"/>
      <c r="L19" s="592"/>
      <c r="M19" s="592" t="s">
        <v>32</v>
      </c>
    </row>
    <row r="20" spans="1:13" s="233" customFormat="1" ht="17.25">
      <c r="A20" s="705">
        <v>19</v>
      </c>
      <c r="B20" s="698" t="s">
        <v>155</v>
      </c>
      <c r="C20" s="558" t="s">
        <v>365</v>
      </c>
      <c r="D20" s="559" t="s">
        <v>42</v>
      </c>
      <c r="E20" s="549" t="s">
        <v>1960</v>
      </c>
      <c r="F20" s="559" t="s">
        <v>29</v>
      </c>
      <c r="G20" s="560" t="s">
        <v>733</v>
      </c>
      <c r="H20" s="578" t="s">
        <v>739</v>
      </c>
      <c r="I20" s="559">
        <v>2019.05</v>
      </c>
      <c r="J20" s="562">
        <v>1117.57</v>
      </c>
      <c r="K20" s="575">
        <v>23240000000</v>
      </c>
      <c r="L20" s="565">
        <v>20500000000</v>
      </c>
      <c r="M20" s="565" t="s">
        <v>13</v>
      </c>
    </row>
    <row r="21" spans="1:13" s="233" customFormat="1" ht="17.25">
      <c r="A21" s="705">
        <v>20</v>
      </c>
      <c r="B21" s="698" t="s">
        <v>155</v>
      </c>
      <c r="C21" s="558" t="s">
        <v>367</v>
      </c>
      <c r="D21" s="559" t="s">
        <v>42</v>
      </c>
      <c r="E21" s="549" t="s">
        <v>1962</v>
      </c>
      <c r="F21" s="577" t="s">
        <v>29</v>
      </c>
      <c r="G21" s="560" t="s">
        <v>733</v>
      </c>
      <c r="H21" s="578" t="s">
        <v>1571</v>
      </c>
      <c r="I21" s="559">
        <v>2019.06</v>
      </c>
      <c r="J21" s="562">
        <v>853.55</v>
      </c>
      <c r="K21" s="575">
        <v>56847744204</v>
      </c>
      <c r="L21" s="565">
        <v>66601313099</v>
      </c>
      <c r="M21" s="565" t="s">
        <v>13</v>
      </c>
    </row>
    <row r="22" spans="1:13" s="360" customFormat="1" ht="17.25">
      <c r="A22" s="705">
        <v>21</v>
      </c>
      <c r="B22" s="698" t="s">
        <v>155</v>
      </c>
      <c r="C22" s="558" t="s">
        <v>385</v>
      </c>
      <c r="D22" s="559" t="s">
        <v>42</v>
      </c>
      <c r="E22" s="549" t="s">
        <v>1961</v>
      </c>
      <c r="F22" s="577" t="s">
        <v>29</v>
      </c>
      <c r="G22" s="560" t="s">
        <v>2648</v>
      </c>
      <c r="H22" s="561" t="s">
        <v>1572</v>
      </c>
      <c r="I22" s="559">
        <v>2019.06</v>
      </c>
      <c r="J22" s="562">
        <v>1006.31</v>
      </c>
      <c r="K22" s="575">
        <v>66490757519</v>
      </c>
      <c r="L22" s="565" t="s">
        <v>21</v>
      </c>
      <c r="M22" s="565" t="s">
        <v>13</v>
      </c>
    </row>
    <row r="23" spans="1:13" s="233" customFormat="1" ht="17.25">
      <c r="A23" s="705">
        <v>22</v>
      </c>
      <c r="B23" s="696" t="s">
        <v>155</v>
      </c>
      <c r="C23" s="551" t="s">
        <v>366</v>
      </c>
      <c r="D23" s="587" t="s">
        <v>42</v>
      </c>
      <c r="E23" s="567" t="s">
        <v>2423</v>
      </c>
      <c r="F23" s="577" t="s">
        <v>29</v>
      </c>
      <c r="G23" s="596" t="s">
        <v>733</v>
      </c>
      <c r="H23" s="582" t="s">
        <v>2424</v>
      </c>
      <c r="I23" s="570">
        <v>2019.07</v>
      </c>
      <c r="J23" s="571">
        <v>960.21</v>
      </c>
      <c r="K23" s="572">
        <v>11872264861</v>
      </c>
      <c r="L23" s="592">
        <v>12364272688</v>
      </c>
      <c r="M23" s="592" t="s">
        <v>13</v>
      </c>
    </row>
    <row r="24" spans="1:13" s="233" customFormat="1" ht="17.25">
      <c r="A24" s="705">
        <v>23</v>
      </c>
      <c r="B24" s="700" t="s">
        <v>155</v>
      </c>
      <c r="C24" s="549" t="s">
        <v>364</v>
      </c>
      <c r="D24" s="626" t="s">
        <v>42</v>
      </c>
      <c r="E24" s="553" t="s">
        <v>1963</v>
      </c>
      <c r="F24" s="626" t="s">
        <v>28</v>
      </c>
      <c r="G24" s="560" t="s">
        <v>733</v>
      </c>
      <c r="H24" s="636" t="s">
        <v>741</v>
      </c>
      <c r="I24" s="626">
        <v>2019.08</v>
      </c>
      <c r="J24" s="638">
        <v>5275.74</v>
      </c>
      <c r="K24" s="640">
        <v>60429634359</v>
      </c>
      <c r="L24" s="641">
        <v>11454247472</v>
      </c>
      <c r="M24" s="645" t="s">
        <v>13</v>
      </c>
    </row>
    <row r="25" spans="1:13" s="233" customFormat="1" ht="16.5" customHeight="1">
      <c r="A25" s="705">
        <v>24</v>
      </c>
      <c r="B25" s="696" t="s">
        <v>155</v>
      </c>
      <c r="C25" s="551" t="s">
        <v>383</v>
      </c>
      <c r="D25" s="587" t="s">
        <v>42</v>
      </c>
      <c r="E25" s="567" t="s">
        <v>2426</v>
      </c>
      <c r="F25" s="587" t="s">
        <v>29</v>
      </c>
      <c r="G25" s="601" t="s">
        <v>733</v>
      </c>
      <c r="H25" s="552" t="s">
        <v>747</v>
      </c>
      <c r="I25" s="570">
        <v>2019.09</v>
      </c>
      <c r="J25" s="571"/>
      <c r="K25" s="572"/>
      <c r="L25" s="573"/>
      <c r="M25" s="592" t="s">
        <v>32</v>
      </c>
    </row>
    <row r="26" spans="1:13" s="233" customFormat="1" ht="17.25">
      <c r="A26" s="705">
        <v>25</v>
      </c>
      <c r="B26" s="697" t="s">
        <v>155</v>
      </c>
      <c r="C26" s="551" t="s">
        <v>382</v>
      </c>
      <c r="D26" s="587" t="s">
        <v>42</v>
      </c>
      <c r="E26" s="553" t="s">
        <v>2425</v>
      </c>
      <c r="F26" s="587" t="s">
        <v>175</v>
      </c>
      <c r="G26" s="601" t="s">
        <v>733</v>
      </c>
      <c r="H26" s="566" t="s">
        <v>746</v>
      </c>
      <c r="I26" s="570">
        <v>2019.09</v>
      </c>
      <c r="J26" s="571"/>
      <c r="K26" s="572"/>
      <c r="L26" s="573"/>
      <c r="M26" s="592" t="s">
        <v>32</v>
      </c>
    </row>
    <row r="27" spans="1:13" s="233" customFormat="1" ht="16.5" customHeight="1">
      <c r="A27" s="705">
        <v>26</v>
      </c>
      <c r="B27" s="697" t="s">
        <v>155</v>
      </c>
      <c r="C27" s="551" t="s">
        <v>368</v>
      </c>
      <c r="D27" s="587" t="s">
        <v>42</v>
      </c>
      <c r="E27" s="553" t="s">
        <v>2064</v>
      </c>
      <c r="F27" s="577" t="s">
        <v>29</v>
      </c>
      <c r="G27" s="601" t="s">
        <v>733</v>
      </c>
      <c r="H27" s="637" t="s">
        <v>742</v>
      </c>
      <c r="I27" s="570">
        <v>2020.02</v>
      </c>
      <c r="J27" s="571">
        <v>1031.1600000000001</v>
      </c>
      <c r="K27" s="572">
        <v>207116269171</v>
      </c>
      <c r="L27" s="573">
        <v>200856971694</v>
      </c>
      <c r="M27" s="592" t="s">
        <v>13</v>
      </c>
    </row>
    <row r="28" spans="1:13" s="233" customFormat="1" ht="16.5" customHeight="1">
      <c r="A28" s="705">
        <v>27</v>
      </c>
      <c r="B28" s="701" t="s">
        <v>155</v>
      </c>
      <c r="C28" s="558" t="s">
        <v>840</v>
      </c>
      <c r="D28" s="559" t="s">
        <v>19</v>
      </c>
      <c r="E28" s="549" t="s">
        <v>1964</v>
      </c>
      <c r="F28" s="559" t="s">
        <v>175</v>
      </c>
      <c r="G28" s="574" t="s">
        <v>1604</v>
      </c>
      <c r="H28" s="561" t="s">
        <v>841</v>
      </c>
      <c r="I28" s="559">
        <v>2020.03</v>
      </c>
      <c r="J28" s="562">
        <v>1299.6400000000001</v>
      </c>
      <c r="K28" s="575">
        <v>55529662618</v>
      </c>
      <c r="L28" s="576">
        <v>42726839911</v>
      </c>
      <c r="M28" s="565" t="s">
        <v>13</v>
      </c>
    </row>
    <row r="29" spans="1:13" s="233" customFormat="1" ht="16.5" customHeight="1">
      <c r="A29" s="705">
        <v>28</v>
      </c>
      <c r="B29" s="701" t="s">
        <v>155</v>
      </c>
      <c r="C29" s="558" t="s">
        <v>212</v>
      </c>
      <c r="D29" s="558" t="s">
        <v>19</v>
      </c>
      <c r="E29" s="549" t="s">
        <v>1965</v>
      </c>
      <c r="F29" s="579" t="s">
        <v>29</v>
      </c>
      <c r="G29" s="564" t="s">
        <v>1607</v>
      </c>
      <c r="H29" s="580" t="s">
        <v>211</v>
      </c>
      <c r="I29" s="559">
        <v>2020.04</v>
      </c>
      <c r="J29" s="562">
        <v>922.55</v>
      </c>
      <c r="K29" s="575">
        <v>20789302387</v>
      </c>
      <c r="L29" s="576">
        <v>24540000000</v>
      </c>
      <c r="M29" s="565" t="s">
        <v>13</v>
      </c>
    </row>
    <row r="30" spans="1:13" s="233" customFormat="1" ht="17.25">
      <c r="A30" s="705">
        <v>29</v>
      </c>
      <c r="B30" s="697" t="s">
        <v>155</v>
      </c>
      <c r="C30" s="551" t="s">
        <v>210</v>
      </c>
      <c r="D30" s="551" t="s">
        <v>33</v>
      </c>
      <c r="E30" s="567" t="s">
        <v>2416</v>
      </c>
      <c r="F30" s="568" t="s">
        <v>27</v>
      </c>
      <c r="G30" s="569" t="s">
        <v>201</v>
      </c>
      <c r="H30" s="630" t="s">
        <v>209</v>
      </c>
      <c r="I30" s="570">
        <v>2020.06</v>
      </c>
      <c r="J30" s="571">
        <v>1062.02</v>
      </c>
      <c r="K30" s="572">
        <v>71731183945</v>
      </c>
      <c r="L30" s="573">
        <v>67542387797</v>
      </c>
      <c r="M30" s="592" t="s">
        <v>13</v>
      </c>
    </row>
    <row r="31" spans="1:13" s="233" customFormat="1" ht="16.5" customHeight="1">
      <c r="A31" s="705">
        <v>30</v>
      </c>
      <c r="B31" s="701" t="s">
        <v>155</v>
      </c>
      <c r="C31" s="558" t="s">
        <v>371</v>
      </c>
      <c r="D31" s="559" t="s">
        <v>42</v>
      </c>
      <c r="E31" s="549" t="s">
        <v>1966</v>
      </c>
      <c r="F31" s="577" t="s">
        <v>29</v>
      </c>
      <c r="G31" s="574" t="s">
        <v>733</v>
      </c>
      <c r="H31" s="578" t="s">
        <v>743</v>
      </c>
      <c r="I31" s="559">
        <v>2020.1</v>
      </c>
      <c r="J31" s="562">
        <v>937.83</v>
      </c>
      <c r="K31" s="575">
        <v>107608051753</v>
      </c>
      <c r="L31" s="576">
        <v>114741689470</v>
      </c>
      <c r="M31" s="565" t="s">
        <v>13</v>
      </c>
    </row>
    <row r="32" spans="1:13" s="233" customFormat="1" ht="16.5" customHeight="1">
      <c r="A32" s="705">
        <v>31</v>
      </c>
      <c r="B32" s="701" t="s">
        <v>155</v>
      </c>
      <c r="C32" s="558" t="s">
        <v>1302</v>
      </c>
      <c r="D32" s="559" t="s">
        <v>19</v>
      </c>
      <c r="E32" s="553" t="s">
        <v>1967</v>
      </c>
      <c r="F32" s="577" t="s">
        <v>29</v>
      </c>
      <c r="G32" s="574" t="s">
        <v>733</v>
      </c>
      <c r="H32" s="561" t="s">
        <v>1573</v>
      </c>
      <c r="I32" s="559">
        <v>2020.11</v>
      </c>
      <c r="J32" s="562">
        <v>1006.69</v>
      </c>
      <c r="K32" s="575">
        <v>72286574787</v>
      </c>
      <c r="L32" s="576">
        <v>71806494093</v>
      </c>
      <c r="M32" s="565" t="s">
        <v>13</v>
      </c>
    </row>
    <row r="33" spans="1:13" s="1103" customFormat="1">
      <c r="A33" s="1092">
        <v>32</v>
      </c>
      <c r="B33" s="1093" t="s">
        <v>155</v>
      </c>
      <c r="C33" s="1094" t="s">
        <v>803</v>
      </c>
      <c r="D33" s="1095" t="s">
        <v>19</v>
      </c>
      <c r="E33" s="1096" t="s">
        <v>1968</v>
      </c>
      <c r="F33" s="1095" t="s">
        <v>149</v>
      </c>
      <c r="G33" s="1097" t="s">
        <v>1622</v>
      </c>
      <c r="H33" s="1098" t="s">
        <v>804</v>
      </c>
      <c r="I33" s="1095">
        <v>2021.07</v>
      </c>
      <c r="J33" s="1099">
        <v>1093.57</v>
      </c>
      <c r="K33" s="1100">
        <v>110800000000</v>
      </c>
      <c r="L33" s="1101" t="s">
        <v>21</v>
      </c>
      <c r="M33" s="1102" t="s">
        <v>13</v>
      </c>
    </row>
    <row r="34" spans="1:13" s="233" customFormat="1" ht="17.25">
      <c r="A34" s="705">
        <v>33</v>
      </c>
      <c r="B34" s="696" t="s">
        <v>155</v>
      </c>
      <c r="C34" s="551" t="s">
        <v>812</v>
      </c>
      <c r="D34" s="587" t="s">
        <v>19</v>
      </c>
      <c r="E34" s="567" t="s">
        <v>2428</v>
      </c>
      <c r="F34" s="587" t="s">
        <v>27</v>
      </c>
      <c r="G34" s="601" t="s">
        <v>813</v>
      </c>
      <c r="H34" s="552" t="s">
        <v>814</v>
      </c>
      <c r="I34" s="570">
        <v>2021.08</v>
      </c>
      <c r="J34" s="571"/>
      <c r="K34" s="572"/>
      <c r="L34" s="573"/>
      <c r="M34" s="592"/>
    </row>
    <row r="35" spans="1:13" s="233" customFormat="1" ht="17.25">
      <c r="A35" s="705">
        <v>34</v>
      </c>
      <c r="B35" s="698" t="s">
        <v>155</v>
      </c>
      <c r="C35" s="558" t="s">
        <v>1475</v>
      </c>
      <c r="D35" s="559" t="s">
        <v>19</v>
      </c>
      <c r="E35" s="549" t="s">
        <v>1969</v>
      </c>
      <c r="F35" s="559" t="s">
        <v>175</v>
      </c>
      <c r="G35" s="574" t="s">
        <v>733</v>
      </c>
      <c r="H35" s="561" t="s">
        <v>1476</v>
      </c>
      <c r="I35" s="559">
        <v>2023.06</v>
      </c>
      <c r="J35" s="562">
        <v>707.82</v>
      </c>
      <c r="K35" s="563">
        <v>357549936</v>
      </c>
      <c r="L35" s="642">
        <v>505143482</v>
      </c>
      <c r="M35" s="565" t="s">
        <v>13</v>
      </c>
    </row>
    <row r="36" spans="1:13" s="233" customFormat="1" ht="17.25">
      <c r="A36" s="705">
        <v>35</v>
      </c>
      <c r="B36" s="699" t="s">
        <v>155</v>
      </c>
      <c r="C36" s="555" t="s">
        <v>2180</v>
      </c>
      <c r="D36" s="603" t="s">
        <v>19</v>
      </c>
      <c r="E36" s="549" t="s">
        <v>2181</v>
      </c>
      <c r="F36" s="603" t="s">
        <v>58</v>
      </c>
      <c r="G36" s="628" t="s">
        <v>2129</v>
      </c>
      <c r="H36" s="556" t="s">
        <v>2183</v>
      </c>
      <c r="I36" s="605">
        <v>2024.08</v>
      </c>
      <c r="J36" s="606">
        <v>1000</v>
      </c>
      <c r="K36" s="607"/>
      <c r="L36" s="608"/>
      <c r="M36" s="643"/>
    </row>
    <row r="37" spans="1:13" s="233" customFormat="1" ht="17.25">
      <c r="A37" s="705">
        <v>36</v>
      </c>
      <c r="B37" s="702" t="s">
        <v>155</v>
      </c>
      <c r="C37" s="584" t="s">
        <v>172</v>
      </c>
      <c r="D37" s="584" t="s">
        <v>37</v>
      </c>
      <c r="E37" s="549" t="s">
        <v>1971</v>
      </c>
      <c r="F37" s="612" t="s">
        <v>149</v>
      </c>
      <c r="G37" s="593" t="s">
        <v>150</v>
      </c>
      <c r="H37" s="585" t="s">
        <v>173</v>
      </c>
      <c r="I37" s="612">
        <v>38796</v>
      </c>
      <c r="J37" s="613">
        <v>816.38</v>
      </c>
      <c r="K37" s="614">
        <v>2172647100</v>
      </c>
      <c r="L37" s="614">
        <v>2661306398</v>
      </c>
      <c r="M37" s="615" t="s">
        <v>13</v>
      </c>
    </row>
    <row r="38" spans="1:13" s="362" customFormat="1" ht="17.25">
      <c r="A38" s="705">
        <v>37</v>
      </c>
      <c r="B38" s="703" t="s">
        <v>148</v>
      </c>
      <c r="C38" s="584" t="s">
        <v>153</v>
      </c>
      <c r="D38" s="584" t="s">
        <v>37</v>
      </c>
      <c r="E38" s="553" t="s">
        <v>1953</v>
      </c>
      <c r="F38" s="584" t="s">
        <v>23</v>
      </c>
      <c r="G38" s="593" t="s">
        <v>1603</v>
      </c>
      <c r="H38" s="634" t="s">
        <v>154</v>
      </c>
      <c r="I38" s="612">
        <v>39107</v>
      </c>
      <c r="J38" s="613">
        <v>1068.44</v>
      </c>
      <c r="K38" s="614">
        <v>30588861859</v>
      </c>
      <c r="L38" s="614">
        <v>28629586221</v>
      </c>
      <c r="M38" s="615" t="s">
        <v>13</v>
      </c>
    </row>
    <row r="39" spans="1:13" s="233" customFormat="1" ht="16.5" customHeight="1">
      <c r="A39" s="705">
        <v>38</v>
      </c>
      <c r="B39" s="702" t="s">
        <v>155</v>
      </c>
      <c r="C39" s="584" t="s">
        <v>162</v>
      </c>
      <c r="D39" s="584" t="s">
        <v>37</v>
      </c>
      <c r="E39" s="549" t="s">
        <v>1952</v>
      </c>
      <c r="F39" s="612" t="s">
        <v>28</v>
      </c>
      <c r="G39" s="593" t="s">
        <v>1603</v>
      </c>
      <c r="H39" s="585" t="s">
        <v>163</v>
      </c>
      <c r="I39" s="1115">
        <v>39363</v>
      </c>
      <c r="J39" s="613">
        <v>646.14</v>
      </c>
      <c r="K39" s="614">
        <v>3028655367</v>
      </c>
      <c r="L39" s="614">
        <v>4687304220</v>
      </c>
      <c r="M39" s="615" t="s">
        <v>13</v>
      </c>
    </row>
    <row r="40" spans="1:13" s="362" customFormat="1" ht="17.25">
      <c r="A40" s="705">
        <v>39</v>
      </c>
      <c r="B40" s="703" t="s">
        <v>155</v>
      </c>
      <c r="C40" s="584" t="s">
        <v>156</v>
      </c>
      <c r="D40" s="584" t="s">
        <v>37</v>
      </c>
      <c r="E40" s="549" t="s">
        <v>1949</v>
      </c>
      <c r="F40" s="612" t="s">
        <v>28</v>
      </c>
      <c r="G40" s="593" t="s">
        <v>1603</v>
      </c>
      <c r="H40" s="585" t="s">
        <v>1479</v>
      </c>
      <c r="I40" s="612">
        <v>39595</v>
      </c>
      <c r="J40" s="613">
        <v>499</v>
      </c>
      <c r="K40" s="614">
        <v>8487368490</v>
      </c>
      <c r="L40" s="614">
        <v>17008706671</v>
      </c>
      <c r="M40" s="615" t="s">
        <v>13</v>
      </c>
    </row>
    <row r="41" spans="1:13" s="233" customFormat="1" ht="17.25">
      <c r="A41" s="705">
        <v>40</v>
      </c>
      <c r="B41" s="702" t="s">
        <v>148</v>
      </c>
      <c r="C41" s="584" t="s">
        <v>181</v>
      </c>
      <c r="D41" s="584" t="s">
        <v>37</v>
      </c>
      <c r="E41" s="549" t="s">
        <v>1951</v>
      </c>
      <c r="F41" s="612" t="s">
        <v>28</v>
      </c>
      <c r="G41" s="593" t="s">
        <v>1603</v>
      </c>
      <c r="H41" s="585" t="s">
        <v>182</v>
      </c>
      <c r="I41" s="612">
        <v>40214</v>
      </c>
      <c r="J41" s="620">
        <v>1172.79</v>
      </c>
      <c r="K41" s="614">
        <v>8462729653</v>
      </c>
      <c r="L41" s="614">
        <v>7215871346</v>
      </c>
      <c r="M41" s="615" t="s">
        <v>13</v>
      </c>
    </row>
    <row r="42" spans="1:13" s="233" customFormat="1" ht="16.5" customHeight="1">
      <c r="A42" s="705">
        <v>41</v>
      </c>
      <c r="B42" s="702" t="s">
        <v>155</v>
      </c>
      <c r="C42" s="584" t="s">
        <v>157</v>
      </c>
      <c r="D42" s="584" t="s">
        <v>37</v>
      </c>
      <c r="E42" s="553" t="s">
        <v>1972</v>
      </c>
      <c r="F42" s="616" t="s">
        <v>29</v>
      </c>
      <c r="G42" s="593" t="s">
        <v>150</v>
      </c>
      <c r="H42" s="625" t="s">
        <v>158</v>
      </c>
      <c r="I42" s="612">
        <v>40241</v>
      </c>
      <c r="J42" s="613">
        <v>834.74</v>
      </c>
      <c r="K42" s="614">
        <v>3922159784</v>
      </c>
      <c r="L42" s="614">
        <v>4698643520</v>
      </c>
      <c r="M42" s="615" t="s">
        <v>13</v>
      </c>
    </row>
    <row r="43" spans="1:13" s="233" customFormat="1" ht="16.5" customHeight="1">
      <c r="A43" s="705">
        <v>42</v>
      </c>
      <c r="B43" s="704" t="s">
        <v>155</v>
      </c>
      <c r="C43" s="588" t="s">
        <v>159</v>
      </c>
      <c r="D43" s="588" t="s">
        <v>37</v>
      </c>
      <c r="E43" s="549" t="s">
        <v>1950</v>
      </c>
      <c r="F43" s="616" t="s">
        <v>29</v>
      </c>
      <c r="G43" s="617" t="s">
        <v>1604</v>
      </c>
      <c r="H43" s="633" t="s">
        <v>160</v>
      </c>
      <c r="I43" s="616">
        <v>41390</v>
      </c>
      <c r="J43" s="618">
        <v>635.16</v>
      </c>
      <c r="K43" s="619">
        <v>6107201739</v>
      </c>
      <c r="L43" s="619">
        <v>9615255669</v>
      </c>
      <c r="M43" s="644" t="s">
        <v>13</v>
      </c>
    </row>
    <row r="44" spans="1:13" s="233" customFormat="1" ht="17.25">
      <c r="A44" s="705">
        <v>43</v>
      </c>
      <c r="B44" s="702" t="s">
        <v>155</v>
      </c>
      <c r="C44" s="584" t="s">
        <v>161</v>
      </c>
      <c r="D44" s="584" t="s">
        <v>37</v>
      </c>
      <c r="E44" s="549" t="s">
        <v>1948</v>
      </c>
      <c r="F44" s="612" t="s">
        <v>28</v>
      </c>
      <c r="G44" s="593" t="s">
        <v>1603</v>
      </c>
      <c r="H44" s="585" t="s">
        <v>1617</v>
      </c>
      <c r="I44" s="612">
        <v>41843</v>
      </c>
      <c r="J44" s="613">
        <v>597.63</v>
      </c>
      <c r="K44" s="614">
        <v>25873125572</v>
      </c>
      <c r="L44" s="614">
        <v>43293152685</v>
      </c>
      <c r="M44" s="615" t="s">
        <v>13</v>
      </c>
    </row>
    <row r="45" spans="1:13" s="233" customFormat="1" ht="17.25">
      <c r="A45" s="705">
        <v>44</v>
      </c>
      <c r="B45" s="702" t="s">
        <v>148</v>
      </c>
      <c r="C45" s="593" t="s">
        <v>164</v>
      </c>
      <c r="D45" s="593" t="s">
        <v>37</v>
      </c>
      <c r="E45" s="549" t="s">
        <v>3096</v>
      </c>
      <c r="F45" s="593" t="s">
        <v>165</v>
      </c>
      <c r="G45" s="593" t="s">
        <v>1603</v>
      </c>
      <c r="H45" s="634" t="s">
        <v>1480</v>
      </c>
      <c r="I45" s="612">
        <v>42417</v>
      </c>
      <c r="J45" s="613">
        <v>1722.33</v>
      </c>
      <c r="K45" s="614">
        <v>446226291533</v>
      </c>
      <c r="L45" s="614">
        <v>259082904371</v>
      </c>
      <c r="M45" s="615" t="s">
        <v>13</v>
      </c>
    </row>
    <row r="46" spans="1:13" s="233" customFormat="1" ht="17.25">
      <c r="A46" s="705">
        <v>45</v>
      </c>
      <c r="B46" s="696" t="s">
        <v>155</v>
      </c>
      <c r="C46" s="551" t="s">
        <v>183</v>
      </c>
      <c r="D46" s="551" t="s">
        <v>37</v>
      </c>
      <c r="E46" s="567" t="s">
        <v>2414</v>
      </c>
      <c r="F46" s="568" t="s">
        <v>165</v>
      </c>
      <c r="G46" s="590" t="s">
        <v>150</v>
      </c>
      <c r="H46" s="630" t="s">
        <v>2415</v>
      </c>
      <c r="I46" s="948">
        <v>42480</v>
      </c>
      <c r="J46" s="591">
        <v>1067.1199999999999</v>
      </c>
      <c r="K46" s="572">
        <v>20321006197</v>
      </c>
      <c r="L46" s="572">
        <v>19042854307</v>
      </c>
      <c r="M46" s="592" t="s">
        <v>32</v>
      </c>
    </row>
    <row r="47" spans="1:13" s="361" customFormat="1" ht="16.5" customHeight="1">
      <c r="A47" s="705">
        <v>46</v>
      </c>
      <c r="B47" s="702" t="s">
        <v>155</v>
      </c>
      <c r="C47" s="584" t="s">
        <v>1319</v>
      </c>
      <c r="D47" s="589" t="s">
        <v>37</v>
      </c>
      <c r="E47" s="549" t="s">
        <v>1955</v>
      </c>
      <c r="F47" s="612" t="s">
        <v>29</v>
      </c>
      <c r="G47" s="593" t="s">
        <v>1605</v>
      </c>
      <c r="H47" s="585" t="s">
        <v>1478</v>
      </c>
      <c r="I47" s="1115">
        <v>42510</v>
      </c>
      <c r="J47" s="613">
        <v>1851.63</v>
      </c>
      <c r="K47" s="614">
        <v>361251000000</v>
      </c>
      <c r="L47" s="614">
        <v>186895000000</v>
      </c>
      <c r="M47" s="615" t="s">
        <v>13</v>
      </c>
    </row>
    <row r="48" spans="1:13" s="362" customFormat="1" ht="16.5" customHeight="1">
      <c r="A48" s="705">
        <v>47</v>
      </c>
      <c r="B48" s="702" t="s">
        <v>155</v>
      </c>
      <c r="C48" s="589" t="s">
        <v>166</v>
      </c>
      <c r="D48" s="589" t="s">
        <v>37</v>
      </c>
      <c r="E48" s="549" t="s">
        <v>1954</v>
      </c>
      <c r="F48" s="627" t="s">
        <v>165</v>
      </c>
      <c r="G48" s="593" t="s">
        <v>1603</v>
      </c>
      <c r="H48" s="631" t="s">
        <v>1482</v>
      </c>
      <c r="I48" s="612">
        <v>42571</v>
      </c>
      <c r="J48" s="613">
        <v>953.1</v>
      </c>
      <c r="K48" s="614">
        <v>129324793915</v>
      </c>
      <c r="L48" s="614">
        <v>135688639377</v>
      </c>
      <c r="M48" s="615" t="s">
        <v>13</v>
      </c>
    </row>
    <row r="49" spans="1:13" s="233" customFormat="1" ht="17.25">
      <c r="A49" s="705">
        <v>48</v>
      </c>
      <c r="B49" s="702" t="s">
        <v>155</v>
      </c>
      <c r="C49" s="584" t="s">
        <v>169</v>
      </c>
      <c r="D49" s="584" t="s">
        <v>37</v>
      </c>
      <c r="E49" s="553" t="s">
        <v>1956</v>
      </c>
      <c r="F49" s="612" t="s">
        <v>29</v>
      </c>
      <c r="G49" s="593" t="s">
        <v>1603</v>
      </c>
      <c r="H49" s="1051" t="s">
        <v>1481</v>
      </c>
      <c r="I49" s="612">
        <v>43209</v>
      </c>
      <c r="J49" s="613">
        <v>779.2</v>
      </c>
      <c r="K49" s="614">
        <v>16400592060</v>
      </c>
      <c r="L49" s="614">
        <v>21048118155</v>
      </c>
      <c r="M49" s="615" t="s">
        <v>13</v>
      </c>
    </row>
    <row r="50" spans="1:13" s="361" customFormat="1" ht="16.5" customHeight="1">
      <c r="A50" s="705">
        <v>49</v>
      </c>
      <c r="B50" s="696" t="s">
        <v>155</v>
      </c>
      <c r="C50" s="551" t="s">
        <v>1682</v>
      </c>
      <c r="D50" s="587" t="s">
        <v>19</v>
      </c>
      <c r="E50" s="549" t="s">
        <v>1977</v>
      </c>
      <c r="F50" s="587" t="s">
        <v>175</v>
      </c>
      <c r="G50" s="587" t="s">
        <v>1683</v>
      </c>
      <c r="H50" s="552" t="s">
        <v>1684</v>
      </c>
      <c r="I50" s="570" t="s">
        <v>1685</v>
      </c>
      <c r="J50" s="571">
        <v>1140.95</v>
      </c>
      <c r="K50" s="572">
        <v>106227335</v>
      </c>
      <c r="L50" s="572">
        <v>93104149</v>
      </c>
      <c r="M50" s="592" t="s">
        <v>1679</v>
      </c>
    </row>
    <row r="51" spans="1:13" s="547" customFormat="1" ht="17.25">
      <c r="A51" s="705">
        <v>50</v>
      </c>
      <c r="B51" s="696" t="s">
        <v>155</v>
      </c>
      <c r="C51" s="551" t="s">
        <v>1364</v>
      </c>
      <c r="D51" s="587" t="s">
        <v>19</v>
      </c>
      <c r="E51" s="567" t="s">
        <v>2429</v>
      </c>
      <c r="F51" s="587" t="s">
        <v>175</v>
      </c>
      <c r="G51" s="587" t="s">
        <v>733</v>
      </c>
      <c r="H51" s="552" t="s">
        <v>1362</v>
      </c>
      <c r="I51" s="570" t="s">
        <v>1363</v>
      </c>
      <c r="J51" s="571">
        <v>1197.43</v>
      </c>
      <c r="K51" s="572">
        <v>71100000000</v>
      </c>
      <c r="L51" s="572"/>
      <c r="M51" s="592"/>
    </row>
    <row r="52" spans="1:13" s="362" customFormat="1" ht="16.5" customHeight="1">
      <c r="A52" s="705">
        <v>51</v>
      </c>
      <c r="B52" s="696" t="s">
        <v>155</v>
      </c>
      <c r="C52" s="551" t="s">
        <v>1676</v>
      </c>
      <c r="D52" s="587" t="s">
        <v>19</v>
      </c>
      <c r="E52" s="549" t="s">
        <v>1975</v>
      </c>
      <c r="F52" s="587" t="s">
        <v>149</v>
      </c>
      <c r="G52" s="587" t="s">
        <v>733</v>
      </c>
      <c r="H52" s="552" t="s">
        <v>1677</v>
      </c>
      <c r="I52" s="570" t="s">
        <v>1678</v>
      </c>
      <c r="J52" s="571"/>
      <c r="K52" s="572"/>
      <c r="L52" s="572">
        <v>10882413293</v>
      </c>
      <c r="M52" s="592" t="s">
        <v>1679</v>
      </c>
    </row>
    <row r="53" spans="1:13" s="547" customFormat="1" ht="16.5" customHeight="1">
      <c r="A53" s="705">
        <v>52</v>
      </c>
      <c r="B53" s="697" t="s">
        <v>155</v>
      </c>
      <c r="C53" s="551" t="s">
        <v>1672</v>
      </c>
      <c r="D53" s="587" t="s">
        <v>19</v>
      </c>
      <c r="E53" s="553" t="s">
        <v>1974</v>
      </c>
      <c r="F53" s="587" t="s">
        <v>149</v>
      </c>
      <c r="G53" s="587" t="s">
        <v>733</v>
      </c>
      <c r="H53" s="566" t="s">
        <v>1673</v>
      </c>
      <c r="I53" s="570" t="s">
        <v>1674</v>
      </c>
      <c r="J53" s="571">
        <v>1044.46</v>
      </c>
      <c r="K53" s="572">
        <v>14670359210</v>
      </c>
      <c r="L53" s="572">
        <v>14045837291</v>
      </c>
      <c r="M53" s="592"/>
    </row>
    <row r="54" spans="1:13" s="233" customFormat="1" ht="17.25">
      <c r="A54" s="705">
        <v>53</v>
      </c>
      <c r="B54" s="697" t="s">
        <v>155</v>
      </c>
      <c r="C54" s="551" t="s">
        <v>1675</v>
      </c>
      <c r="D54" s="587" t="s">
        <v>19</v>
      </c>
      <c r="E54" s="549" t="s">
        <v>1976</v>
      </c>
      <c r="F54" s="587" t="s">
        <v>149</v>
      </c>
      <c r="G54" s="587" t="s">
        <v>733</v>
      </c>
      <c r="H54" s="552" t="s">
        <v>1680</v>
      </c>
      <c r="I54" s="570" t="s">
        <v>1681</v>
      </c>
      <c r="J54" s="571">
        <v>1006.17</v>
      </c>
      <c r="K54" s="572">
        <v>16278270191</v>
      </c>
      <c r="L54" s="572">
        <v>16178475945</v>
      </c>
      <c r="M54" s="592" t="s">
        <v>1679</v>
      </c>
    </row>
    <row r="55" spans="1:13" s="547" customFormat="1" ht="17.25">
      <c r="A55" s="705">
        <v>54</v>
      </c>
      <c r="B55" s="696" t="s">
        <v>155</v>
      </c>
      <c r="C55" s="551" t="s">
        <v>1671</v>
      </c>
      <c r="D55" s="587" t="s">
        <v>19</v>
      </c>
      <c r="E55" s="549" t="s">
        <v>1973</v>
      </c>
      <c r="F55" s="587" t="s">
        <v>149</v>
      </c>
      <c r="G55" s="587" t="s">
        <v>733</v>
      </c>
      <c r="H55" s="552" t="s">
        <v>1669</v>
      </c>
      <c r="I55" s="570" t="s">
        <v>1670</v>
      </c>
      <c r="J55" s="571">
        <v>999.89</v>
      </c>
      <c r="K55" s="572">
        <v>7291294172</v>
      </c>
      <c r="L55" s="572">
        <v>7292091652</v>
      </c>
      <c r="M55" s="592"/>
    </row>
    <row r="56" spans="1:13" s="233" customFormat="1" ht="17.25">
      <c r="A56" s="705">
        <v>55</v>
      </c>
      <c r="B56" s="695" t="s">
        <v>155</v>
      </c>
      <c r="C56" s="548" t="s">
        <v>1741</v>
      </c>
      <c r="D56" s="595" t="s">
        <v>19</v>
      </c>
      <c r="E56" s="549" t="s">
        <v>2043</v>
      </c>
      <c r="F56" s="595" t="s">
        <v>1743</v>
      </c>
      <c r="G56" s="595" t="s">
        <v>733</v>
      </c>
      <c r="H56" s="594" t="s">
        <v>1732</v>
      </c>
      <c r="I56" s="610" t="s">
        <v>1742</v>
      </c>
      <c r="J56" s="597">
        <v>1000</v>
      </c>
      <c r="K56" s="598">
        <v>300000000</v>
      </c>
      <c r="L56" s="611"/>
      <c r="M56" s="592"/>
    </row>
    <row r="57" spans="1:13" s="362" customFormat="1" ht="16.5" customHeight="1">
      <c r="A57" s="705">
        <v>56</v>
      </c>
      <c r="B57" s="696" t="s">
        <v>155</v>
      </c>
      <c r="C57" s="551" t="s">
        <v>1786</v>
      </c>
      <c r="D57" s="587" t="s">
        <v>19</v>
      </c>
      <c r="E57" s="549" t="s">
        <v>1978</v>
      </c>
      <c r="F57" s="595" t="s">
        <v>58</v>
      </c>
      <c r="G57" s="587" t="s">
        <v>733</v>
      </c>
      <c r="H57" s="594" t="s">
        <v>1764</v>
      </c>
      <c r="I57" s="570" t="s">
        <v>1765</v>
      </c>
      <c r="J57" s="571">
        <v>1000</v>
      </c>
      <c r="K57" s="602"/>
      <c r="L57" s="572"/>
      <c r="M57" s="592"/>
    </row>
    <row r="58" spans="1:13" s="362" customFormat="1" ht="16.5" customHeight="1">
      <c r="A58" s="705">
        <v>57</v>
      </c>
      <c r="B58" s="696" t="s">
        <v>155</v>
      </c>
      <c r="C58" s="551" t="s">
        <v>1831</v>
      </c>
      <c r="D58" s="587" t="s">
        <v>19</v>
      </c>
      <c r="E58" s="549" t="s">
        <v>2037</v>
      </c>
      <c r="F58" s="595" t="s">
        <v>58</v>
      </c>
      <c r="G58" s="587" t="s">
        <v>733</v>
      </c>
      <c r="H58" s="594" t="s">
        <v>1832</v>
      </c>
      <c r="I58" s="570" t="s">
        <v>1833</v>
      </c>
      <c r="J58" s="571">
        <v>1000</v>
      </c>
      <c r="K58" s="602"/>
      <c r="L58" s="572"/>
      <c r="M58" s="592"/>
    </row>
    <row r="59" spans="1:13" s="233" customFormat="1" ht="16.5" customHeight="1">
      <c r="A59" s="705">
        <v>58</v>
      </c>
      <c r="B59" s="696" t="s">
        <v>155</v>
      </c>
      <c r="C59" s="551" t="s">
        <v>2055</v>
      </c>
      <c r="D59" s="587" t="s">
        <v>19</v>
      </c>
      <c r="E59" s="549" t="s">
        <v>2058</v>
      </c>
      <c r="F59" s="595" t="s">
        <v>58</v>
      </c>
      <c r="G59" s="587" t="s">
        <v>733</v>
      </c>
      <c r="H59" s="594" t="s">
        <v>2056</v>
      </c>
      <c r="I59" s="570" t="s">
        <v>2059</v>
      </c>
      <c r="J59" s="571">
        <v>1000</v>
      </c>
      <c r="K59" s="602"/>
      <c r="L59" s="572"/>
      <c r="M59" s="554" t="s">
        <v>2058</v>
      </c>
    </row>
    <row r="60" spans="1:13" s="361" customFormat="1" ht="17.25">
      <c r="A60" s="705">
        <v>59</v>
      </c>
      <c r="B60" s="696" t="s">
        <v>155</v>
      </c>
      <c r="C60" s="551" t="s">
        <v>2086</v>
      </c>
      <c r="D60" s="587" t="s">
        <v>19</v>
      </c>
      <c r="E60" s="549" t="s">
        <v>2449</v>
      </c>
      <c r="F60" s="595" t="s">
        <v>58</v>
      </c>
      <c r="G60" s="587" t="s">
        <v>2083</v>
      </c>
      <c r="H60" s="594" t="s">
        <v>2084</v>
      </c>
      <c r="I60" s="570" t="s">
        <v>2085</v>
      </c>
      <c r="J60" s="571">
        <v>1000</v>
      </c>
      <c r="K60" s="602"/>
      <c r="L60" s="572"/>
      <c r="M60" s="554"/>
    </row>
    <row r="61" spans="1:13" s="362" customFormat="1" ht="16.5" customHeight="1">
      <c r="A61" s="705">
        <v>60</v>
      </c>
      <c r="B61" s="696" t="s">
        <v>155</v>
      </c>
      <c r="C61" s="551" t="s">
        <v>2201</v>
      </c>
      <c r="D61" s="587" t="s">
        <v>19</v>
      </c>
      <c r="E61" s="549" t="s">
        <v>2202</v>
      </c>
      <c r="F61" s="587" t="s">
        <v>58</v>
      </c>
      <c r="G61" s="587" t="s">
        <v>2129</v>
      </c>
      <c r="H61" s="594" t="s">
        <v>2203</v>
      </c>
      <c r="I61" s="570" t="s">
        <v>2204</v>
      </c>
      <c r="J61" s="571">
        <v>1000</v>
      </c>
      <c r="K61" s="602"/>
      <c r="L61" s="572"/>
      <c r="M61" s="554"/>
    </row>
    <row r="62" spans="1:13" s="547" customFormat="1" ht="17.25">
      <c r="A62" s="705">
        <v>61</v>
      </c>
      <c r="B62" s="696" t="s">
        <v>155</v>
      </c>
      <c r="C62" s="551" t="s">
        <v>2227</v>
      </c>
      <c r="D62" s="587" t="s">
        <v>19</v>
      </c>
      <c r="E62" s="549" t="s">
        <v>2228</v>
      </c>
      <c r="F62" s="587" t="s">
        <v>58</v>
      </c>
      <c r="G62" s="587" t="s">
        <v>2129</v>
      </c>
      <c r="H62" s="594" t="s">
        <v>2229</v>
      </c>
      <c r="I62" s="570" t="s">
        <v>2230</v>
      </c>
      <c r="J62" s="571">
        <v>1000</v>
      </c>
      <c r="K62" s="602"/>
      <c r="L62" s="572"/>
      <c r="M62" s="592"/>
    </row>
    <row r="63" spans="1:13" s="1103" customFormat="1" ht="16.5" customHeight="1">
      <c r="A63" s="1092">
        <v>62</v>
      </c>
      <c r="B63" s="1093" t="s">
        <v>155</v>
      </c>
      <c r="C63" s="1094" t="s">
        <v>2232</v>
      </c>
      <c r="D63" s="1095" t="s">
        <v>19</v>
      </c>
      <c r="E63" s="1096" t="s">
        <v>2233</v>
      </c>
      <c r="F63" s="1109" t="s">
        <v>2212</v>
      </c>
      <c r="G63" s="1095" t="s">
        <v>2083</v>
      </c>
      <c r="H63" s="1110" t="s">
        <v>2234</v>
      </c>
      <c r="I63" s="1095" t="s">
        <v>2235</v>
      </c>
      <c r="J63" s="1099">
        <v>1000</v>
      </c>
      <c r="K63" s="1111"/>
      <c r="L63" s="1100"/>
      <c r="M63" s="1102"/>
    </row>
    <row r="64" spans="1:13" s="233" customFormat="1" ht="17.25">
      <c r="A64" s="705">
        <v>63</v>
      </c>
      <c r="B64" s="696" t="s">
        <v>155</v>
      </c>
      <c r="C64" s="551" t="s">
        <v>2061</v>
      </c>
      <c r="D64" s="587" t="s">
        <v>19</v>
      </c>
      <c r="E64" s="549" t="s">
        <v>2211</v>
      </c>
      <c r="F64" s="595" t="s">
        <v>2212</v>
      </c>
      <c r="G64" s="587" t="s">
        <v>2215</v>
      </c>
      <c r="H64" s="594" t="s">
        <v>2214</v>
      </c>
      <c r="I64" s="570" t="s">
        <v>2213</v>
      </c>
      <c r="J64" s="571">
        <v>1019.11</v>
      </c>
      <c r="K64" s="602"/>
      <c r="L64" s="572"/>
      <c r="M64" s="554"/>
    </row>
    <row r="65" spans="1:13" s="233" customFormat="1" ht="17.25">
      <c r="A65" s="705">
        <v>64</v>
      </c>
      <c r="B65" s="696" t="s">
        <v>155</v>
      </c>
      <c r="C65" s="551" t="s">
        <v>2253</v>
      </c>
      <c r="D65" s="587" t="s">
        <v>19</v>
      </c>
      <c r="E65" s="549" t="s">
        <v>2254</v>
      </c>
      <c r="F65" s="595" t="s">
        <v>58</v>
      </c>
      <c r="G65" s="587" t="s">
        <v>2129</v>
      </c>
      <c r="H65" s="594" t="s">
        <v>2255</v>
      </c>
      <c r="I65" s="570" t="s">
        <v>2256</v>
      </c>
      <c r="J65" s="571">
        <v>1000</v>
      </c>
      <c r="K65" s="602"/>
      <c r="L65" s="572"/>
      <c r="M65" s="592"/>
    </row>
    <row r="66" spans="1:13" s="233" customFormat="1" ht="17.25">
      <c r="A66" s="705">
        <v>65</v>
      </c>
      <c r="B66" s="696" t="s">
        <v>155</v>
      </c>
      <c r="C66" s="551" t="s">
        <v>2259</v>
      </c>
      <c r="D66" s="587" t="s">
        <v>19</v>
      </c>
      <c r="E66" s="549" t="s">
        <v>2260</v>
      </c>
      <c r="F66" s="595" t="s">
        <v>2212</v>
      </c>
      <c r="G66" s="587" t="s">
        <v>2129</v>
      </c>
      <c r="H66" s="594" t="s">
        <v>2261</v>
      </c>
      <c r="I66" s="570" t="s">
        <v>2262</v>
      </c>
      <c r="J66" s="571">
        <v>1000</v>
      </c>
      <c r="K66" s="602"/>
      <c r="L66" s="572"/>
      <c r="M66" s="592"/>
    </row>
    <row r="67" spans="1:13" s="362" customFormat="1" ht="16.5" customHeight="1">
      <c r="A67" s="705">
        <v>66</v>
      </c>
      <c r="B67" s="696" t="s">
        <v>155</v>
      </c>
      <c r="C67" s="551" t="s">
        <v>2265</v>
      </c>
      <c r="D67" s="587" t="s">
        <v>19</v>
      </c>
      <c r="E67" s="553" t="s">
        <v>2266</v>
      </c>
      <c r="F67" s="595" t="s">
        <v>58</v>
      </c>
      <c r="G67" s="587" t="s">
        <v>2267</v>
      </c>
      <c r="H67" s="594" t="s">
        <v>2268</v>
      </c>
      <c r="I67" s="570" t="s">
        <v>2269</v>
      </c>
      <c r="J67" s="571">
        <v>1000</v>
      </c>
      <c r="K67" s="602"/>
      <c r="L67" s="572"/>
      <c r="M67" s="592"/>
    </row>
    <row r="68" spans="1:13" s="361" customFormat="1" ht="16.5" customHeight="1">
      <c r="A68" s="705">
        <v>67</v>
      </c>
      <c r="B68" s="697" t="s">
        <v>155</v>
      </c>
      <c r="C68" s="551" t="s">
        <v>2273</v>
      </c>
      <c r="D68" s="587" t="s">
        <v>19</v>
      </c>
      <c r="E68" s="549" t="s">
        <v>2442</v>
      </c>
      <c r="F68" s="595" t="s">
        <v>58</v>
      </c>
      <c r="G68" s="587" t="s">
        <v>2267</v>
      </c>
      <c r="H68" s="594" t="s">
        <v>2274</v>
      </c>
      <c r="I68" s="570" t="s">
        <v>2275</v>
      </c>
      <c r="J68" s="571">
        <v>1000</v>
      </c>
      <c r="K68" s="602"/>
      <c r="L68" s="572"/>
      <c r="M68" s="592"/>
    </row>
    <row r="69" spans="1:13" s="233" customFormat="1" ht="17.25">
      <c r="A69" s="705">
        <v>68</v>
      </c>
      <c r="B69" s="696" t="s">
        <v>155</v>
      </c>
      <c r="C69" s="551" t="s">
        <v>2299</v>
      </c>
      <c r="D69" s="587" t="s">
        <v>19</v>
      </c>
      <c r="E69" s="549" t="s">
        <v>2343</v>
      </c>
      <c r="F69" s="595" t="s">
        <v>58</v>
      </c>
      <c r="G69" s="587" t="s">
        <v>2083</v>
      </c>
      <c r="H69" s="594" t="s">
        <v>2300</v>
      </c>
      <c r="I69" s="570" t="s">
        <v>2301</v>
      </c>
      <c r="J69" s="571">
        <v>1000</v>
      </c>
      <c r="K69" s="602"/>
      <c r="L69" s="572"/>
      <c r="M69" s="592"/>
    </row>
    <row r="70" spans="1:13" s="233" customFormat="1" ht="17.25">
      <c r="A70" s="705">
        <v>69</v>
      </c>
      <c r="B70" s="696" t="s">
        <v>155</v>
      </c>
      <c r="C70" s="551" t="s">
        <v>2336</v>
      </c>
      <c r="D70" s="587" t="s">
        <v>19</v>
      </c>
      <c r="E70" s="549" t="s">
        <v>2338</v>
      </c>
      <c r="F70" s="595" t="s">
        <v>58</v>
      </c>
      <c r="G70" s="587" t="s">
        <v>2129</v>
      </c>
      <c r="H70" s="635" t="s">
        <v>2340</v>
      </c>
      <c r="I70" s="570" t="s">
        <v>2342</v>
      </c>
      <c r="J70" s="571">
        <v>1000</v>
      </c>
      <c r="K70" s="602"/>
      <c r="L70" s="572"/>
      <c r="M70" s="592"/>
    </row>
    <row r="71" spans="1:13" s="233" customFormat="1" ht="17.25">
      <c r="A71" s="705">
        <v>70</v>
      </c>
      <c r="B71" s="696" t="s">
        <v>155</v>
      </c>
      <c r="C71" s="551" t="s">
        <v>2335</v>
      </c>
      <c r="D71" s="587" t="s">
        <v>19</v>
      </c>
      <c r="E71" s="549" t="s">
        <v>2337</v>
      </c>
      <c r="F71" s="595" t="s">
        <v>2212</v>
      </c>
      <c r="G71" s="587" t="s">
        <v>2129</v>
      </c>
      <c r="H71" s="594" t="s">
        <v>2339</v>
      </c>
      <c r="I71" s="570" t="s">
        <v>2341</v>
      </c>
      <c r="J71" s="571">
        <v>1000</v>
      </c>
      <c r="K71" s="602"/>
      <c r="L71" s="572"/>
      <c r="M71" s="592"/>
    </row>
    <row r="72" spans="1:13" s="1103" customFormat="1" ht="16.5" customHeight="1">
      <c r="A72" s="1092">
        <v>71</v>
      </c>
      <c r="B72" s="1093" t="s">
        <v>155</v>
      </c>
      <c r="C72" s="1094" t="s">
        <v>2410</v>
      </c>
      <c r="D72" s="1095" t="s">
        <v>19</v>
      </c>
      <c r="E72" s="1104" t="s">
        <v>2411</v>
      </c>
      <c r="F72" s="1109" t="s">
        <v>2212</v>
      </c>
      <c r="G72" s="1095" t="s">
        <v>2083</v>
      </c>
      <c r="H72" s="1110" t="s">
        <v>2412</v>
      </c>
      <c r="I72" s="1095" t="s">
        <v>2413</v>
      </c>
      <c r="J72" s="1099">
        <v>1000</v>
      </c>
      <c r="K72" s="1111"/>
      <c r="L72" s="1100"/>
      <c r="M72" s="1102"/>
    </row>
    <row r="73" spans="1:13" s="233" customFormat="1" ht="16.5" customHeight="1">
      <c r="A73" s="705">
        <v>72</v>
      </c>
      <c r="B73" s="696" t="s">
        <v>155</v>
      </c>
      <c r="C73" s="551" t="s">
        <v>179</v>
      </c>
      <c r="D73" s="551" t="s">
        <v>37</v>
      </c>
      <c r="E73" s="717" t="s">
        <v>2448</v>
      </c>
      <c r="F73" s="551" t="s">
        <v>23</v>
      </c>
      <c r="G73" s="590" t="s">
        <v>150</v>
      </c>
      <c r="H73" s="624" t="s">
        <v>180</v>
      </c>
      <c r="I73" s="570" t="s">
        <v>2478</v>
      </c>
      <c r="J73" s="591">
        <v>2142.46</v>
      </c>
      <c r="K73" s="572">
        <v>75185538794</v>
      </c>
      <c r="L73" s="572">
        <v>35093055294</v>
      </c>
      <c r="M73" s="611" t="s">
        <v>32</v>
      </c>
    </row>
    <row r="74" spans="1:13" s="361" customFormat="1" ht="17.25">
      <c r="A74" s="705">
        <v>73</v>
      </c>
      <c r="B74" s="696" t="s">
        <v>148</v>
      </c>
      <c r="C74" s="551" t="s">
        <v>228</v>
      </c>
      <c r="D74" s="551" t="s">
        <v>33</v>
      </c>
      <c r="E74" s="717" t="s">
        <v>2447</v>
      </c>
      <c r="F74" s="568" t="s">
        <v>175</v>
      </c>
      <c r="G74" s="590" t="s">
        <v>201</v>
      </c>
      <c r="H74" s="623" t="s">
        <v>227</v>
      </c>
      <c r="I74" s="570">
        <v>2015.02</v>
      </c>
      <c r="J74" s="571">
        <v>1051.9100000000001</v>
      </c>
      <c r="K74" s="572">
        <v>20038031709</v>
      </c>
      <c r="L74" s="572">
        <v>19049159925</v>
      </c>
      <c r="M74" s="611" t="s">
        <v>13</v>
      </c>
    </row>
    <row r="75" spans="1:13" s="233" customFormat="1" ht="16.5" customHeight="1">
      <c r="A75" s="705">
        <v>74</v>
      </c>
      <c r="B75" s="696" t="s">
        <v>148</v>
      </c>
      <c r="C75" s="586" t="s">
        <v>202</v>
      </c>
      <c r="D75" s="551" t="s">
        <v>33</v>
      </c>
      <c r="E75" s="717" t="s">
        <v>2446</v>
      </c>
      <c r="F75" s="551" t="s">
        <v>28</v>
      </c>
      <c r="G75" s="551" t="s">
        <v>201</v>
      </c>
      <c r="H75" s="623" t="s">
        <v>200</v>
      </c>
      <c r="I75" s="570">
        <v>2019.08</v>
      </c>
      <c r="J75" s="591" t="s">
        <v>21</v>
      </c>
      <c r="K75" s="572" t="s">
        <v>21</v>
      </c>
      <c r="L75" s="572" t="s">
        <v>21</v>
      </c>
      <c r="M75" s="592" t="s">
        <v>32</v>
      </c>
    </row>
    <row r="76" spans="1:13" s="233" customFormat="1" ht="16.5" customHeight="1">
      <c r="A76" s="705">
        <v>75</v>
      </c>
      <c r="B76" s="696" t="s">
        <v>155</v>
      </c>
      <c r="C76" s="551" t="s">
        <v>185</v>
      </c>
      <c r="D76" s="551" t="s">
        <v>37</v>
      </c>
      <c r="E76" s="717" t="s">
        <v>2445</v>
      </c>
      <c r="F76" s="568" t="s">
        <v>165</v>
      </c>
      <c r="G76" s="590" t="s">
        <v>150</v>
      </c>
      <c r="H76" s="623" t="s">
        <v>186</v>
      </c>
      <c r="I76" s="570" t="s">
        <v>2479</v>
      </c>
      <c r="J76" s="591">
        <v>1541.13</v>
      </c>
      <c r="K76" s="572">
        <v>978050379689</v>
      </c>
      <c r="L76" s="572">
        <v>634632522064</v>
      </c>
      <c r="M76" s="592" t="s">
        <v>32</v>
      </c>
    </row>
    <row r="77" spans="1:13" s="233" customFormat="1" ht="17.25">
      <c r="A77" s="705">
        <v>76</v>
      </c>
      <c r="B77" s="718" t="s">
        <v>155</v>
      </c>
      <c r="C77" s="555" t="s">
        <v>1429</v>
      </c>
      <c r="D77" s="603" t="s">
        <v>19</v>
      </c>
      <c r="E77" s="852" t="s">
        <v>2444</v>
      </c>
      <c r="F77" s="603" t="s">
        <v>29</v>
      </c>
      <c r="G77" s="603" t="s">
        <v>733</v>
      </c>
      <c r="H77" s="719" t="s">
        <v>1430</v>
      </c>
      <c r="I77" s="605" t="s">
        <v>1431</v>
      </c>
      <c r="J77" s="606">
        <v>1586.93</v>
      </c>
      <c r="K77" s="639">
        <v>118260000000</v>
      </c>
      <c r="L77" s="639"/>
      <c r="M77" s="609"/>
    </row>
    <row r="78" spans="1:13" s="233" customFormat="1" ht="17.25">
      <c r="A78" s="705">
        <v>77</v>
      </c>
      <c r="B78" s="551" t="s">
        <v>155</v>
      </c>
      <c r="C78" s="551" t="s">
        <v>189</v>
      </c>
      <c r="D78" s="551" t="s">
        <v>37</v>
      </c>
      <c r="E78" s="853" t="s">
        <v>2443</v>
      </c>
      <c r="F78" s="568" t="s">
        <v>29</v>
      </c>
      <c r="G78" s="590" t="s">
        <v>150</v>
      </c>
      <c r="H78" s="720" t="s">
        <v>190</v>
      </c>
      <c r="I78" s="570" t="s">
        <v>2480</v>
      </c>
      <c r="J78" s="591">
        <v>1515.53</v>
      </c>
      <c r="K78" s="572">
        <v>23472659731</v>
      </c>
      <c r="L78" s="572">
        <v>15488051130</v>
      </c>
      <c r="M78" s="572" t="s">
        <v>32</v>
      </c>
    </row>
    <row r="79" spans="1:13" s="233" customFormat="1" ht="17.25">
      <c r="A79" s="705">
        <v>78</v>
      </c>
      <c r="B79" s="551" t="s">
        <v>155</v>
      </c>
      <c r="C79" s="551" t="s">
        <v>2476</v>
      </c>
      <c r="D79" s="587" t="s">
        <v>19</v>
      </c>
      <c r="E79" s="854" t="s">
        <v>3049</v>
      </c>
      <c r="F79" s="587" t="s">
        <v>2212</v>
      </c>
      <c r="G79" s="587" t="s">
        <v>2129</v>
      </c>
      <c r="H79" s="1067" t="s">
        <v>2477</v>
      </c>
      <c r="I79" s="570">
        <v>2025.04</v>
      </c>
      <c r="J79" s="591">
        <v>1000</v>
      </c>
      <c r="K79" s="572"/>
      <c r="L79" s="572"/>
      <c r="M79" s="572"/>
    </row>
    <row r="80" spans="1:13" s="622" customFormat="1" ht="17.25">
      <c r="A80" s="705">
        <v>79</v>
      </c>
      <c r="B80" s="551" t="s">
        <v>155</v>
      </c>
      <c r="C80" s="551" t="s">
        <v>2486</v>
      </c>
      <c r="D80" s="587" t="s">
        <v>33</v>
      </c>
      <c r="E80" s="854" t="s">
        <v>3059</v>
      </c>
      <c r="F80" s="587" t="s">
        <v>58</v>
      </c>
      <c r="G80" s="587" t="s">
        <v>2083</v>
      </c>
      <c r="H80" s="720" t="s">
        <v>2487</v>
      </c>
      <c r="I80" s="570">
        <v>2025.04</v>
      </c>
      <c r="J80" s="591">
        <v>1000</v>
      </c>
      <c r="K80" s="572"/>
      <c r="L80" s="572"/>
      <c r="M80" s="572"/>
    </row>
    <row r="81" spans="1:13" s="622" customFormat="1" ht="17.25">
      <c r="A81" s="705">
        <v>80</v>
      </c>
      <c r="B81" s="551" t="s">
        <v>155</v>
      </c>
      <c r="C81" s="551" t="s">
        <v>2515</v>
      </c>
      <c r="D81" s="587" t="s">
        <v>19</v>
      </c>
      <c r="E81" s="1055" t="s">
        <v>2863</v>
      </c>
      <c r="F81" s="587" t="s">
        <v>58</v>
      </c>
      <c r="G81" s="587" t="s">
        <v>2516</v>
      </c>
      <c r="H81" s="720" t="s">
        <v>2517</v>
      </c>
      <c r="I81" s="570">
        <v>2025.05</v>
      </c>
      <c r="J81" s="591">
        <v>1000</v>
      </c>
      <c r="K81" s="572"/>
      <c r="L81" s="572"/>
      <c r="M81" s="572"/>
    </row>
    <row r="82" spans="1:13" s="622" customFormat="1" ht="17.25">
      <c r="A82" s="705">
        <v>81</v>
      </c>
      <c r="B82" s="551" t="s">
        <v>155</v>
      </c>
      <c r="C82" s="551" t="s">
        <v>2623</v>
      </c>
      <c r="D82" s="587" t="s">
        <v>19</v>
      </c>
      <c r="E82" s="238" t="s">
        <v>2624</v>
      </c>
      <c r="F82" s="587" t="s">
        <v>2523</v>
      </c>
      <c r="G82" s="587" t="s">
        <v>2083</v>
      </c>
      <c r="H82" s="720" t="s">
        <v>2518</v>
      </c>
      <c r="I82" s="570">
        <v>2025.05</v>
      </c>
      <c r="J82" s="591">
        <v>1000</v>
      </c>
      <c r="K82" s="572"/>
      <c r="L82" s="572"/>
      <c r="M82" s="572"/>
    </row>
    <row r="83" spans="1:13" s="622" customFormat="1" ht="17.25">
      <c r="A83" s="705">
        <v>82</v>
      </c>
      <c r="B83" s="551" t="s">
        <v>155</v>
      </c>
      <c r="C83" s="551" t="s">
        <v>2519</v>
      </c>
      <c r="D83" s="587" t="s">
        <v>19</v>
      </c>
      <c r="E83" s="238" t="s">
        <v>2520</v>
      </c>
      <c r="F83" s="587" t="s">
        <v>2522</v>
      </c>
      <c r="G83" s="587" t="s">
        <v>2516</v>
      </c>
      <c r="H83" s="720" t="s">
        <v>2521</v>
      </c>
      <c r="I83" s="570">
        <v>2025.04</v>
      </c>
      <c r="J83" s="591">
        <v>1000</v>
      </c>
      <c r="K83" s="572"/>
      <c r="L83" s="572"/>
      <c r="M83" s="572"/>
    </row>
    <row r="84" spans="1:13" s="1103" customFormat="1">
      <c r="A84" s="1092">
        <v>83</v>
      </c>
      <c r="B84" s="1094" t="s">
        <v>155</v>
      </c>
      <c r="C84" s="1094" t="s">
        <v>2654</v>
      </c>
      <c r="D84" s="1095" t="s">
        <v>19</v>
      </c>
      <c r="E84" s="1092" t="s">
        <v>2655</v>
      </c>
      <c r="F84" s="1095" t="s">
        <v>149</v>
      </c>
      <c r="G84" s="1095" t="s">
        <v>2656</v>
      </c>
      <c r="H84" s="1107" t="s">
        <v>2657</v>
      </c>
      <c r="I84" s="1095">
        <v>2019.04</v>
      </c>
      <c r="J84" s="1108">
        <v>1005</v>
      </c>
      <c r="K84" s="1100"/>
      <c r="L84" s="1100"/>
      <c r="M84" s="1100"/>
    </row>
    <row r="85" spans="1:13" s="622" customFormat="1" ht="17.25">
      <c r="A85" s="705">
        <v>84</v>
      </c>
      <c r="B85" s="871" t="s">
        <v>2658</v>
      </c>
      <c r="C85" s="871" t="s">
        <v>2659</v>
      </c>
      <c r="D85" s="872" t="s">
        <v>2660</v>
      </c>
      <c r="E85" s="873" t="s">
        <v>2661</v>
      </c>
      <c r="F85" s="872" t="s">
        <v>2663</v>
      </c>
      <c r="G85" s="872" t="s">
        <v>2662</v>
      </c>
      <c r="H85" s="874" t="s">
        <v>2664</v>
      </c>
      <c r="I85" s="875">
        <v>2019.12</v>
      </c>
      <c r="J85" s="876">
        <v>1023</v>
      </c>
      <c r="K85" s="877"/>
      <c r="L85" s="877"/>
      <c r="M85" s="877"/>
    </row>
    <row r="86" spans="1:13" s="878" customFormat="1" ht="17.25">
      <c r="A86" s="705">
        <v>85</v>
      </c>
      <c r="B86" s="551" t="s">
        <v>155</v>
      </c>
      <c r="C86" s="551" t="s">
        <v>2668</v>
      </c>
      <c r="D86" s="587" t="s">
        <v>19</v>
      </c>
      <c r="E86" s="238" t="s">
        <v>2667</v>
      </c>
      <c r="F86" s="587" t="s">
        <v>2669</v>
      </c>
      <c r="G86" s="587" t="s">
        <v>2129</v>
      </c>
      <c r="H86" s="1052" t="s">
        <v>2666</v>
      </c>
      <c r="I86" s="570">
        <v>2025.06</v>
      </c>
      <c r="J86" s="591">
        <v>0</v>
      </c>
      <c r="K86" s="572"/>
      <c r="L86" s="572"/>
      <c r="M86" s="572"/>
    </row>
    <row r="87" spans="1:13" s="885" customFormat="1" ht="17.25">
      <c r="A87" s="705">
        <v>86</v>
      </c>
      <c r="B87" s="551" t="s">
        <v>155</v>
      </c>
      <c r="C87" s="551" t="s">
        <v>2673</v>
      </c>
      <c r="D87" s="587" t="s">
        <v>19</v>
      </c>
      <c r="E87" s="238" t="s">
        <v>2674</v>
      </c>
      <c r="F87" s="587" t="s">
        <v>2669</v>
      </c>
      <c r="G87" s="587" t="s">
        <v>2675</v>
      </c>
      <c r="H87" s="1052" t="s">
        <v>2676</v>
      </c>
      <c r="I87" s="570" t="s">
        <v>2677</v>
      </c>
      <c r="J87" s="591">
        <v>0</v>
      </c>
      <c r="K87" s="572"/>
      <c r="L87" s="572"/>
      <c r="M87" s="572"/>
    </row>
    <row r="88" spans="1:13" s="885" customFormat="1" ht="17.25">
      <c r="A88" s="705">
        <v>87</v>
      </c>
      <c r="B88" s="551" t="s">
        <v>155</v>
      </c>
      <c r="C88" s="551" t="s">
        <v>2681</v>
      </c>
      <c r="D88" s="587" t="s">
        <v>19</v>
      </c>
      <c r="E88" s="238" t="s">
        <v>2678</v>
      </c>
      <c r="F88" s="587" t="s">
        <v>2669</v>
      </c>
      <c r="G88" s="587" t="s">
        <v>2675</v>
      </c>
      <c r="H88" s="1052" t="s">
        <v>2679</v>
      </c>
      <c r="I88" s="570" t="s">
        <v>2680</v>
      </c>
      <c r="J88" s="591">
        <v>0</v>
      </c>
      <c r="K88" s="572"/>
      <c r="L88" s="572"/>
      <c r="M88" s="572"/>
    </row>
    <row r="89" spans="1:13" s="885" customFormat="1" ht="17.25">
      <c r="A89" s="705">
        <v>88</v>
      </c>
      <c r="B89" s="551" t="s">
        <v>155</v>
      </c>
      <c r="C89" s="551" t="s">
        <v>2782</v>
      </c>
      <c r="D89" s="587" t="s">
        <v>19</v>
      </c>
      <c r="E89" s="238" t="s">
        <v>2783</v>
      </c>
      <c r="F89" s="587" t="s">
        <v>58</v>
      </c>
      <c r="G89" s="587" t="s">
        <v>2516</v>
      </c>
      <c r="H89" s="1052" t="s">
        <v>2784</v>
      </c>
      <c r="I89" s="570">
        <v>2025.06</v>
      </c>
      <c r="J89" s="591">
        <v>0</v>
      </c>
      <c r="K89" s="572"/>
      <c r="L89" s="572"/>
      <c r="M89" s="572"/>
    </row>
    <row r="90" spans="1:13" s="885" customFormat="1" ht="17.25">
      <c r="A90" s="705">
        <v>89</v>
      </c>
      <c r="B90" s="551" t="s">
        <v>155</v>
      </c>
      <c r="C90" s="551" t="s">
        <v>2971</v>
      </c>
      <c r="D90" s="587" t="s">
        <v>2972</v>
      </c>
      <c r="E90" s="238" t="s">
        <v>2975</v>
      </c>
      <c r="F90" s="587" t="s">
        <v>2973</v>
      </c>
      <c r="G90" s="587"/>
      <c r="H90" s="1052" t="s">
        <v>2974</v>
      </c>
      <c r="I90" s="570">
        <v>2025.07</v>
      </c>
      <c r="J90" s="591"/>
      <c r="K90" s="572"/>
      <c r="L90" s="572"/>
      <c r="M90" s="572"/>
    </row>
    <row r="91" spans="1:13" s="885" customFormat="1" ht="18.75" customHeight="1">
      <c r="A91" s="705">
        <v>90</v>
      </c>
      <c r="B91" s="551" t="s">
        <v>155</v>
      </c>
      <c r="C91" s="551" t="s">
        <v>2800</v>
      </c>
      <c r="D91" s="587" t="s">
        <v>19</v>
      </c>
      <c r="E91" s="238" t="s">
        <v>2801</v>
      </c>
      <c r="F91" s="587" t="s">
        <v>2212</v>
      </c>
      <c r="G91" s="587" t="s">
        <v>2516</v>
      </c>
      <c r="H91" s="1052" t="s">
        <v>2802</v>
      </c>
      <c r="I91" s="570">
        <v>2025.08</v>
      </c>
      <c r="J91" s="591">
        <v>0</v>
      </c>
      <c r="K91" s="572"/>
      <c r="L91" s="572"/>
      <c r="M91" s="572"/>
    </row>
    <row r="92" spans="1:13" s="1114" customFormat="1" ht="18.75" customHeight="1">
      <c r="A92" s="1092">
        <v>91</v>
      </c>
      <c r="B92" s="1094" t="s">
        <v>155</v>
      </c>
      <c r="C92" s="1094" t="s">
        <v>2803</v>
      </c>
      <c r="D92" s="1095" t="s">
        <v>19</v>
      </c>
      <c r="E92" s="1092" t="s">
        <v>2804</v>
      </c>
      <c r="F92" s="1095" t="s">
        <v>2212</v>
      </c>
      <c r="G92" s="1095" t="s">
        <v>2083</v>
      </c>
      <c r="H92" s="1113" t="s">
        <v>2805</v>
      </c>
      <c r="I92" s="1095">
        <v>2025.08</v>
      </c>
      <c r="J92" s="1108">
        <v>0</v>
      </c>
      <c r="K92" s="1100"/>
      <c r="L92" s="1100"/>
      <c r="M92" s="1100"/>
    </row>
    <row r="93" spans="1:13" s="1114" customFormat="1" ht="18.75" customHeight="1">
      <c r="A93" s="1092">
        <v>92</v>
      </c>
      <c r="B93" s="1094" t="s">
        <v>155</v>
      </c>
      <c r="C93" s="1094" t="s">
        <v>2877</v>
      </c>
      <c r="D93" s="1095" t="s">
        <v>19</v>
      </c>
      <c r="E93" s="1092" t="s">
        <v>2880</v>
      </c>
      <c r="F93" s="1095" t="s">
        <v>2212</v>
      </c>
      <c r="G93" s="1095"/>
      <c r="H93" s="1113" t="s">
        <v>2879</v>
      </c>
      <c r="I93" s="1095"/>
      <c r="J93" s="1108"/>
      <c r="K93" s="1100"/>
      <c r="L93" s="1100"/>
      <c r="M93" s="1100"/>
    </row>
    <row r="94" spans="1:13" s="885" customFormat="1" ht="18.75" customHeight="1">
      <c r="A94" s="705">
        <v>93</v>
      </c>
      <c r="B94" s="551" t="s">
        <v>155</v>
      </c>
      <c r="C94" s="551" t="s">
        <v>2878</v>
      </c>
      <c r="D94" s="587" t="s">
        <v>19</v>
      </c>
      <c r="E94" s="238" t="s">
        <v>2881</v>
      </c>
      <c r="F94" s="587" t="s">
        <v>2212</v>
      </c>
      <c r="G94" s="587"/>
      <c r="H94" s="1052" t="s">
        <v>2882</v>
      </c>
      <c r="I94" s="570"/>
      <c r="J94" s="591"/>
      <c r="K94" s="572"/>
      <c r="L94" s="572"/>
      <c r="M94" s="572"/>
    </row>
    <row r="95" spans="1:13" s="885" customFormat="1" ht="18.75" customHeight="1">
      <c r="A95" s="705">
        <v>94</v>
      </c>
      <c r="B95" s="551" t="s">
        <v>155</v>
      </c>
      <c r="C95" s="551" t="s">
        <v>2871</v>
      </c>
      <c r="D95" s="587" t="s">
        <v>19</v>
      </c>
      <c r="E95" s="238" t="s">
        <v>2872</v>
      </c>
      <c r="F95" s="587" t="s">
        <v>58</v>
      </c>
      <c r="G95" s="587" t="s">
        <v>2083</v>
      </c>
      <c r="H95" s="1052" t="s">
        <v>2873</v>
      </c>
      <c r="I95" s="570">
        <v>2025.09</v>
      </c>
      <c r="J95" s="591">
        <v>0</v>
      </c>
      <c r="K95" s="572"/>
      <c r="L95" s="572"/>
      <c r="M95" s="572"/>
    </row>
    <row r="96" spans="1:13" s="885" customFormat="1" ht="18.75" customHeight="1">
      <c r="A96" s="705">
        <v>95</v>
      </c>
      <c r="B96" s="551" t="s">
        <v>155</v>
      </c>
      <c r="C96" s="551" t="s">
        <v>2874</v>
      </c>
      <c r="D96" s="587" t="s">
        <v>19</v>
      </c>
      <c r="E96" s="238" t="s">
        <v>2875</v>
      </c>
      <c r="F96" s="587" t="s">
        <v>58</v>
      </c>
      <c r="G96" s="587" t="s">
        <v>2083</v>
      </c>
      <c r="H96" s="1052" t="s">
        <v>2876</v>
      </c>
      <c r="I96" s="570">
        <v>2025.09</v>
      </c>
      <c r="J96" s="591">
        <v>0</v>
      </c>
      <c r="K96" s="572"/>
      <c r="L96" s="572"/>
      <c r="M96" s="572"/>
    </row>
    <row r="97" spans="1:13" s="885" customFormat="1" ht="18.75" customHeight="1">
      <c r="A97" s="705">
        <v>96</v>
      </c>
      <c r="B97" s="551" t="s">
        <v>155</v>
      </c>
      <c r="C97" s="551" t="s">
        <v>2893</v>
      </c>
      <c r="D97" s="587" t="s">
        <v>19</v>
      </c>
      <c r="E97" s="238" t="s">
        <v>2894</v>
      </c>
      <c r="F97" s="587" t="s">
        <v>58</v>
      </c>
      <c r="G97" s="587" t="s">
        <v>2083</v>
      </c>
      <c r="H97" s="1052" t="s">
        <v>2895</v>
      </c>
      <c r="I97" s="570">
        <v>2025.09</v>
      </c>
      <c r="J97" s="591">
        <v>0</v>
      </c>
      <c r="K97" s="572"/>
      <c r="L97" s="572"/>
      <c r="M97" s="572"/>
    </row>
    <row r="98" spans="1:13" s="1114" customFormat="1" ht="18.75" customHeight="1">
      <c r="A98" s="1092">
        <v>97</v>
      </c>
      <c r="B98" s="1094" t="s">
        <v>155</v>
      </c>
      <c r="C98" s="1094" t="s">
        <v>2898</v>
      </c>
      <c r="D98" s="1095" t="s">
        <v>19</v>
      </c>
      <c r="E98" s="1092" t="s">
        <v>2899</v>
      </c>
      <c r="F98" s="1095" t="s">
        <v>27</v>
      </c>
      <c r="G98" s="1095" t="s">
        <v>2083</v>
      </c>
      <c r="H98" s="1113" t="s">
        <v>2901</v>
      </c>
      <c r="I98" s="1095" t="s">
        <v>2900</v>
      </c>
      <c r="J98" s="1108">
        <v>0</v>
      </c>
      <c r="K98" s="1100"/>
      <c r="L98" s="1100"/>
      <c r="M98" s="1100"/>
    </row>
    <row r="99" spans="1:13" s="885" customFormat="1" ht="18.75" customHeight="1">
      <c r="A99" s="705">
        <v>98</v>
      </c>
      <c r="B99" s="656" t="s">
        <v>155</v>
      </c>
      <c r="C99" s="656" t="s">
        <v>2968</v>
      </c>
      <c r="D99" s="678" t="s">
        <v>19</v>
      </c>
      <c r="E99" s="1065" t="s">
        <v>3064</v>
      </c>
      <c r="F99" s="678" t="s">
        <v>2970</v>
      </c>
      <c r="G99" s="678" t="s">
        <v>2675</v>
      </c>
      <c r="H99" s="1066" t="s">
        <v>2969</v>
      </c>
      <c r="I99" s="661">
        <v>2026.01</v>
      </c>
      <c r="J99" s="668">
        <v>1000</v>
      </c>
      <c r="K99" s="663"/>
      <c r="L99" s="572"/>
      <c r="M99" s="572"/>
    </row>
    <row r="100" spans="1:13" s="885" customFormat="1" ht="18.75" customHeight="1">
      <c r="A100" s="705">
        <v>99</v>
      </c>
      <c r="B100" s="656" t="s">
        <v>155</v>
      </c>
      <c r="C100" s="656" t="s">
        <v>3015</v>
      </c>
      <c r="D100" s="678" t="s">
        <v>19</v>
      </c>
      <c r="E100" s="1065" t="s">
        <v>3063</v>
      </c>
      <c r="F100" s="678" t="s">
        <v>2212</v>
      </c>
      <c r="G100" s="678" t="s">
        <v>3011</v>
      </c>
      <c r="H100" s="1066" t="s">
        <v>3010</v>
      </c>
      <c r="I100" s="661">
        <v>2026.02</v>
      </c>
      <c r="J100" s="668">
        <v>1000</v>
      </c>
      <c r="K100" s="663"/>
      <c r="L100" s="572"/>
      <c r="M100" s="572"/>
    </row>
    <row r="101" spans="1:13" s="1077" customFormat="1" ht="18.75" customHeight="1">
      <c r="A101" s="705">
        <v>100</v>
      </c>
      <c r="B101" s="551" t="s">
        <v>155</v>
      </c>
      <c r="C101" s="551" t="s">
        <v>3028</v>
      </c>
      <c r="D101" s="587" t="s">
        <v>19</v>
      </c>
      <c r="E101" s="238"/>
      <c r="F101" s="587" t="s">
        <v>58</v>
      </c>
      <c r="G101" s="587" t="s">
        <v>2083</v>
      </c>
      <c r="H101" s="1076" t="s">
        <v>3029</v>
      </c>
      <c r="I101" s="570"/>
      <c r="J101" s="591">
        <v>1000</v>
      </c>
      <c r="K101" s="572"/>
      <c r="L101" s="572"/>
      <c r="M101" s="572"/>
    </row>
    <row r="102" spans="1:13" s="885" customFormat="1" ht="18.75" customHeight="1" thickBot="1">
      <c r="A102" s="879"/>
      <c r="B102" s="621"/>
      <c r="C102" s="621"/>
      <c r="D102" s="880"/>
      <c r="E102" s="881"/>
      <c r="F102" s="880"/>
      <c r="G102" s="880"/>
      <c r="H102" s="1"/>
      <c r="I102" s="882"/>
      <c r="J102" s="883"/>
      <c r="K102" s="884"/>
      <c r="L102" s="884"/>
      <c r="M102" s="884"/>
    </row>
    <row r="103" spans="1:13" s="885" customFormat="1" ht="18" thickBot="1">
      <c r="A103" s="25" t="s">
        <v>0</v>
      </c>
      <c r="B103" s="26" t="s">
        <v>1</v>
      </c>
      <c r="C103" s="26" t="s">
        <v>17</v>
      </c>
      <c r="D103" s="26" t="s">
        <v>2</v>
      </c>
      <c r="E103" s="26" t="s">
        <v>3</v>
      </c>
      <c r="F103" s="26" t="s">
        <v>35</v>
      </c>
      <c r="G103" s="26" t="s">
        <v>5</v>
      </c>
      <c r="H103" s="164" t="s">
        <v>18</v>
      </c>
      <c r="I103" s="27" t="s">
        <v>7</v>
      </c>
      <c r="J103" s="28" t="s">
        <v>8</v>
      </c>
      <c r="K103" s="29" t="s">
        <v>9</v>
      </c>
      <c r="L103" s="884"/>
      <c r="M103" s="884"/>
    </row>
    <row r="104" spans="1:13" s="885" customFormat="1" ht="18" thickTop="1">
      <c r="A104" s="128" t="s">
        <v>148</v>
      </c>
      <c r="B104" s="129" t="s">
        <v>1250</v>
      </c>
      <c r="C104" s="129" t="s">
        <v>33</v>
      </c>
      <c r="D104" s="129" t="s">
        <v>10</v>
      </c>
      <c r="E104" s="129" t="s">
        <v>165</v>
      </c>
      <c r="F104" s="130" t="s">
        <v>1266</v>
      </c>
      <c r="G104" s="158" t="s">
        <v>1267</v>
      </c>
      <c r="H104" s="144">
        <v>2017.02</v>
      </c>
      <c r="I104" s="131">
        <v>1255.52</v>
      </c>
      <c r="J104" s="132">
        <v>209764251167</v>
      </c>
      <c r="K104" s="133">
        <v>167073000000</v>
      </c>
      <c r="L104" s="884"/>
      <c r="M104" s="884"/>
    </row>
    <row r="105" spans="1:13" s="885" customFormat="1" ht="17.25">
      <c r="A105" s="51" t="s">
        <v>148</v>
      </c>
      <c r="B105" s="52" t="s">
        <v>1251</v>
      </c>
      <c r="C105" s="129" t="s">
        <v>33</v>
      </c>
      <c r="D105" s="129" t="s">
        <v>10</v>
      </c>
      <c r="E105" s="129" t="s">
        <v>165</v>
      </c>
      <c r="F105" s="130" t="s">
        <v>1266</v>
      </c>
      <c r="G105" s="127" t="s">
        <v>1268</v>
      </c>
      <c r="H105" s="145">
        <v>2017.08</v>
      </c>
      <c r="I105" s="134">
        <v>1234.9000000000001</v>
      </c>
      <c r="J105" s="3">
        <v>83088511822</v>
      </c>
      <c r="K105" s="32">
        <v>67284000000</v>
      </c>
      <c r="L105" s="884"/>
      <c r="M105" s="884"/>
    </row>
    <row r="106" spans="1:13" s="885" customFormat="1" ht="17.25">
      <c r="A106" s="51" t="s">
        <v>148</v>
      </c>
      <c r="B106" s="52" t="s">
        <v>1252</v>
      </c>
      <c r="C106" s="129" t="s">
        <v>33</v>
      </c>
      <c r="D106" s="129" t="s">
        <v>10</v>
      </c>
      <c r="E106" s="129" t="s">
        <v>165</v>
      </c>
      <c r="F106" s="130" t="s">
        <v>1266</v>
      </c>
      <c r="G106" s="159" t="s">
        <v>1269</v>
      </c>
      <c r="H106" s="145">
        <v>2017.03</v>
      </c>
      <c r="I106" s="134">
        <v>1341.4</v>
      </c>
      <c r="J106" s="3">
        <v>150995522272</v>
      </c>
      <c r="K106" s="32">
        <v>112565000000</v>
      </c>
      <c r="L106" s="884"/>
      <c r="M106" s="884"/>
    </row>
    <row r="107" spans="1:13" s="885" customFormat="1" ht="17.25">
      <c r="A107" s="51" t="s">
        <v>155</v>
      </c>
      <c r="B107" s="52" t="s">
        <v>1253</v>
      </c>
      <c r="C107" s="129" t="s">
        <v>33</v>
      </c>
      <c r="D107" s="129" t="s">
        <v>10</v>
      </c>
      <c r="E107" s="129" t="s">
        <v>165</v>
      </c>
      <c r="F107" s="130" t="s">
        <v>1266</v>
      </c>
      <c r="G107" s="159" t="s">
        <v>1270</v>
      </c>
      <c r="H107" s="145">
        <v>2017.03</v>
      </c>
      <c r="I107" s="134">
        <v>1402.52</v>
      </c>
      <c r="J107" s="3">
        <v>267394251042</v>
      </c>
      <c r="K107" s="32">
        <v>190652000000</v>
      </c>
      <c r="L107" s="884"/>
      <c r="M107" s="884"/>
    </row>
    <row r="108" spans="1:13" s="885" customFormat="1" ht="17.25">
      <c r="A108" s="51" t="s">
        <v>155</v>
      </c>
      <c r="B108" s="52" t="s">
        <v>1254</v>
      </c>
      <c r="C108" s="129" t="s">
        <v>33</v>
      </c>
      <c r="D108" s="129" t="s">
        <v>10</v>
      </c>
      <c r="E108" s="129" t="s">
        <v>165</v>
      </c>
      <c r="F108" s="130" t="s">
        <v>1266</v>
      </c>
      <c r="G108" s="159" t="s">
        <v>1271</v>
      </c>
      <c r="H108" s="145">
        <v>2017.03</v>
      </c>
      <c r="I108" s="134">
        <v>1450.39</v>
      </c>
      <c r="J108" s="3">
        <v>137308107107</v>
      </c>
      <c r="K108" s="32">
        <v>94670000000</v>
      </c>
      <c r="L108" s="884"/>
      <c r="M108" s="884"/>
    </row>
    <row r="109" spans="1:13" s="885" customFormat="1" ht="17.25">
      <c r="A109" s="135" t="s">
        <v>155</v>
      </c>
      <c r="B109" s="52" t="s">
        <v>1255</v>
      </c>
      <c r="C109" s="129" t="s">
        <v>33</v>
      </c>
      <c r="D109" s="129" t="s">
        <v>10</v>
      </c>
      <c r="E109" s="129" t="s">
        <v>165</v>
      </c>
      <c r="F109" s="130" t="s">
        <v>1266</v>
      </c>
      <c r="G109" s="159" t="s">
        <v>1272</v>
      </c>
      <c r="H109" s="145">
        <v>2017.03</v>
      </c>
      <c r="I109" s="134">
        <v>1495.76</v>
      </c>
      <c r="J109" s="3">
        <v>185851270375</v>
      </c>
      <c r="K109" s="32">
        <v>124252000000</v>
      </c>
      <c r="L109" s="884"/>
      <c r="M109" s="884"/>
    </row>
    <row r="110" spans="1:13" s="885" customFormat="1" ht="17.25">
      <c r="A110" s="51" t="s">
        <v>155</v>
      </c>
      <c r="B110" s="52" t="s">
        <v>1256</v>
      </c>
      <c r="C110" s="129" t="s">
        <v>33</v>
      </c>
      <c r="D110" s="129" t="s">
        <v>10</v>
      </c>
      <c r="E110" s="129" t="s">
        <v>165</v>
      </c>
      <c r="F110" s="130" t="s">
        <v>1266</v>
      </c>
      <c r="G110" s="159" t="s">
        <v>1273</v>
      </c>
      <c r="H110" s="145">
        <v>2017.03</v>
      </c>
      <c r="I110" s="134">
        <v>1504.51</v>
      </c>
      <c r="J110" s="3">
        <v>245809922393</v>
      </c>
      <c r="K110" s="32">
        <v>163382000000</v>
      </c>
      <c r="L110" s="884"/>
      <c r="M110" s="884"/>
    </row>
    <row r="111" spans="1:13" s="885" customFormat="1" ht="17.25">
      <c r="A111" s="51" t="s">
        <v>155</v>
      </c>
      <c r="B111" s="52" t="s">
        <v>1282</v>
      </c>
      <c r="C111" s="129" t="s">
        <v>33</v>
      </c>
      <c r="D111" s="129" t="s">
        <v>10</v>
      </c>
      <c r="E111" s="129" t="s">
        <v>165</v>
      </c>
      <c r="F111" s="130" t="s">
        <v>1266</v>
      </c>
      <c r="G111" s="127" t="s">
        <v>1274</v>
      </c>
      <c r="H111" s="145">
        <v>2017.11</v>
      </c>
      <c r="I111" s="134">
        <v>1228.99</v>
      </c>
      <c r="J111" s="3">
        <v>12811973855</v>
      </c>
      <c r="K111" s="32">
        <v>10425000000</v>
      </c>
      <c r="L111" s="884"/>
      <c r="M111" s="884"/>
    </row>
    <row r="112" spans="1:13" s="622" customFormat="1" ht="17.25">
      <c r="A112" s="51" t="s">
        <v>155</v>
      </c>
      <c r="B112" s="52" t="s">
        <v>1257</v>
      </c>
      <c r="C112" s="129" t="s">
        <v>33</v>
      </c>
      <c r="D112" s="129" t="s">
        <v>10</v>
      </c>
      <c r="E112" s="129" t="s">
        <v>165</v>
      </c>
      <c r="F112" s="130" t="s">
        <v>1266</v>
      </c>
      <c r="G112" s="159" t="s">
        <v>1275</v>
      </c>
      <c r="H112" s="165">
        <v>2017.11</v>
      </c>
      <c r="I112" s="134">
        <v>1089.27</v>
      </c>
      <c r="J112" s="3">
        <v>10783907911</v>
      </c>
      <c r="K112" s="32">
        <v>9900000000</v>
      </c>
      <c r="L112" s="233"/>
      <c r="M112" s="233"/>
    </row>
    <row r="113" spans="1:13" s="622" customFormat="1" ht="17.25">
      <c r="A113" s="168" t="s">
        <v>148</v>
      </c>
      <c r="B113" s="169" t="s">
        <v>1258</v>
      </c>
      <c r="C113" s="170" t="s">
        <v>33</v>
      </c>
      <c r="D113" s="170" t="s">
        <v>1265</v>
      </c>
      <c r="E113" s="170" t="s">
        <v>165</v>
      </c>
      <c r="F113" s="171" t="s">
        <v>1266</v>
      </c>
      <c r="G113" s="172" t="s">
        <v>1276</v>
      </c>
      <c r="H113" s="173">
        <v>2019.09</v>
      </c>
      <c r="I113" s="174">
        <v>1332.52</v>
      </c>
      <c r="J113" s="175">
        <v>57491883133</v>
      </c>
      <c r="K113" s="176">
        <v>43145000000</v>
      </c>
      <c r="L113" s="233"/>
      <c r="M113" s="233"/>
    </row>
    <row r="114" spans="1:13" s="622" customFormat="1" ht="17.25">
      <c r="A114" s="51" t="s">
        <v>155</v>
      </c>
      <c r="B114" s="136" t="s">
        <v>1259</v>
      </c>
      <c r="C114" s="129" t="s">
        <v>33</v>
      </c>
      <c r="D114" s="129" t="s">
        <v>10</v>
      </c>
      <c r="E114" s="129" t="s">
        <v>165</v>
      </c>
      <c r="F114" s="130" t="s">
        <v>1266</v>
      </c>
      <c r="G114" s="160" t="s">
        <v>1283</v>
      </c>
      <c r="H114" s="145">
        <v>2019.09</v>
      </c>
      <c r="I114" s="134">
        <v>1282.55</v>
      </c>
      <c r="J114" s="3">
        <v>33795090323</v>
      </c>
      <c r="K114" s="32">
        <v>26350000000</v>
      </c>
      <c r="L114" s="233"/>
      <c r="M114" s="233"/>
    </row>
    <row r="115" spans="1:13" s="622" customFormat="1" ht="18" thickBot="1">
      <c r="A115" s="51" t="s">
        <v>155</v>
      </c>
      <c r="B115" s="52" t="s">
        <v>1260</v>
      </c>
      <c r="C115" s="129" t="s">
        <v>33</v>
      </c>
      <c r="D115" s="129" t="s">
        <v>10</v>
      </c>
      <c r="E115" s="129" t="s">
        <v>165</v>
      </c>
      <c r="F115" s="130" t="s">
        <v>1266</v>
      </c>
      <c r="G115" s="127" t="s">
        <v>1281</v>
      </c>
      <c r="H115" s="145">
        <v>2021.02</v>
      </c>
      <c r="I115" s="134">
        <v>969.69</v>
      </c>
      <c r="J115" s="3">
        <v>5199324937</v>
      </c>
      <c r="K115" s="32">
        <v>5352000000</v>
      </c>
    </row>
    <row r="116" spans="1:13" s="622" customFormat="1" ht="18" thickBot="1">
      <c r="A116" s="51" t="s">
        <v>155</v>
      </c>
      <c r="B116" s="52" t="s">
        <v>1261</v>
      </c>
      <c r="C116" s="129" t="s">
        <v>33</v>
      </c>
      <c r="D116" s="129" t="s">
        <v>10</v>
      </c>
      <c r="E116" s="129" t="s">
        <v>58</v>
      </c>
      <c r="F116" s="130" t="s">
        <v>1266</v>
      </c>
      <c r="G116" s="127" t="s">
        <v>1277</v>
      </c>
      <c r="H116" s="145">
        <v>2022.03</v>
      </c>
      <c r="I116" s="134">
        <v>995.98</v>
      </c>
      <c r="J116" s="3">
        <v>2589659810</v>
      </c>
      <c r="K116" s="32">
        <v>2600000000</v>
      </c>
      <c r="L116" s="711" t="s">
        <v>9</v>
      </c>
      <c r="M116" s="712" t="s">
        <v>65</v>
      </c>
    </row>
    <row r="117" spans="1:13" s="622" customFormat="1" ht="18" thickTop="1">
      <c r="A117" s="168" t="s">
        <v>155</v>
      </c>
      <c r="B117" s="178" t="s">
        <v>1262</v>
      </c>
      <c r="C117" s="170" t="s">
        <v>33</v>
      </c>
      <c r="D117" s="170" t="s">
        <v>1265</v>
      </c>
      <c r="E117" s="170" t="s">
        <v>58</v>
      </c>
      <c r="F117" s="171" t="s">
        <v>1266</v>
      </c>
      <c r="G117" s="179" t="s">
        <v>1279</v>
      </c>
      <c r="H117" s="173">
        <v>2022.03</v>
      </c>
      <c r="I117" s="174">
        <v>997.22</v>
      </c>
      <c r="J117" s="175">
        <v>5056007745</v>
      </c>
      <c r="K117" s="176">
        <v>5070000000</v>
      </c>
      <c r="L117" s="646">
        <v>14861000000</v>
      </c>
      <c r="M117" s="647" t="s">
        <v>13</v>
      </c>
    </row>
    <row r="118" spans="1:13" s="622" customFormat="1" ht="17.25">
      <c r="A118" s="51" t="s">
        <v>155</v>
      </c>
      <c r="B118" s="137" t="s">
        <v>1263</v>
      </c>
      <c r="C118" s="129" t="s">
        <v>33</v>
      </c>
      <c r="D118" s="129" t="s">
        <v>10</v>
      </c>
      <c r="E118" s="129" t="s">
        <v>58</v>
      </c>
      <c r="F118" s="130" t="s">
        <v>1266</v>
      </c>
      <c r="G118" s="127" t="s">
        <v>1278</v>
      </c>
      <c r="H118" s="145">
        <v>2022.03</v>
      </c>
      <c r="I118" s="134">
        <v>995.98</v>
      </c>
      <c r="J118" s="3">
        <v>2589659810</v>
      </c>
      <c r="K118" s="32">
        <v>2600000000</v>
      </c>
      <c r="L118" s="654"/>
      <c r="M118" s="655"/>
    </row>
    <row r="119" spans="1:13" s="622" customFormat="1" ht="17.25">
      <c r="A119" s="180" t="s">
        <v>155</v>
      </c>
      <c r="B119" s="178" t="s">
        <v>1264</v>
      </c>
      <c r="C119" s="170" t="s">
        <v>33</v>
      </c>
      <c r="D119" s="170" t="s">
        <v>1265</v>
      </c>
      <c r="E119" s="170" t="s">
        <v>58</v>
      </c>
      <c r="F119" s="171" t="s">
        <v>1266</v>
      </c>
      <c r="G119" s="179" t="s">
        <v>1280</v>
      </c>
      <c r="H119" s="181">
        <v>2022.03</v>
      </c>
      <c r="I119" s="182">
        <v>997.22</v>
      </c>
      <c r="J119" s="183">
        <v>5056007745</v>
      </c>
      <c r="K119" s="184">
        <v>5070000000</v>
      </c>
      <c r="L119" s="663">
        <v>49986253594</v>
      </c>
      <c r="M119" s="664" t="s">
        <v>13</v>
      </c>
    </row>
    <row r="120" spans="1:13" s="622" customFormat="1" ht="17.25">
      <c r="A120" s="656" t="s">
        <v>155</v>
      </c>
      <c r="B120" s="656" t="s">
        <v>226</v>
      </c>
      <c r="C120" s="656" t="s">
        <v>33</v>
      </c>
      <c r="D120" s="657" t="s">
        <v>1883</v>
      </c>
      <c r="E120" s="658" t="s">
        <v>28</v>
      </c>
      <c r="F120" s="659" t="s">
        <v>192</v>
      </c>
      <c r="G120" s="660" t="s">
        <v>225</v>
      </c>
      <c r="H120" s="661">
        <v>2017.01</v>
      </c>
      <c r="I120" s="662">
        <v>1004.4</v>
      </c>
      <c r="J120" s="663">
        <v>51325061</v>
      </c>
      <c r="K120" s="663">
        <v>51100411</v>
      </c>
      <c r="L120" s="664" t="s">
        <v>13</v>
      </c>
    </row>
    <row r="121" spans="1:13" s="622" customFormat="1" ht="17.25">
      <c r="A121" s="656" t="s">
        <v>148</v>
      </c>
      <c r="B121" s="656" t="s">
        <v>224</v>
      </c>
      <c r="C121" s="656" t="s">
        <v>33</v>
      </c>
      <c r="D121" s="657" t="s">
        <v>1883</v>
      </c>
      <c r="E121" s="658" t="s">
        <v>28</v>
      </c>
      <c r="F121" s="659" t="s">
        <v>192</v>
      </c>
      <c r="G121" s="660" t="s">
        <v>223</v>
      </c>
      <c r="H121" s="661">
        <v>2017.02</v>
      </c>
      <c r="I121" s="662">
        <v>1004.3</v>
      </c>
      <c r="J121" s="663">
        <v>26777950</v>
      </c>
      <c r="K121" s="663">
        <v>26663310</v>
      </c>
      <c r="L121" s="664" t="s">
        <v>13</v>
      </c>
    </row>
    <row r="122" spans="1:13" s="622" customFormat="1" ht="17.25">
      <c r="A122" s="670" t="s">
        <v>155</v>
      </c>
      <c r="B122" s="670" t="s">
        <v>167</v>
      </c>
      <c r="C122" s="670" t="s">
        <v>37</v>
      </c>
      <c r="D122" s="657" t="s">
        <v>1883</v>
      </c>
      <c r="E122" s="671" t="s">
        <v>149</v>
      </c>
      <c r="F122" s="672" t="s">
        <v>1603</v>
      </c>
      <c r="G122" s="673" t="s">
        <v>168</v>
      </c>
      <c r="H122" s="674">
        <v>43143</v>
      </c>
      <c r="I122" s="675">
        <v>1129.93</v>
      </c>
      <c r="J122" s="676">
        <v>9031082238</v>
      </c>
      <c r="K122" s="676">
        <v>7992573894</v>
      </c>
      <c r="L122" s="677" t="s">
        <v>13</v>
      </c>
    </row>
    <row r="123" spans="1:13" s="622" customFormat="1" ht="17.25">
      <c r="A123" s="656" t="s">
        <v>148</v>
      </c>
      <c r="B123" s="656" t="s">
        <v>222</v>
      </c>
      <c r="C123" s="656" t="s">
        <v>19</v>
      </c>
      <c r="D123" s="657" t="s">
        <v>1883</v>
      </c>
      <c r="E123" s="658" t="s">
        <v>29</v>
      </c>
      <c r="F123" s="659" t="s">
        <v>192</v>
      </c>
      <c r="G123" s="660" t="s">
        <v>221</v>
      </c>
      <c r="H123" s="661">
        <v>2017.03</v>
      </c>
      <c r="I123" s="662">
        <v>1087.28</v>
      </c>
      <c r="J123" s="663">
        <v>4603753071</v>
      </c>
      <c r="K123" s="663">
        <v>4234181632</v>
      </c>
      <c r="L123" s="664" t="s">
        <v>13</v>
      </c>
    </row>
    <row r="124" spans="1:13" s="622" customFormat="1" ht="17.25">
      <c r="A124" s="656" t="s">
        <v>155</v>
      </c>
      <c r="B124" s="656" t="s">
        <v>220</v>
      </c>
      <c r="C124" s="656" t="s">
        <v>19</v>
      </c>
      <c r="D124" s="657" t="s">
        <v>1883</v>
      </c>
      <c r="E124" s="658" t="s">
        <v>29</v>
      </c>
      <c r="F124" s="659" t="s">
        <v>192</v>
      </c>
      <c r="G124" s="660" t="s">
        <v>219</v>
      </c>
      <c r="H124" s="661">
        <v>2017.05</v>
      </c>
      <c r="I124" s="662">
        <v>1103.04</v>
      </c>
      <c r="J124" s="663">
        <v>11515530493</v>
      </c>
      <c r="K124" s="663">
        <v>10439770836</v>
      </c>
      <c r="L124" s="664" t="s">
        <v>13</v>
      </c>
    </row>
    <row r="125" spans="1:13" s="622" customFormat="1" ht="17.25">
      <c r="A125" s="656" t="s">
        <v>155</v>
      </c>
      <c r="B125" s="656" t="s">
        <v>218</v>
      </c>
      <c r="C125" s="656" t="s">
        <v>19</v>
      </c>
      <c r="D125" s="657" t="s">
        <v>1883</v>
      </c>
      <c r="E125" s="658" t="s">
        <v>27</v>
      </c>
      <c r="F125" s="659" t="s">
        <v>192</v>
      </c>
      <c r="G125" s="660" t="s">
        <v>217</v>
      </c>
      <c r="H125" s="661">
        <v>2017.05</v>
      </c>
      <c r="I125" s="662">
        <v>1025.3499999999999</v>
      </c>
      <c r="J125" s="663">
        <v>15459684190</v>
      </c>
      <c r="K125" s="663">
        <v>15077490173</v>
      </c>
      <c r="L125" s="664" t="s">
        <v>13</v>
      </c>
    </row>
    <row r="126" spans="1:13" s="622" customFormat="1" ht="17.25">
      <c r="A126" s="656" t="s">
        <v>155</v>
      </c>
      <c r="B126" s="667" t="s">
        <v>197</v>
      </c>
      <c r="C126" s="656" t="s">
        <v>19</v>
      </c>
      <c r="D126" s="657" t="s">
        <v>1883</v>
      </c>
      <c r="E126" s="690" t="s">
        <v>29</v>
      </c>
      <c r="F126" s="656" t="s">
        <v>192</v>
      </c>
      <c r="G126" s="660" t="s">
        <v>196</v>
      </c>
      <c r="H126" s="661">
        <v>2017.05</v>
      </c>
      <c r="I126" s="668" t="s">
        <v>21</v>
      </c>
      <c r="J126" s="663" t="s">
        <v>21</v>
      </c>
      <c r="K126" s="663" t="s">
        <v>21</v>
      </c>
      <c r="L126" s="664" t="s">
        <v>32</v>
      </c>
    </row>
    <row r="127" spans="1:13" s="622" customFormat="1" ht="17.25">
      <c r="A127" s="656" t="s">
        <v>155</v>
      </c>
      <c r="B127" s="656" t="s">
        <v>216</v>
      </c>
      <c r="C127" s="656" t="s">
        <v>19</v>
      </c>
      <c r="D127" s="657" t="s">
        <v>1883</v>
      </c>
      <c r="E127" s="658" t="s">
        <v>27</v>
      </c>
      <c r="F127" s="659" t="s">
        <v>192</v>
      </c>
      <c r="G127" s="660" t="s">
        <v>215</v>
      </c>
      <c r="H127" s="661">
        <v>2017.05</v>
      </c>
      <c r="I127" s="662">
        <v>1017.57</v>
      </c>
      <c r="J127" s="663">
        <v>3847522802</v>
      </c>
      <c r="K127" s="663">
        <v>3781094530</v>
      </c>
      <c r="L127" s="664" t="s">
        <v>13</v>
      </c>
    </row>
    <row r="128" spans="1:13" s="622" customFormat="1" ht="17.25">
      <c r="A128" s="656" t="s">
        <v>155</v>
      </c>
      <c r="B128" s="656" t="s">
        <v>214</v>
      </c>
      <c r="C128" s="656" t="s">
        <v>19</v>
      </c>
      <c r="D128" s="657" t="s">
        <v>1883</v>
      </c>
      <c r="E128" s="658" t="s">
        <v>29</v>
      </c>
      <c r="F128" s="659" t="s">
        <v>192</v>
      </c>
      <c r="G128" s="660" t="s">
        <v>213</v>
      </c>
      <c r="H128" s="661">
        <v>2017.07</v>
      </c>
      <c r="I128" s="662">
        <v>1123.7</v>
      </c>
      <c r="J128" s="663">
        <v>7865929645</v>
      </c>
      <c r="K128" s="663">
        <v>7000000000</v>
      </c>
      <c r="L128" s="664" t="s">
        <v>13</v>
      </c>
    </row>
    <row r="129" spans="1:12" s="622" customFormat="1" ht="17.25">
      <c r="A129" s="656" t="s">
        <v>155</v>
      </c>
      <c r="B129" s="656" t="s">
        <v>170</v>
      </c>
      <c r="C129" s="656" t="s">
        <v>42</v>
      </c>
      <c r="D129" s="657" t="s">
        <v>1883</v>
      </c>
      <c r="E129" s="658" t="s">
        <v>27</v>
      </c>
      <c r="F129" s="659" t="s">
        <v>150</v>
      </c>
      <c r="G129" s="660" t="s">
        <v>171</v>
      </c>
      <c r="H129" s="669">
        <v>43265</v>
      </c>
      <c r="I129" s="662">
        <v>1098.6400000000001</v>
      </c>
      <c r="J129" s="663">
        <v>10986358904</v>
      </c>
      <c r="K129" s="663">
        <v>10000000000</v>
      </c>
      <c r="L129" s="664" t="s">
        <v>13</v>
      </c>
    </row>
    <row r="130" spans="1:12" s="622" customFormat="1" ht="17.25">
      <c r="A130" s="656" t="s">
        <v>155</v>
      </c>
      <c r="B130" s="656" t="s">
        <v>754</v>
      </c>
      <c r="C130" s="678" t="s">
        <v>42</v>
      </c>
      <c r="D130" s="657" t="s">
        <v>1883</v>
      </c>
      <c r="E130" s="678" t="s">
        <v>28</v>
      </c>
      <c r="F130" s="678" t="s">
        <v>733</v>
      </c>
      <c r="G130" s="679" t="s">
        <v>755</v>
      </c>
      <c r="H130" s="661">
        <v>2018.09</v>
      </c>
      <c r="I130" s="571"/>
      <c r="J130" s="572"/>
      <c r="K130" s="572"/>
      <c r="L130" s="592" t="s">
        <v>32</v>
      </c>
    </row>
    <row r="131" spans="1:12" s="622" customFormat="1" ht="17.25">
      <c r="A131" s="656" t="s">
        <v>155</v>
      </c>
      <c r="B131" s="656" t="s">
        <v>363</v>
      </c>
      <c r="C131" s="678" t="s">
        <v>42</v>
      </c>
      <c r="D131" s="657" t="s">
        <v>1883</v>
      </c>
      <c r="E131" s="678" t="s">
        <v>28</v>
      </c>
      <c r="F131" s="678" t="s">
        <v>733</v>
      </c>
      <c r="G131" s="680" t="s">
        <v>737</v>
      </c>
      <c r="H131" s="661">
        <v>2019.01</v>
      </c>
      <c r="I131" s="662">
        <v>1004.92</v>
      </c>
      <c r="J131" s="663">
        <v>93106780251</v>
      </c>
      <c r="K131" s="663">
        <v>92651050941</v>
      </c>
      <c r="L131" s="664" t="s">
        <v>13</v>
      </c>
    </row>
    <row r="132" spans="1:12" s="622" customFormat="1" ht="17.25">
      <c r="A132" s="656" t="s">
        <v>155</v>
      </c>
      <c r="B132" s="667" t="s">
        <v>206</v>
      </c>
      <c r="C132" s="656" t="s">
        <v>19</v>
      </c>
      <c r="D132" s="657" t="s">
        <v>1883</v>
      </c>
      <c r="E132" s="656" t="s">
        <v>28</v>
      </c>
      <c r="F132" s="656" t="s">
        <v>192</v>
      </c>
      <c r="G132" s="666" t="s">
        <v>205</v>
      </c>
      <c r="H132" s="661">
        <v>2020.08</v>
      </c>
      <c r="I132" s="668" t="s">
        <v>21</v>
      </c>
      <c r="J132" s="663" t="s">
        <v>21</v>
      </c>
      <c r="K132" s="663" t="s">
        <v>21</v>
      </c>
      <c r="L132" s="664" t="s">
        <v>32</v>
      </c>
    </row>
    <row r="133" spans="1:12" s="622" customFormat="1" ht="17.25">
      <c r="A133" s="656" t="s">
        <v>155</v>
      </c>
      <c r="B133" s="656" t="s">
        <v>208</v>
      </c>
      <c r="C133" s="656" t="s">
        <v>19</v>
      </c>
      <c r="D133" s="657" t="s">
        <v>1883</v>
      </c>
      <c r="E133" s="665" t="s">
        <v>28</v>
      </c>
      <c r="F133" s="659" t="s">
        <v>192</v>
      </c>
      <c r="G133" s="666" t="s">
        <v>207</v>
      </c>
      <c r="H133" s="661">
        <v>2020.08</v>
      </c>
      <c r="I133" s="662">
        <v>1014.79</v>
      </c>
      <c r="J133" s="663">
        <v>50739555714</v>
      </c>
      <c r="K133" s="663">
        <v>50000000000</v>
      </c>
      <c r="L133" s="664" t="s">
        <v>13</v>
      </c>
    </row>
    <row r="134" spans="1:12" s="622" customFormat="1" ht="17.25">
      <c r="A134" s="685" t="s">
        <v>155</v>
      </c>
      <c r="B134" s="685" t="s">
        <v>842</v>
      </c>
      <c r="C134" s="686" t="s">
        <v>19</v>
      </c>
      <c r="D134" s="657" t="s">
        <v>1883</v>
      </c>
      <c r="E134" s="686" t="s">
        <v>175</v>
      </c>
      <c r="F134" s="686" t="s">
        <v>1606</v>
      </c>
      <c r="G134" s="687" t="s">
        <v>2066</v>
      </c>
      <c r="H134" s="686">
        <v>2022.01</v>
      </c>
      <c r="I134" s="688">
        <v>1089.8</v>
      </c>
      <c r="J134" s="689" t="s">
        <v>21</v>
      </c>
      <c r="K134" s="575"/>
      <c r="L134" s="565" t="s">
        <v>13</v>
      </c>
    </row>
    <row r="135" spans="1:12" s="622" customFormat="1" ht="17.25">
      <c r="A135" s="656" t="s">
        <v>155</v>
      </c>
      <c r="B135" s="656" t="s">
        <v>372</v>
      </c>
      <c r="C135" s="678" t="s">
        <v>42</v>
      </c>
      <c r="D135" s="657" t="s">
        <v>1883</v>
      </c>
      <c r="E135" s="678" t="s">
        <v>28</v>
      </c>
      <c r="F135" s="678" t="s">
        <v>733</v>
      </c>
      <c r="G135" s="679" t="s">
        <v>758</v>
      </c>
      <c r="H135" s="684">
        <v>2021.01</v>
      </c>
      <c r="I135" s="571"/>
      <c r="J135" s="572"/>
      <c r="K135" s="572"/>
      <c r="L135" s="592" t="s">
        <v>32</v>
      </c>
    </row>
    <row r="136" spans="1:12" s="622" customFormat="1" ht="17.25">
      <c r="A136" s="656" t="s">
        <v>155</v>
      </c>
      <c r="B136" s="656" t="s">
        <v>373</v>
      </c>
      <c r="C136" s="678" t="s">
        <v>42</v>
      </c>
      <c r="D136" s="657" t="s">
        <v>1883</v>
      </c>
      <c r="E136" s="678" t="s">
        <v>28</v>
      </c>
      <c r="F136" s="678" t="s">
        <v>733</v>
      </c>
      <c r="G136" s="679" t="s">
        <v>2430</v>
      </c>
      <c r="H136" s="684">
        <v>2021.01</v>
      </c>
      <c r="I136" s="571"/>
      <c r="J136" s="572"/>
      <c r="K136" s="572"/>
      <c r="L136" s="592" t="s">
        <v>32</v>
      </c>
    </row>
    <row r="137" spans="1:12" s="622" customFormat="1" ht="17.25">
      <c r="A137" s="656" t="s">
        <v>155</v>
      </c>
      <c r="B137" s="656" t="s">
        <v>374</v>
      </c>
      <c r="C137" s="678" t="s">
        <v>42</v>
      </c>
      <c r="D137" s="657" t="s">
        <v>1883</v>
      </c>
      <c r="E137" s="678" t="s">
        <v>28</v>
      </c>
      <c r="F137" s="678" t="s">
        <v>733</v>
      </c>
      <c r="G137" s="666" t="s">
        <v>2431</v>
      </c>
      <c r="H137" s="684">
        <v>2021.01</v>
      </c>
      <c r="I137" s="571"/>
      <c r="J137" s="572"/>
      <c r="K137" s="572"/>
      <c r="L137" s="592" t="s">
        <v>32</v>
      </c>
    </row>
    <row r="138" spans="1:12" s="622" customFormat="1" ht="17.25">
      <c r="A138" s="656" t="s">
        <v>155</v>
      </c>
      <c r="B138" s="656" t="s">
        <v>177</v>
      </c>
      <c r="C138" s="656" t="s">
        <v>37</v>
      </c>
      <c r="D138" s="657" t="s">
        <v>1883</v>
      </c>
      <c r="E138" s="665" t="s">
        <v>175</v>
      </c>
      <c r="F138" s="659" t="s">
        <v>150</v>
      </c>
      <c r="G138" s="681" t="s">
        <v>178</v>
      </c>
      <c r="H138" s="669">
        <v>44068</v>
      </c>
      <c r="I138" s="668">
        <v>1019.27</v>
      </c>
      <c r="J138" s="663">
        <v>47636757211</v>
      </c>
      <c r="K138" s="663">
        <v>46736233067</v>
      </c>
      <c r="L138" s="664" t="s">
        <v>32</v>
      </c>
    </row>
    <row r="139" spans="1:12" s="622" customFormat="1" ht="17.25">
      <c r="A139" s="656" t="s">
        <v>155</v>
      </c>
      <c r="B139" s="656" t="s">
        <v>174</v>
      </c>
      <c r="C139" s="656" t="s">
        <v>37</v>
      </c>
      <c r="D139" s="657" t="s">
        <v>1883</v>
      </c>
      <c r="E139" s="665" t="s">
        <v>175</v>
      </c>
      <c r="F139" s="659" t="s">
        <v>150</v>
      </c>
      <c r="G139" s="666" t="s">
        <v>176</v>
      </c>
      <c r="H139" s="669">
        <v>44068</v>
      </c>
      <c r="I139" s="662">
        <v>1001.39</v>
      </c>
      <c r="J139" s="663">
        <v>25844304621</v>
      </c>
      <c r="K139" s="663">
        <v>25808422947</v>
      </c>
      <c r="L139" s="664" t="s">
        <v>13</v>
      </c>
    </row>
    <row r="140" spans="1:12" s="622" customFormat="1" ht="17.25">
      <c r="A140" s="670" t="s">
        <v>155</v>
      </c>
      <c r="B140" s="670" t="s">
        <v>187</v>
      </c>
      <c r="C140" s="670" t="s">
        <v>37</v>
      </c>
      <c r="D140" s="657" t="s">
        <v>1883</v>
      </c>
      <c r="E140" s="674" t="s">
        <v>175</v>
      </c>
      <c r="F140" s="672" t="s">
        <v>150</v>
      </c>
      <c r="G140" s="682" t="s">
        <v>188</v>
      </c>
      <c r="H140" s="674">
        <v>44124</v>
      </c>
      <c r="I140" s="683">
        <v>1159.1099999999999</v>
      </c>
      <c r="J140" s="676">
        <v>48889380208</v>
      </c>
      <c r="K140" s="676">
        <v>4006000000</v>
      </c>
      <c r="L140" s="677" t="s">
        <v>13</v>
      </c>
    </row>
    <row r="141" spans="1:12" s="622" customFormat="1" ht="17.25">
      <c r="A141" s="656" t="s">
        <v>155</v>
      </c>
      <c r="B141" s="667" t="s">
        <v>204</v>
      </c>
      <c r="C141" s="656" t="s">
        <v>19</v>
      </c>
      <c r="D141" s="657" t="s">
        <v>1883</v>
      </c>
      <c r="E141" s="656" t="s">
        <v>165</v>
      </c>
      <c r="F141" s="656" t="s">
        <v>192</v>
      </c>
      <c r="G141" s="666" t="s">
        <v>203</v>
      </c>
      <c r="H141" s="661">
        <v>2020.04</v>
      </c>
      <c r="I141" s="668" t="s">
        <v>21</v>
      </c>
      <c r="J141" s="663" t="s">
        <v>21</v>
      </c>
      <c r="K141" s="663" t="s">
        <v>21</v>
      </c>
      <c r="L141" s="691" t="s">
        <v>32</v>
      </c>
    </row>
    <row r="142" spans="1:12" s="622" customFormat="1" ht="17.25">
      <c r="A142" s="656" t="s">
        <v>155</v>
      </c>
      <c r="B142" s="667" t="s">
        <v>199</v>
      </c>
      <c r="C142" s="656" t="s">
        <v>19</v>
      </c>
      <c r="D142" s="657" t="s">
        <v>1883</v>
      </c>
      <c r="E142" s="656" t="s">
        <v>27</v>
      </c>
      <c r="F142" s="656" t="s">
        <v>192</v>
      </c>
      <c r="G142" s="666" t="s">
        <v>198</v>
      </c>
      <c r="H142" s="661">
        <v>2019.02</v>
      </c>
      <c r="I142" s="668" t="s">
        <v>21</v>
      </c>
      <c r="J142" s="663" t="s">
        <v>21</v>
      </c>
      <c r="K142" s="663" t="s">
        <v>21</v>
      </c>
      <c r="L142" s="691" t="s">
        <v>32</v>
      </c>
    </row>
    <row r="143" spans="1:12" ht="17.25">
      <c r="A143" s="648" t="s">
        <v>155</v>
      </c>
      <c r="B143" s="648" t="s">
        <v>461</v>
      </c>
      <c r="C143" s="649" t="s">
        <v>19</v>
      </c>
      <c r="D143" s="650" t="s">
        <v>1883</v>
      </c>
      <c r="E143" s="649" t="s">
        <v>175</v>
      </c>
      <c r="F143" s="649" t="s">
        <v>733</v>
      </c>
      <c r="G143" s="651" t="s">
        <v>762</v>
      </c>
      <c r="H143" s="652">
        <v>2011.04</v>
      </c>
      <c r="I143" s="653">
        <v>939.55</v>
      </c>
      <c r="J143" s="654">
        <v>3125333300</v>
      </c>
      <c r="K143" s="654">
        <v>4344380432</v>
      </c>
      <c r="L143" s="692"/>
    </row>
    <row r="144" spans="1:12" ht="17.25">
      <c r="A144" s="551" t="s">
        <v>155</v>
      </c>
      <c r="B144" s="551" t="s">
        <v>832</v>
      </c>
      <c r="C144" s="587" t="s">
        <v>19</v>
      </c>
      <c r="D144" s="549" t="s">
        <v>1883</v>
      </c>
      <c r="E144" s="587"/>
      <c r="F144" s="587" t="s">
        <v>813</v>
      </c>
      <c r="G144" s="583" t="s">
        <v>833</v>
      </c>
      <c r="H144" s="570">
        <v>2021.09</v>
      </c>
      <c r="I144" s="571"/>
      <c r="J144" s="572"/>
      <c r="K144" s="572"/>
      <c r="L144" s="592"/>
    </row>
    <row r="145" spans="1:12" ht="17.25">
      <c r="A145" s="551" t="s">
        <v>155</v>
      </c>
      <c r="B145" s="551"/>
      <c r="C145" s="587" t="s">
        <v>19</v>
      </c>
      <c r="D145" s="549" t="s">
        <v>1883</v>
      </c>
      <c r="E145" s="587" t="s">
        <v>29</v>
      </c>
      <c r="F145" s="587" t="s">
        <v>733</v>
      </c>
      <c r="G145" s="583" t="s">
        <v>828</v>
      </c>
      <c r="H145" s="570"/>
      <c r="I145" s="571"/>
      <c r="J145" s="572"/>
      <c r="K145" s="572"/>
      <c r="L145" s="592"/>
    </row>
    <row r="146" spans="1:12" ht="17.25">
      <c r="A146" s="551" t="s">
        <v>155</v>
      </c>
      <c r="B146" s="551"/>
      <c r="C146" s="587" t="s">
        <v>19</v>
      </c>
      <c r="D146" s="549" t="s">
        <v>1883</v>
      </c>
      <c r="E146" s="587" t="s">
        <v>29</v>
      </c>
      <c r="F146" s="587" t="s">
        <v>733</v>
      </c>
      <c r="G146" s="583" t="s">
        <v>834</v>
      </c>
      <c r="H146" s="570">
        <v>2021.12</v>
      </c>
      <c r="I146" s="571"/>
      <c r="J146" s="572"/>
      <c r="K146" s="572"/>
      <c r="L146" s="592"/>
    </row>
    <row r="147" spans="1:12" ht="17.25">
      <c r="A147" s="551" t="s">
        <v>155</v>
      </c>
      <c r="B147" s="551"/>
      <c r="C147" s="587" t="s">
        <v>19</v>
      </c>
      <c r="D147" s="549" t="s">
        <v>1883</v>
      </c>
      <c r="E147" s="587"/>
      <c r="F147" s="587" t="s">
        <v>733</v>
      </c>
      <c r="G147" s="583" t="s">
        <v>858</v>
      </c>
      <c r="H147" s="570">
        <v>2022.03</v>
      </c>
      <c r="I147" s="571"/>
      <c r="J147" s="572"/>
      <c r="K147" s="572"/>
      <c r="L147" s="592"/>
    </row>
    <row r="148" spans="1:12" ht="17.25">
      <c r="A148" s="551" t="s">
        <v>155</v>
      </c>
      <c r="B148" s="558">
        <v>70004</v>
      </c>
      <c r="C148" s="558" t="s">
        <v>42</v>
      </c>
      <c r="D148" s="549" t="s">
        <v>1947</v>
      </c>
      <c r="E148" s="558" t="s">
        <v>149</v>
      </c>
      <c r="F148" s="563" t="s">
        <v>1604</v>
      </c>
      <c r="G148" s="632" t="s">
        <v>151</v>
      </c>
      <c r="H148" s="579">
        <v>38805</v>
      </c>
      <c r="I148" s="562">
        <v>1965.92</v>
      </c>
      <c r="J148" s="575">
        <v>9633433662</v>
      </c>
      <c r="K148" s="575">
        <v>4900216109</v>
      </c>
      <c r="L148" s="565" t="s">
        <v>13</v>
      </c>
    </row>
    <row r="149" spans="1:12" ht="17.25">
      <c r="A149" s="551" t="s">
        <v>155</v>
      </c>
      <c r="B149" s="551" t="s">
        <v>847</v>
      </c>
      <c r="C149" s="587" t="s">
        <v>19</v>
      </c>
      <c r="D149" s="549" t="s">
        <v>1883</v>
      </c>
      <c r="E149" s="587" t="s">
        <v>3026</v>
      </c>
      <c r="F149" s="587" t="s">
        <v>813</v>
      </c>
      <c r="G149" s="583" t="s">
        <v>849</v>
      </c>
      <c r="H149" s="570">
        <v>2022.02</v>
      </c>
      <c r="I149" s="571"/>
      <c r="J149" s="572"/>
      <c r="K149" s="572"/>
      <c r="L149" s="592"/>
    </row>
    <row r="150" spans="1:12" ht="17.25">
      <c r="A150" s="557" t="s">
        <v>148</v>
      </c>
      <c r="B150" s="551" t="s">
        <v>848</v>
      </c>
      <c r="C150" s="587" t="s">
        <v>19</v>
      </c>
      <c r="D150" s="549" t="s">
        <v>1883</v>
      </c>
      <c r="E150" s="587" t="s">
        <v>3026</v>
      </c>
      <c r="F150" s="587" t="s">
        <v>813</v>
      </c>
      <c r="G150" s="583" t="s">
        <v>850</v>
      </c>
      <c r="H150" s="570">
        <v>2022.02</v>
      </c>
      <c r="I150" s="571"/>
      <c r="J150" s="572"/>
      <c r="K150" s="572"/>
      <c r="L150" s="592"/>
    </row>
  </sheetData>
  <phoneticPr fontId="2" type="noConversion"/>
  <conditionalFormatting sqref="E12">
    <cfRule type="duplicateValues" dxfId="13" priority="14"/>
  </conditionalFormatting>
  <conditionalFormatting sqref="E18">
    <cfRule type="duplicateValues" dxfId="12" priority="3"/>
  </conditionalFormatting>
  <conditionalFormatting sqref="E24">
    <cfRule type="duplicateValues" dxfId="11" priority="12"/>
  </conditionalFormatting>
  <conditionalFormatting sqref="E26">
    <cfRule type="duplicateValues" dxfId="10" priority="11"/>
  </conditionalFormatting>
  <conditionalFormatting sqref="E27">
    <cfRule type="duplicateValues" dxfId="9" priority="10"/>
  </conditionalFormatting>
  <conditionalFormatting sqref="E32">
    <cfRule type="duplicateValues" dxfId="8" priority="7"/>
  </conditionalFormatting>
  <conditionalFormatting sqref="E38">
    <cfRule type="duplicateValues" dxfId="7" priority="6"/>
  </conditionalFormatting>
  <conditionalFormatting sqref="E42">
    <cfRule type="duplicateValues" dxfId="6" priority="5"/>
  </conditionalFormatting>
  <conditionalFormatting sqref="E49">
    <cfRule type="duplicateValues" dxfId="5" priority="9"/>
  </conditionalFormatting>
  <conditionalFormatting sqref="E53">
    <cfRule type="duplicateValues" dxfId="4" priority="8"/>
  </conditionalFormatting>
  <conditionalFormatting sqref="E67">
    <cfRule type="duplicateValues" dxfId="3" priority="4"/>
  </conditionalFormatting>
  <conditionalFormatting sqref="E72">
    <cfRule type="duplicateValues" dxfId="2" priority="13"/>
  </conditionalFormatting>
  <conditionalFormatting sqref="E73">
    <cfRule type="duplicateValues" dxfId="1" priority="2"/>
  </conditionalFormatting>
  <conditionalFormatting sqref="E74">
    <cfRule type="duplicateValues" dxfId="0" priority="1"/>
  </conditionalFormatting>
  <pageMargins left="0.7" right="0.7" top="0.75" bottom="0.75" header="0.3" footer="0.3"/>
  <pageSetup paperSize="9" scale="44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9" tint="0.59999389629810485"/>
    <pageSetUpPr fitToPage="1"/>
  </sheetPr>
  <dimension ref="A1:M48"/>
  <sheetViews>
    <sheetView topLeftCell="A18" zoomScale="85" zoomScaleNormal="85" workbookViewId="0">
      <selection activeCell="E37" sqref="E37:E38"/>
    </sheetView>
  </sheetViews>
  <sheetFormatPr defaultRowHeight="16.5"/>
  <cols>
    <col min="1" max="1" width="10.375" style="41" bestFit="1" customWidth="1"/>
    <col min="2" max="2" width="10.25" style="41" bestFit="1" customWidth="1"/>
    <col min="3" max="3" width="10.375" style="41" bestFit="1" customWidth="1"/>
    <col min="4" max="4" width="5.875" style="41" bestFit="1" customWidth="1"/>
    <col min="5" max="5" width="16.75" style="41" customWidth="1"/>
    <col min="6" max="6" width="10.25" style="41" bestFit="1" customWidth="1"/>
    <col min="7" max="7" width="12.125" style="41" bestFit="1" customWidth="1"/>
    <col min="8" max="8" width="80.875" style="41" bestFit="1" customWidth="1"/>
    <col min="9" max="9" width="13.25" style="41" bestFit="1" customWidth="1"/>
    <col min="10" max="10" width="10.5" style="41" bestFit="1" customWidth="1"/>
    <col min="11" max="12" width="18.75" style="41" bestFit="1" customWidth="1"/>
    <col min="13" max="16384" width="9" style="41"/>
  </cols>
  <sheetData>
    <row r="1" spans="1:12">
      <c r="A1" s="950" t="s">
        <v>2277</v>
      </c>
      <c r="B1" s="950" t="s">
        <v>0</v>
      </c>
      <c r="C1" s="950" t="s">
        <v>1</v>
      </c>
      <c r="D1" s="950"/>
      <c r="E1" s="950" t="s">
        <v>1862</v>
      </c>
      <c r="F1" s="950" t="s">
        <v>3</v>
      </c>
      <c r="G1" s="950" t="s">
        <v>35</v>
      </c>
      <c r="H1" s="950" t="s">
        <v>5</v>
      </c>
      <c r="I1" s="951" t="s">
        <v>18</v>
      </c>
      <c r="J1" s="952" t="s">
        <v>7</v>
      </c>
      <c r="K1" s="953" t="s">
        <v>8</v>
      </c>
      <c r="L1" s="953" t="s">
        <v>9</v>
      </c>
    </row>
    <row r="2" spans="1:12" s="713" customFormat="1" ht="17.25">
      <c r="A2" s="584">
        <v>1</v>
      </c>
      <c r="B2" s="584" t="s">
        <v>2902</v>
      </c>
      <c r="C2" s="584">
        <v>35101</v>
      </c>
      <c r="D2" s="584" t="s">
        <v>649</v>
      </c>
      <c r="E2" s="584" t="s">
        <v>1897</v>
      </c>
      <c r="F2" s="612" t="s">
        <v>28</v>
      </c>
      <c r="G2" s="593" t="s">
        <v>650</v>
      </c>
      <c r="H2" s="625" t="s">
        <v>2810</v>
      </c>
      <c r="I2" s="612">
        <v>40763</v>
      </c>
      <c r="J2" s="714">
        <v>1205.8</v>
      </c>
      <c r="K2" s="954">
        <v>27000000</v>
      </c>
      <c r="L2" s="954">
        <v>22000000</v>
      </c>
    </row>
    <row r="3" spans="1:12" s="713" customFormat="1" ht="17.25">
      <c r="A3" s="584">
        <v>2</v>
      </c>
      <c r="B3" s="584" t="s">
        <v>2902</v>
      </c>
      <c r="C3" s="584">
        <v>35201</v>
      </c>
      <c r="D3" s="584" t="s">
        <v>649</v>
      </c>
      <c r="E3" s="584" t="s">
        <v>1898</v>
      </c>
      <c r="F3" s="612" t="s">
        <v>28</v>
      </c>
      <c r="G3" s="593" t="s">
        <v>650</v>
      </c>
      <c r="H3" s="625" t="s">
        <v>2811</v>
      </c>
      <c r="I3" s="612">
        <v>40759</v>
      </c>
      <c r="J3" s="714">
        <v>984.97375699999998</v>
      </c>
      <c r="K3" s="954">
        <v>75901539</v>
      </c>
      <c r="L3" s="954">
        <v>77059453</v>
      </c>
    </row>
    <row r="4" spans="1:12" s="713" customFormat="1" ht="17.25">
      <c r="A4" s="584">
        <v>3</v>
      </c>
      <c r="B4" s="584" t="s">
        <v>2902</v>
      </c>
      <c r="C4" s="584">
        <v>35310</v>
      </c>
      <c r="D4" s="584" t="s">
        <v>649</v>
      </c>
      <c r="E4" s="584" t="s">
        <v>1899</v>
      </c>
      <c r="F4" s="612" t="s">
        <v>165</v>
      </c>
      <c r="G4" s="593" t="s">
        <v>650</v>
      </c>
      <c r="H4" s="625" t="s">
        <v>2812</v>
      </c>
      <c r="I4" s="612">
        <v>42732</v>
      </c>
      <c r="J4" s="714">
        <v>1166.0957249999999</v>
      </c>
      <c r="K4" s="954">
        <v>43282073</v>
      </c>
      <c r="L4" s="954">
        <v>37117084</v>
      </c>
    </row>
    <row r="5" spans="1:12" s="713" customFormat="1" ht="17.25">
      <c r="A5" s="584">
        <v>4</v>
      </c>
      <c r="B5" s="584" t="s">
        <v>2902</v>
      </c>
      <c r="C5" s="593">
        <v>35601</v>
      </c>
      <c r="D5" s="584" t="s">
        <v>649</v>
      </c>
      <c r="E5" s="584" t="s">
        <v>1900</v>
      </c>
      <c r="F5" s="612" t="s">
        <v>165</v>
      </c>
      <c r="G5" s="593" t="s">
        <v>650</v>
      </c>
      <c r="H5" s="625" t="s">
        <v>2813</v>
      </c>
      <c r="I5" s="612">
        <v>41169</v>
      </c>
      <c r="J5" s="714">
        <v>1176.9002519999999</v>
      </c>
      <c r="K5" s="954">
        <v>24060255048</v>
      </c>
      <c r="L5" s="954">
        <v>20443750441</v>
      </c>
    </row>
    <row r="6" spans="1:12" s="713" customFormat="1" ht="17.25">
      <c r="A6" s="584">
        <v>5</v>
      </c>
      <c r="B6" s="584" t="s">
        <v>2902</v>
      </c>
      <c r="C6" s="593">
        <v>35701</v>
      </c>
      <c r="D6" s="584" t="s">
        <v>649</v>
      </c>
      <c r="E6" s="584" t="s">
        <v>1901</v>
      </c>
      <c r="F6" s="612" t="s">
        <v>165</v>
      </c>
      <c r="G6" s="593" t="s">
        <v>650</v>
      </c>
      <c r="H6" s="625" t="s">
        <v>2814</v>
      </c>
      <c r="I6" s="612">
        <v>41169</v>
      </c>
      <c r="J6" s="714">
        <v>1043.436369</v>
      </c>
      <c r="K6" s="954">
        <v>2004555</v>
      </c>
      <c r="L6" s="954">
        <v>1921109</v>
      </c>
    </row>
    <row r="7" spans="1:12" ht="15.75" customHeight="1">
      <c r="A7" s="584">
        <v>6</v>
      </c>
      <c r="B7" s="584" t="s">
        <v>2902</v>
      </c>
      <c r="C7" s="551">
        <v>40631</v>
      </c>
      <c r="D7" s="551" t="s">
        <v>649</v>
      </c>
      <c r="E7" s="584" t="s">
        <v>1902</v>
      </c>
      <c r="F7" s="551" t="s">
        <v>31</v>
      </c>
      <c r="G7" s="590" t="s">
        <v>650</v>
      </c>
      <c r="H7" s="623" t="s">
        <v>2815</v>
      </c>
      <c r="I7" s="948">
        <v>39204</v>
      </c>
      <c r="J7" s="715">
        <v>1382.8110790000001</v>
      </c>
      <c r="K7" s="949">
        <v>12085277215</v>
      </c>
      <c r="L7" s="949">
        <v>8739644476</v>
      </c>
    </row>
    <row r="8" spans="1:12" s="713" customFormat="1" ht="17.25">
      <c r="A8" s="584">
        <v>7</v>
      </c>
      <c r="B8" s="584" t="s">
        <v>2902</v>
      </c>
      <c r="C8" s="589">
        <v>40641</v>
      </c>
      <c r="D8" s="584" t="s">
        <v>649</v>
      </c>
      <c r="E8" s="584" t="s">
        <v>1903</v>
      </c>
      <c r="F8" s="716" t="s">
        <v>23</v>
      </c>
      <c r="G8" s="593" t="s">
        <v>650</v>
      </c>
      <c r="H8" s="625" t="s">
        <v>2816</v>
      </c>
      <c r="I8" s="612">
        <v>41625</v>
      </c>
      <c r="J8" s="714">
        <v>1091.6967010000001</v>
      </c>
      <c r="K8" s="954">
        <v>25446349097</v>
      </c>
      <c r="L8" s="954">
        <v>23308991455</v>
      </c>
    </row>
    <row r="9" spans="1:12" ht="17.25">
      <c r="A9" s="584">
        <v>8</v>
      </c>
      <c r="B9" s="584" t="s">
        <v>2902</v>
      </c>
      <c r="C9" s="593">
        <v>42710</v>
      </c>
      <c r="D9" s="584" t="s">
        <v>649</v>
      </c>
      <c r="E9" s="584" t="s">
        <v>1904</v>
      </c>
      <c r="F9" s="612" t="s">
        <v>30</v>
      </c>
      <c r="G9" s="593" t="s">
        <v>650</v>
      </c>
      <c r="H9" s="625" t="s">
        <v>2817</v>
      </c>
      <c r="I9" s="612">
        <v>41460</v>
      </c>
      <c r="J9" s="714">
        <v>953.86647800000003</v>
      </c>
      <c r="K9" s="954">
        <v>358633819</v>
      </c>
      <c r="L9" s="954">
        <v>375979057</v>
      </c>
    </row>
    <row r="10" spans="1:12" s="713" customFormat="1" ht="17.25">
      <c r="A10" s="584">
        <v>9</v>
      </c>
      <c r="B10" s="584" t="s">
        <v>2902</v>
      </c>
      <c r="C10" s="584">
        <v>42750</v>
      </c>
      <c r="D10" s="584" t="s">
        <v>649</v>
      </c>
      <c r="E10" s="584" t="s">
        <v>1905</v>
      </c>
      <c r="F10" s="612" t="s">
        <v>58</v>
      </c>
      <c r="G10" s="593" t="s">
        <v>650</v>
      </c>
      <c r="H10" s="625" t="s">
        <v>2818</v>
      </c>
      <c r="I10" s="612">
        <v>41883</v>
      </c>
      <c r="J10" s="714">
        <v>820.10135200000002</v>
      </c>
      <c r="K10" s="954">
        <v>29961705</v>
      </c>
      <c r="L10" s="954">
        <v>36534149</v>
      </c>
    </row>
    <row r="11" spans="1:12" s="713" customFormat="1" ht="17.25">
      <c r="A11" s="584">
        <v>10</v>
      </c>
      <c r="B11" s="584" t="s">
        <v>2902</v>
      </c>
      <c r="C11" s="584">
        <v>43900</v>
      </c>
      <c r="D11" s="584" t="s">
        <v>649</v>
      </c>
      <c r="E11" s="955" t="s">
        <v>2464</v>
      </c>
      <c r="F11" s="612" t="s">
        <v>149</v>
      </c>
      <c r="G11" s="593" t="s">
        <v>650</v>
      </c>
      <c r="H11" s="625" t="s">
        <v>2819</v>
      </c>
      <c r="I11" s="612">
        <v>43565</v>
      </c>
      <c r="J11" s="714">
        <v>1098.2243840000001</v>
      </c>
      <c r="K11" s="954">
        <v>91759238</v>
      </c>
      <c r="L11" s="954">
        <v>83552359</v>
      </c>
    </row>
    <row r="12" spans="1:12" s="713" customFormat="1" ht="17.25">
      <c r="A12" s="584">
        <v>11</v>
      </c>
      <c r="B12" s="584" t="s">
        <v>2902</v>
      </c>
      <c r="C12" s="584">
        <v>62001</v>
      </c>
      <c r="D12" s="584" t="s">
        <v>649</v>
      </c>
      <c r="E12" s="584" t="s">
        <v>1906</v>
      </c>
      <c r="F12" s="584" t="s">
        <v>31</v>
      </c>
      <c r="G12" s="593" t="s">
        <v>650</v>
      </c>
      <c r="H12" s="625" t="s">
        <v>2820</v>
      </c>
      <c r="I12" s="612">
        <v>38398</v>
      </c>
      <c r="J12" s="714">
        <v>1317.1605750000001</v>
      </c>
      <c r="K12" s="954">
        <v>2172188238</v>
      </c>
      <c r="L12" s="954">
        <v>1649144590</v>
      </c>
    </row>
    <row r="13" spans="1:12" ht="17.25">
      <c r="A13" s="584">
        <v>12</v>
      </c>
      <c r="B13" s="584" t="s">
        <v>2902</v>
      </c>
      <c r="C13" s="584">
        <v>62002</v>
      </c>
      <c r="D13" s="584" t="s">
        <v>649</v>
      </c>
      <c r="E13" s="584" t="s">
        <v>1907</v>
      </c>
      <c r="F13" s="584" t="s">
        <v>31</v>
      </c>
      <c r="G13" s="593" t="s">
        <v>650</v>
      </c>
      <c r="H13" s="625" t="s">
        <v>2821</v>
      </c>
      <c r="I13" s="612">
        <v>38537</v>
      </c>
      <c r="J13" s="714">
        <v>1177.1728129999999</v>
      </c>
      <c r="K13" s="954">
        <v>1684527994</v>
      </c>
      <c r="L13" s="954">
        <v>1430994646</v>
      </c>
    </row>
    <row r="14" spans="1:12" s="713" customFormat="1" ht="17.25">
      <c r="A14" s="584">
        <v>13</v>
      </c>
      <c r="B14" s="584" t="s">
        <v>2902</v>
      </c>
      <c r="C14" s="584">
        <v>62003</v>
      </c>
      <c r="D14" s="584" t="s">
        <v>649</v>
      </c>
      <c r="E14" s="584" t="s">
        <v>1908</v>
      </c>
      <c r="F14" s="584" t="s">
        <v>31</v>
      </c>
      <c r="G14" s="593" t="s">
        <v>650</v>
      </c>
      <c r="H14" s="625" t="s">
        <v>2822</v>
      </c>
      <c r="I14" s="612">
        <v>38783</v>
      </c>
      <c r="J14" s="714">
        <v>1303.662583</v>
      </c>
      <c r="K14" s="954">
        <v>434417385</v>
      </c>
      <c r="L14" s="954">
        <v>333228391</v>
      </c>
    </row>
    <row r="15" spans="1:12" s="713" customFormat="1" ht="17.25">
      <c r="A15" s="584">
        <v>14</v>
      </c>
      <c r="B15" s="584" t="s">
        <v>2902</v>
      </c>
      <c r="C15" s="584">
        <v>63311</v>
      </c>
      <c r="D15" s="584" t="s">
        <v>649</v>
      </c>
      <c r="E15" s="584" t="s">
        <v>1909</v>
      </c>
      <c r="F15" s="584" t="s">
        <v>31</v>
      </c>
      <c r="G15" s="593" t="s">
        <v>650</v>
      </c>
      <c r="H15" s="625" t="s">
        <v>2823</v>
      </c>
      <c r="I15" s="612">
        <v>39128</v>
      </c>
      <c r="J15" s="714">
        <v>1692.17</v>
      </c>
      <c r="K15" s="954">
        <v>2066000000</v>
      </c>
      <c r="L15" s="954">
        <v>1221000000</v>
      </c>
    </row>
    <row r="16" spans="1:12" s="713" customFormat="1" ht="17.25">
      <c r="A16" s="584">
        <v>15</v>
      </c>
      <c r="B16" s="584" t="s">
        <v>2902</v>
      </c>
      <c r="C16" s="584">
        <v>63751</v>
      </c>
      <c r="D16" s="584" t="s">
        <v>649</v>
      </c>
      <c r="E16" s="584" t="s">
        <v>1918</v>
      </c>
      <c r="F16" s="584" t="s">
        <v>23</v>
      </c>
      <c r="G16" s="593" t="s">
        <v>650</v>
      </c>
      <c r="H16" s="625" t="s">
        <v>2824</v>
      </c>
      <c r="I16" s="612">
        <v>40093</v>
      </c>
      <c r="J16" s="714">
        <v>1093.44507</v>
      </c>
      <c r="K16" s="954">
        <v>61082063724</v>
      </c>
      <c r="L16" s="954">
        <v>55862032166</v>
      </c>
    </row>
    <row r="17" spans="1:13" ht="17.25">
      <c r="A17" s="584">
        <v>16</v>
      </c>
      <c r="B17" s="584" t="s">
        <v>2902</v>
      </c>
      <c r="C17" s="589">
        <v>64301</v>
      </c>
      <c r="D17" s="584" t="s">
        <v>649</v>
      </c>
      <c r="E17" s="584" t="s">
        <v>1911</v>
      </c>
      <c r="F17" s="627" t="s">
        <v>28</v>
      </c>
      <c r="G17" s="593" t="s">
        <v>650</v>
      </c>
      <c r="H17" s="625" t="s">
        <v>2825</v>
      </c>
      <c r="I17" s="612">
        <v>40322</v>
      </c>
      <c r="J17" s="714">
        <v>704.56644500000004</v>
      </c>
      <c r="K17" s="954">
        <v>1144349046</v>
      </c>
      <c r="L17" s="954">
        <v>1624188965</v>
      </c>
    </row>
    <row r="18" spans="1:13" s="713" customFormat="1" ht="17.25">
      <c r="A18" s="584">
        <v>17</v>
      </c>
      <c r="B18" s="584" t="s">
        <v>2902</v>
      </c>
      <c r="C18" s="584">
        <v>65101</v>
      </c>
      <c r="D18" s="584" t="s">
        <v>649</v>
      </c>
      <c r="E18" s="584" t="s">
        <v>1919</v>
      </c>
      <c r="F18" s="584" t="s">
        <v>23</v>
      </c>
      <c r="G18" s="593" t="s">
        <v>650</v>
      </c>
      <c r="H18" s="625" t="s">
        <v>2826</v>
      </c>
      <c r="I18" s="612">
        <v>42485</v>
      </c>
      <c r="J18" s="714">
        <v>1148.3277720000001</v>
      </c>
      <c r="K18" s="954">
        <v>5692069</v>
      </c>
      <c r="L18" s="954">
        <v>4956833</v>
      </c>
    </row>
    <row r="19" spans="1:13" s="713" customFormat="1" ht="17.25">
      <c r="A19" s="584">
        <v>18</v>
      </c>
      <c r="B19" s="584" t="s">
        <v>2902</v>
      </c>
      <c r="C19" s="584">
        <v>65201</v>
      </c>
      <c r="D19" s="584" t="s">
        <v>649</v>
      </c>
      <c r="E19" s="584" t="s">
        <v>1913</v>
      </c>
      <c r="F19" s="584" t="s">
        <v>23</v>
      </c>
      <c r="G19" s="593" t="s">
        <v>650</v>
      </c>
      <c r="H19" s="625" t="s">
        <v>2827</v>
      </c>
      <c r="I19" s="612">
        <v>42485</v>
      </c>
      <c r="J19" s="714">
        <v>1271.0120790000001</v>
      </c>
      <c r="K19" s="954">
        <v>1189343278</v>
      </c>
      <c r="L19" s="954">
        <v>935745063</v>
      </c>
    </row>
    <row r="20" spans="1:13" s="713" customFormat="1" ht="17.25">
      <c r="A20" s="584">
        <v>19</v>
      </c>
      <c r="B20" s="584" t="s">
        <v>2902</v>
      </c>
      <c r="C20" s="551">
        <v>35100</v>
      </c>
      <c r="D20" s="551" t="s">
        <v>649</v>
      </c>
      <c r="E20" s="853" t="s">
        <v>2454</v>
      </c>
      <c r="F20" s="551" t="s">
        <v>23</v>
      </c>
      <c r="G20" s="590" t="s">
        <v>650</v>
      </c>
      <c r="H20" s="623" t="s">
        <v>2828</v>
      </c>
      <c r="I20" s="948">
        <v>41029</v>
      </c>
      <c r="J20" s="715">
        <v>1253.7735580000001</v>
      </c>
      <c r="K20" s="949">
        <v>181604140</v>
      </c>
      <c r="L20" s="949">
        <v>144846044</v>
      </c>
    </row>
    <row r="21" spans="1:13" s="713" customFormat="1" ht="17.25">
      <c r="A21" s="584">
        <v>20</v>
      </c>
      <c r="B21" s="584" t="s">
        <v>2902</v>
      </c>
      <c r="C21" s="551">
        <v>35600</v>
      </c>
      <c r="D21" s="551" t="s">
        <v>649</v>
      </c>
      <c r="E21" s="854" t="s">
        <v>2455</v>
      </c>
      <c r="F21" s="551" t="s">
        <v>241</v>
      </c>
      <c r="G21" s="590" t="s">
        <v>650</v>
      </c>
      <c r="H21" s="623" t="s">
        <v>2829</v>
      </c>
      <c r="I21" s="948">
        <v>41171</v>
      </c>
      <c r="J21" s="715">
        <v>1289.219102</v>
      </c>
      <c r="K21" s="949">
        <v>50638727750</v>
      </c>
      <c r="L21" s="949">
        <v>39278604890</v>
      </c>
    </row>
    <row r="22" spans="1:13" ht="17.25">
      <c r="A22" s="584">
        <v>21</v>
      </c>
      <c r="B22" s="584" t="s">
        <v>2902</v>
      </c>
      <c r="C22" s="551">
        <v>39100</v>
      </c>
      <c r="D22" s="551" t="s">
        <v>649</v>
      </c>
      <c r="E22" s="854" t="s">
        <v>2462</v>
      </c>
      <c r="F22" s="568" t="s">
        <v>58</v>
      </c>
      <c r="G22" s="590" t="s">
        <v>650</v>
      </c>
      <c r="H22" s="623" t="s">
        <v>2830</v>
      </c>
      <c r="I22" s="948">
        <v>43858</v>
      </c>
      <c r="J22" s="715">
        <v>1034.8948439999999</v>
      </c>
      <c r="K22" s="949">
        <v>6383644306</v>
      </c>
      <c r="L22" s="949">
        <v>6168398980</v>
      </c>
    </row>
    <row r="23" spans="1:13" ht="17.25">
      <c r="A23" s="584">
        <v>22</v>
      </c>
      <c r="B23" s="584" t="s">
        <v>2902</v>
      </c>
      <c r="C23" s="551">
        <v>42701</v>
      </c>
      <c r="D23" s="551" t="s">
        <v>649</v>
      </c>
      <c r="E23" s="853" t="s">
        <v>2456</v>
      </c>
      <c r="F23" s="551" t="s">
        <v>30</v>
      </c>
      <c r="G23" s="590" t="s">
        <v>650</v>
      </c>
      <c r="H23" s="623" t="s">
        <v>2831</v>
      </c>
      <c r="I23" s="948">
        <v>41460</v>
      </c>
      <c r="J23" s="715">
        <v>1435.1791229999999</v>
      </c>
      <c r="K23" s="949">
        <v>889421098</v>
      </c>
      <c r="L23" s="949">
        <v>619728286</v>
      </c>
    </row>
    <row r="24" spans="1:13" ht="17.25">
      <c r="A24" s="584">
        <v>23</v>
      </c>
      <c r="B24" s="584" t="s">
        <v>2902</v>
      </c>
      <c r="C24" s="551">
        <v>62000</v>
      </c>
      <c r="D24" s="551" t="s">
        <v>649</v>
      </c>
      <c r="E24" s="584" t="s">
        <v>2457</v>
      </c>
      <c r="F24" s="551" t="s">
        <v>31</v>
      </c>
      <c r="G24" s="590" t="s">
        <v>650</v>
      </c>
      <c r="H24" s="623" t="s">
        <v>2832</v>
      </c>
      <c r="I24" s="948">
        <v>42459</v>
      </c>
      <c r="J24" s="715">
        <v>1515.0020420000001</v>
      </c>
      <c r="K24" s="949">
        <v>7440221017</v>
      </c>
      <c r="L24" s="949">
        <v>4911030353</v>
      </c>
    </row>
    <row r="25" spans="1:13" ht="17.25">
      <c r="A25" s="584">
        <v>24</v>
      </c>
      <c r="B25" s="584" t="s">
        <v>2902</v>
      </c>
      <c r="C25" s="584">
        <v>63101</v>
      </c>
      <c r="D25" s="584" t="s">
        <v>649</v>
      </c>
      <c r="E25" s="584" t="s">
        <v>1914</v>
      </c>
      <c r="F25" s="584" t="s">
        <v>31</v>
      </c>
      <c r="G25" s="593" t="s">
        <v>650</v>
      </c>
      <c r="H25" s="625" t="s">
        <v>2833</v>
      </c>
      <c r="I25" s="612">
        <v>38953</v>
      </c>
      <c r="J25" s="714">
        <v>1993.990963</v>
      </c>
      <c r="K25" s="954">
        <v>22365685573</v>
      </c>
      <c r="L25" s="954">
        <v>11216543093</v>
      </c>
    </row>
    <row r="26" spans="1:13" ht="17.25">
      <c r="A26" s="584">
        <v>25</v>
      </c>
      <c r="B26" s="584" t="s">
        <v>2902</v>
      </c>
      <c r="C26" s="551">
        <v>63301</v>
      </c>
      <c r="D26" s="551" t="s">
        <v>649</v>
      </c>
      <c r="E26" s="853" t="s">
        <v>2458</v>
      </c>
      <c r="F26" s="551" t="s">
        <v>31</v>
      </c>
      <c r="G26" s="590" t="s">
        <v>650</v>
      </c>
      <c r="H26" s="623" t="s">
        <v>2834</v>
      </c>
      <c r="I26" s="948">
        <v>39128</v>
      </c>
      <c r="J26" s="715">
        <v>1725.870334</v>
      </c>
      <c r="K26" s="949">
        <v>2047630763</v>
      </c>
      <c r="L26" s="949">
        <v>1186433721</v>
      </c>
    </row>
    <row r="27" spans="1:13" ht="17.25">
      <c r="A27" s="584">
        <v>26</v>
      </c>
      <c r="B27" s="584" t="s">
        <v>2902</v>
      </c>
      <c r="C27" s="551">
        <v>63650</v>
      </c>
      <c r="D27" s="551" t="s">
        <v>649</v>
      </c>
      <c r="E27" s="853" t="s">
        <v>2459</v>
      </c>
      <c r="F27" s="551" t="s">
        <v>23</v>
      </c>
      <c r="G27" s="590" t="s">
        <v>650</v>
      </c>
      <c r="H27" s="623" t="s">
        <v>2835</v>
      </c>
      <c r="I27" s="948">
        <v>40077</v>
      </c>
      <c r="J27" s="715">
        <v>1737.518812</v>
      </c>
      <c r="K27" s="949">
        <v>248518671954</v>
      </c>
      <c r="L27" s="949">
        <v>143030780535</v>
      </c>
    </row>
    <row r="28" spans="1:13" ht="17.25">
      <c r="A28" s="584">
        <v>27</v>
      </c>
      <c r="B28" s="584" t="s">
        <v>2902</v>
      </c>
      <c r="C28" s="551">
        <v>67001</v>
      </c>
      <c r="D28" s="551" t="s">
        <v>649</v>
      </c>
      <c r="E28" s="853" t="s">
        <v>2460</v>
      </c>
      <c r="F28" s="551" t="s">
        <v>49</v>
      </c>
      <c r="G28" s="590" t="s">
        <v>650</v>
      </c>
      <c r="H28" s="623" t="s">
        <v>2836</v>
      </c>
      <c r="I28" s="948">
        <v>41785</v>
      </c>
      <c r="J28" s="715">
        <v>991.97738800000002</v>
      </c>
      <c r="K28" s="949">
        <v>21190995901</v>
      </c>
      <c r="L28" s="949">
        <v>21362377954</v>
      </c>
    </row>
    <row r="29" spans="1:13" ht="17.25">
      <c r="A29" s="584">
        <v>28</v>
      </c>
      <c r="B29" s="584" t="s">
        <v>2902</v>
      </c>
      <c r="C29" s="584">
        <v>67101</v>
      </c>
      <c r="D29" s="584" t="s">
        <v>649</v>
      </c>
      <c r="E29" s="584" t="s">
        <v>2472</v>
      </c>
      <c r="F29" s="584" t="s">
        <v>49</v>
      </c>
      <c r="G29" s="593" t="s">
        <v>650</v>
      </c>
      <c r="H29" s="625" t="s">
        <v>2837</v>
      </c>
      <c r="I29" s="612">
        <v>41785</v>
      </c>
      <c r="J29" s="714">
        <v>1060.4110929999999</v>
      </c>
      <c r="K29" s="954">
        <v>13102574286</v>
      </c>
      <c r="L29" s="954">
        <v>12356127138</v>
      </c>
      <c r="M29" s="41" t="s">
        <v>2473</v>
      </c>
    </row>
    <row r="30" spans="1:13" ht="17.25">
      <c r="A30" s="584">
        <v>29</v>
      </c>
      <c r="B30" s="584" t="s">
        <v>2902</v>
      </c>
      <c r="C30" s="551">
        <v>67301</v>
      </c>
      <c r="D30" s="551" t="s">
        <v>649</v>
      </c>
      <c r="E30" s="854" t="s">
        <v>2463</v>
      </c>
      <c r="F30" s="551" t="s">
        <v>49</v>
      </c>
      <c r="G30" s="590" t="s">
        <v>650</v>
      </c>
      <c r="H30" s="623" t="s">
        <v>2838</v>
      </c>
      <c r="I30" s="948">
        <v>42251</v>
      </c>
      <c r="J30" s="715">
        <v>1080.3587669999999</v>
      </c>
      <c r="K30" s="949">
        <v>1636775918</v>
      </c>
      <c r="L30" s="949">
        <v>1515029976</v>
      </c>
    </row>
    <row r="31" spans="1:13" s="713" customFormat="1" ht="17.25">
      <c r="A31" s="584">
        <v>30</v>
      </c>
      <c r="B31" s="584" t="s">
        <v>2902</v>
      </c>
      <c r="C31" s="587">
        <v>68100</v>
      </c>
      <c r="D31" s="551" t="s">
        <v>649</v>
      </c>
      <c r="E31" s="853" t="s">
        <v>2461</v>
      </c>
      <c r="F31" s="551" t="s">
        <v>31</v>
      </c>
      <c r="G31" s="590" t="s">
        <v>650</v>
      </c>
      <c r="H31" s="623" t="s">
        <v>2839</v>
      </c>
      <c r="I31" s="948">
        <v>42086</v>
      </c>
      <c r="J31" s="715">
        <v>1382.5895149999999</v>
      </c>
      <c r="K31" s="949">
        <v>2084701356</v>
      </c>
      <c r="L31" s="949">
        <v>1507823785</v>
      </c>
    </row>
    <row r="32" spans="1:13" ht="17.25">
      <c r="A32" s="584">
        <v>31</v>
      </c>
      <c r="B32" s="584" t="s">
        <v>2902</v>
      </c>
      <c r="C32" s="584">
        <v>68101</v>
      </c>
      <c r="D32" s="584" t="s">
        <v>649</v>
      </c>
      <c r="E32" s="584" t="s">
        <v>1916</v>
      </c>
      <c r="F32" s="584" t="s">
        <v>31</v>
      </c>
      <c r="G32" s="593" t="s">
        <v>650</v>
      </c>
      <c r="H32" s="625" t="s">
        <v>2840</v>
      </c>
      <c r="I32" s="612">
        <v>42086</v>
      </c>
      <c r="J32" s="714">
        <v>1941.1288979999999</v>
      </c>
      <c r="K32" s="954">
        <v>336270071</v>
      </c>
      <c r="L32" s="954">
        <v>173234282</v>
      </c>
    </row>
    <row r="33" spans="1:12" s="713" customFormat="1" ht="17.25">
      <c r="A33" s="584">
        <v>32</v>
      </c>
      <c r="B33" s="584" t="s">
        <v>2902</v>
      </c>
      <c r="C33" s="584">
        <v>68201</v>
      </c>
      <c r="D33" s="584" t="s">
        <v>649</v>
      </c>
      <c r="E33" s="584" t="s">
        <v>1917</v>
      </c>
      <c r="F33" s="584" t="s">
        <v>1501</v>
      </c>
      <c r="G33" s="593" t="s">
        <v>650</v>
      </c>
      <c r="H33" s="625" t="s">
        <v>2841</v>
      </c>
      <c r="I33" s="612">
        <v>45124</v>
      </c>
      <c r="J33" s="714">
        <v>1022.066085</v>
      </c>
      <c r="K33" s="954">
        <v>278515216</v>
      </c>
      <c r="L33" s="954">
        <v>272502160</v>
      </c>
    </row>
    <row r="34" spans="1:12" ht="17.25">
      <c r="A34" s="584">
        <v>33</v>
      </c>
      <c r="B34" s="584" t="s">
        <v>2902</v>
      </c>
      <c r="C34" s="551">
        <v>68301</v>
      </c>
      <c r="D34" s="551" t="s">
        <v>649</v>
      </c>
      <c r="E34" s="955" t="s">
        <v>2465</v>
      </c>
      <c r="F34" s="551" t="s">
        <v>1501</v>
      </c>
      <c r="G34" s="590" t="s">
        <v>650</v>
      </c>
      <c r="H34" s="623" t="s">
        <v>2842</v>
      </c>
      <c r="I34" s="948">
        <v>45124</v>
      </c>
      <c r="J34" s="715">
        <v>1000</v>
      </c>
      <c r="K34" s="949"/>
      <c r="L34" s="949"/>
    </row>
    <row r="35" spans="1:12" s="713" customFormat="1" ht="17.25">
      <c r="A35" s="584">
        <v>34</v>
      </c>
      <c r="B35" s="584" t="s">
        <v>2902</v>
      </c>
      <c r="C35" s="551">
        <v>63250</v>
      </c>
      <c r="D35" s="551" t="s">
        <v>649</v>
      </c>
      <c r="E35" s="955" t="s">
        <v>2903</v>
      </c>
      <c r="F35" s="551" t="s">
        <v>2906</v>
      </c>
      <c r="G35" s="590" t="s">
        <v>650</v>
      </c>
      <c r="H35" s="623" t="s">
        <v>2904</v>
      </c>
      <c r="I35" s="948">
        <v>44109</v>
      </c>
      <c r="J35" s="715"/>
      <c r="K35" s="949"/>
      <c r="L35" s="949"/>
    </row>
    <row r="36" spans="1:12" ht="17.25">
      <c r="A36" s="584">
        <v>35</v>
      </c>
      <c r="B36" s="584" t="s">
        <v>2902</v>
      </c>
      <c r="C36" s="551">
        <v>64251</v>
      </c>
      <c r="D36" s="551" t="s">
        <v>649</v>
      </c>
      <c r="E36" s="1057" t="s">
        <v>2907</v>
      </c>
      <c r="F36" s="551" t="s">
        <v>2906</v>
      </c>
      <c r="G36" s="590" t="s">
        <v>650</v>
      </c>
      <c r="H36" s="623" t="s">
        <v>2905</v>
      </c>
      <c r="I36" s="948">
        <v>40322</v>
      </c>
      <c r="J36" s="715"/>
      <c r="K36" s="949"/>
      <c r="L36" s="949"/>
    </row>
    <row r="37" spans="1:12" ht="17.25">
      <c r="A37" s="584">
        <v>36</v>
      </c>
      <c r="B37" s="584" t="s">
        <v>2902</v>
      </c>
      <c r="C37" s="656">
        <v>66100</v>
      </c>
      <c r="D37" s="551" t="s">
        <v>649</v>
      </c>
      <c r="E37" s="955" t="s">
        <v>3090</v>
      </c>
      <c r="F37" s="551" t="s">
        <v>28</v>
      </c>
      <c r="G37" s="590" t="s">
        <v>650</v>
      </c>
      <c r="H37" s="623" t="s">
        <v>3078</v>
      </c>
      <c r="I37" s="948">
        <v>46143</v>
      </c>
      <c r="J37" s="715">
        <v>1000</v>
      </c>
      <c r="K37" s="949"/>
      <c r="L37" s="949"/>
    </row>
    <row r="38" spans="1:12" ht="17.25">
      <c r="A38" s="584">
        <v>37</v>
      </c>
      <c r="B38" s="584" t="s">
        <v>2902</v>
      </c>
      <c r="C38" s="656">
        <v>66101</v>
      </c>
      <c r="D38" s="551" t="s">
        <v>649</v>
      </c>
      <c r="E38" s="955" t="s">
        <v>3091</v>
      </c>
      <c r="F38" s="551" t="s">
        <v>28</v>
      </c>
      <c r="G38" s="590" t="s">
        <v>650</v>
      </c>
      <c r="H38" s="623" t="s">
        <v>3079</v>
      </c>
      <c r="I38" s="948">
        <v>46143</v>
      </c>
      <c r="J38" s="715">
        <v>1000</v>
      </c>
      <c r="K38" s="949"/>
      <c r="L38" s="949"/>
    </row>
    <row r="41" spans="1:12" ht="20.25">
      <c r="A41" s="947" t="s">
        <v>2471</v>
      </c>
    </row>
    <row r="42" spans="1:12" ht="17.25">
      <c r="A42" s="584">
        <v>1</v>
      </c>
      <c r="B42" s="551" t="s">
        <v>648</v>
      </c>
      <c r="C42" s="587">
        <v>42411</v>
      </c>
      <c r="D42" s="551" t="s">
        <v>649</v>
      </c>
      <c r="E42" s="584" t="s">
        <v>1883</v>
      </c>
      <c r="F42" s="586" t="s">
        <v>30</v>
      </c>
      <c r="G42" s="590" t="s">
        <v>650</v>
      </c>
      <c r="H42" s="623" t="s">
        <v>2843</v>
      </c>
      <c r="I42" s="948">
        <v>40785</v>
      </c>
      <c r="J42" s="715">
        <v>989.01832999999999</v>
      </c>
      <c r="K42" s="949">
        <v>1922056402</v>
      </c>
      <c r="L42" s="949">
        <v>1943398158</v>
      </c>
    </row>
    <row r="43" spans="1:12" ht="17.25">
      <c r="A43" s="584">
        <v>2</v>
      </c>
      <c r="B43" s="551" t="s">
        <v>648</v>
      </c>
      <c r="C43" s="551">
        <v>61101</v>
      </c>
      <c r="D43" s="551" t="s">
        <v>667</v>
      </c>
      <c r="E43" s="584" t="s">
        <v>1883</v>
      </c>
      <c r="F43" s="551" t="s">
        <v>31</v>
      </c>
      <c r="G43" s="590" t="s">
        <v>650</v>
      </c>
      <c r="H43" s="623" t="s">
        <v>2844</v>
      </c>
      <c r="I43" s="948">
        <v>41753</v>
      </c>
      <c r="J43" s="715">
        <v>1009.03</v>
      </c>
      <c r="K43" s="949">
        <v>51010090352</v>
      </c>
      <c r="L43" s="949">
        <v>50553824130</v>
      </c>
    </row>
    <row r="44" spans="1:12" ht="17.25">
      <c r="A44" s="584">
        <v>3</v>
      </c>
      <c r="B44" s="551" t="s">
        <v>648</v>
      </c>
      <c r="C44" s="551">
        <v>63511</v>
      </c>
      <c r="D44" s="551" t="s">
        <v>649</v>
      </c>
      <c r="E44" s="584" t="s">
        <v>1883</v>
      </c>
      <c r="F44" s="551" t="s">
        <v>31</v>
      </c>
      <c r="G44" s="590" t="s">
        <v>650</v>
      </c>
      <c r="H44" s="623" t="s">
        <v>2845</v>
      </c>
      <c r="I44" s="948">
        <v>39373</v>
      </c>
      <c r="J44" s="715">
        <v>1370.2036989999999</v>
      </c>
      <c r="K44" s="949">
        <v>176054548</v>
      </c>
      <c r="L44" s="949">
        <v>128487865</v>
      </c>
    </row>
    <row r="45" spans="1:12" ht="17.25">
      <c r="A45" s="584">
        <v>4</v>
      </c>
      <c r="B45" s="551" t="s">
        <v>648</v>
      </c>
      <c r="C45" s="551">
        <v>63501</v>
      </c>
      <c r="D45" s="551" t="s">
        <v>649</v>
      </c>
      <c r="E45" s="584" t="s">
        <v>1883</v>
      </c>
      <c r="F45" s="551" t="s">
        <v>31</v>
      </c>
      <c r="G45" s="590" t="s">
        <v>650</v>
      </c>
      <c r="H45" s="623" t="s">
        <v>2846</v>
      </c>
      <c r="I45" s="948">
        <v>39170</v>
      </c>
      <c r="J45" s="715">
        <v>1937.4678180000001</v>
      </c>
      <c r="K45" s="949">
        <v>4802819710</v>
      </c>
      <c r="L45" s="949">
        <v>2478915863</v>
      </c>
    </row>
    <row r="46" spans="1:12" ht="17.25">
      <c r="A46" s="584">
        <v>5</v>
      </c>
      <c r="B46" s="551" t="s">
        <v>648</v>
      </c>
      <c r="C46" s="551">
        <v>63531</v>
      </c>
      <c r="D46" s="551" t="s">
        <v>649</v>
      </c>
      <c r="E46" s="584" t="s">
        <v>1883</v>
      </c>
      <c r="F46" s="551" t="s">
        <v>31</v>
      </c>
      <c r="G46" s="590" t="s">
        <v>650</v>
      </c>
      <c r="H46" s="623" t="s">
        <v>2847</v>
      </c>
      <c r="I46" s="948">
        <v>39170</v>
      </c>
      <c r="J46" s="715">
        <v>1622.9608390000001</v>
      </c>
      <c r="K46" s="949">
        <v>1374802869</v>
      </c>
      <c r="L46" s="949">
        <v>847095528</v>
      </c>
    </row>
    <row r="47" spans="1:12" ht="17.25">
      <c r="A47" s="584">
        <v>6</v>
      </c>
      <c r="B47" s="551" t="s">
        <v>1500</v>
      </c>
      <c r="C47" s="551">
        <v>69201</v>
      </c>
      <c r="D47" s="551" t="s">
        <v>649</v>
      </c>
      <c r="E47" s="584" t="s">
        <v>1883</v>
      </c>
      <c r="F47" s="551" t="s">
        <v>31</v>
      </c>
      <c r="G47" s="590" t="s">
        <v>38</v>
      </c>
      <c r="H47" s="623" t="s">
        <v>2848</v>
      </c>
      <c r="I47" s="948">
        <v>43154</v>
      </c>
      <c r="J47" s="715">
        <v>1274.527865</v>
      </c>
      <c r="K47" s="949">
        <v>2533679059</v>
      </c>
      <c r="L47" s="949">
        <v>1987935398</v>
      </c>
    </row>
    <row r="48" spans="1:12" ht="17.25">
      <c r="A48" s="584">
        <v>7</v>
      </c>
      <c r="B48" s="551" t="s">
        <v>648</v>
      </c>
      <c r="C48" s="587">
        <v>42402</v>
      </c>
      <c r="D48" s="551" t="s">
        <v>649</v>
      </c>
      <c r="E48" s="854"/>
      <c r="F48" s="586" t="s">
        <v>30</v>
      </c>
      <c r="G48" s="590" t="s">
        <v>650</v>
      </c>
      <c r="H48" s="623" t="s">
        <v>2849</v>
      </c>
      <c r="I48" s="948">
        <v>40785</v>
      </c>
      <c r="J48" s="715">
        <v>959.24649499999998</v>
      </c>
      <c r="K48" s="949">
        <v>4902622424</v>
      </c>
      <c r="L48" s="949">
        <v>5110909915</v>
      </c>
    </row>
  </sheetData>
  <phoneticPr fontId="2" type="noConversion"/>
  <pageMargins left="0.7" right="0.7" top="0.75" bottom="0.75" header="0.3" footer="0.3"/>
  <pageSetup paperSize="9" scale="4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tabColor theme="9" tint="0.59999389629810485"/>
  </sheetPr>
  <dimension ref="A1:M114"/>
  <sheetViews>
    <sheetView topLeftCell="A3" zoomScaleNormal="100" workbookViewId="0">
      <selection activeCell="C9" sqref="C9"/>
    </sheetView>
  </sheetViews>
  <sheetFormatPr defaultRowHeight="16.5"/>
  <cols>
    <col min="2" max="2" width="9.5" bestFit="1" customWidth="1"/>
    <col min="3" max="3" width="10.25" customWidth="1"/>
    <col min="4" max="4" width="11.5" bestFit="1" customWidth="1"/>
    <col min="5" max="5" width="17.375" bestFit="1" customWidth="1"/>
    <col min="6" max="6" width="10.25" bestFit="1" customWidth="1"/>
    <col min="7" max="7" width="15.5" customWidth="1"/>
    <col min="8" max="8" width="71.375" customWidth="1"/>
    <col min="9" max="9" width="11.625" style="237" bestFit="1" customWidth="1"/>
    <col min="10" max="10" width="11.625" bestFit="1" customWidth="1"/>
    <col min="11" max="11" width="19.375" bestFit="1" customWidth="1"/>
    <col min="12" max="12" width="19.375" customWidth="1"/>
    <col min="13" max="13" width="29.375" bestFit="1" customWidth="1"/>
  </cols>
  <sheetData>
    <row r="1" spans="1:13" s="41" customFormat="1">
      <c r="A1" s="950" t="s">
        <v>2537</v>
      </c>
      <c r="B1" s="950" t="s">
        <v>0</v>
      </c>
      <c r="C1" s="950" t="s">
        <v>1</v>
      </c>
      <c r="D1" s="950" t="s">
        <v>17</v>
      </c>
      <c r="E1" s="950" t="s">
        <v>1862</v>
      </c>
      <c r="F1" s="950" t="s">
        <v>3</v>
      </c>
      <c r="G1" s="950" t="s">
        <v>35</v>
      </c>
      <c r="H1" s="950" t="s">
        <v>5</v>
      </c>
      <c r="I1" s="951" t="s">
        <v>18</v>
      </c>
      <c r="J1" s="952" t="s">
        <v>7</v>
      </c>
      <c r="K1" s="953" t="s">
        <v>8</v>
      </c>
      <c r="L1" s="953" t="s">
        <v>9</v>
      </c>
      <c r="M1" s="953" t="s">
        <v>65</v>
      </c>
    </row>
    <row r="2" spans="1:13" s="721" customFormat="1">
      <c r="A2" s="34">
        <v>1</v>
      </c>
      <c r="B2" s="76" t="s">
        <v>594</v>
      </c>
      <c r="C2" s="76" t="s">
        <v>595</v>
      </c>
      <c r="D2" s="76" t="s">
        <v>42</v>
      </c>
      <c r="E2" s="76" t="s">
        <v>1872</v>
      </c>
      <c r="F2" s="76" t="s">
        <v>27</v>
      </c>
      <c r="G2" s="722" t="s">
        <v>596</v>
      </c>
      <c r="H2" s="77" t="s">
        <v>1493</v>
      </c>
      <c r="I2" s="723" t="s">
        <v>597</v>
      </c>
      <c r="J2" s="724">
        <v>1097.45</v>
      </c>
      <c r="K2" s="725">
        <v>38577956666</v>
      </c>
      <c r="L2" s="725">
        <v>35152316367</v>
      </c>
      <c r="M2" s="725" t="s">
        <v>13</v>
      </c>
    </row>
    <row r="3" spans="1:13" s="41" customFormat="1">
      <c r="A3" s="34">
        <v>2</v>
      </c>
      <c r="B3" s="76" t="s">
        <v>594</v>
      </c>
      <c r="C3" s="76" t="s">
        <v>598</v>
      </c>
      <c r="D3" s="76" t="s">
        <v>42</v>
      </c>
      <c r="E3" s="76" t="s">
        <v>1873</v>
      </c>
      <c r="F3" s="76" t="s">
        <v>28</v>
      </c>
      <c r="G3" s="722" t="s">
        <v>599</v>
      </c>
      <c r="H3" s="77" t="s">
        <v>1495</v>
      </c>
      <c r="I3" s="723" t="s">
        <v>600</v>
      </c>
      <c r="J3" s="724">
        <v>669.59</v>
      </c>
      <c r="K3" s="725">
        <v>6695867350</v>
      </c>
      <c r="L3" s="725">
        <v>10000000000</v>
      </c>
      <c r="M3" s="725"/>
    </row>
    <row r="4" spans="1:13" s="41" customFormat="1">
      <c r="A4" s="34">
        <v>3</v>
      </c>
      <c r="B4" s="76" t="s">
        <v>594</v>
      </c>
      <c r="C4" s="76" t="s">
        <v>601</v>
      </c>
      <c r="D4" s="76" t="s">
        <v>42</v>
      </c>
      <c r="E4" s="76" t="s">
        <v>1874</v>
      </c>
      <c r="F4" s="76" t="s">
        <v>28</v>
      </c>
      <c r="G4" s="722" t="s">
        <v>602</v>
      </c>
      <c r="H4" s="77" t="s">
        <v>1494</v>
      </c>
      <c r="I4" s="723" t="s">
        <v>603</v>
      </c>
      <c r="J4" s="724">
        <v>681.83</v>
      </c>
      <c r="K4" s="725">
        <v>6818344621</v>
      </c>
      <c r="L4" s="725">
        <v>10000000000</v>
      </c>
      <c r="M4" s="725"/>
    </row>
    <row r="5" spans="1:13" s="41" customFormat="1">
      <c r="A5" s="34">
        <v>4</v>
      </c>
      <c r="B5" s="76" t="s">
        <v>594</v>
      </c>
      <c r="C5" s="76" t="s">
        <v>474</v>
      </c>
      <c r="D5" s="76" t="s">
        <v>37</v>
      </c>
      <c r="E5" s="76" t="s">
        <v>1875</v>
      </c>
      <c r="F5" s="76" t="s">
        <v>58</v>
      </c>
      <c r="G5" s="722" t="s">
        <v>604</v>
      </c>
      <c r="H5" s="77" t="s">
        <v>605</v>
      </c>
      <c r="I5" s="723" t="s">
        <v>606</v>
      </c>
      <c r="J5" s="724">
        <v>1423.68</v>
      </c>
      <c r="K5" s="725">
        <v>7817712270</v>
      </c>
      <c r="L5" s="725">
        <v>5491206860</v>
      </c>
      <c r="M5" s="725"/>
    </row>
    <row r="6" spans="1:13" s="41" customFormat="1">
      <c r="A6" s="34">
        <v>5</v>
      </c>
      <c r="B6" s="76" t="s">
        <v>594</v>
      </c>
      <c r="C6" s="76" t="s">
        <v>612</v>
      </c>
      <c r="D6" s="76" t="s">
        <v>37</v>
      </c>
      <c r="E6" s="76" t="s">
        <v>1876</v>
      </c>
      <c r="F6" s="76" t="s">
        <v>28</v>
      </c>
      <c r="G6" s="722" t="s">
        <v>609</v>
      </c>
      <c r="H6" s="77" t="s">
        <v>613</v>
      </c>
      <c r="I6" s="723" t="s">
        <v>611</v>
      </c>
      <c r="J6" s="724">
        <v>1076.45</v>
      </c>
      <c r="K6" s="725">
        <v>5376005063</v>
      </c>
      <c r="L6" s="725">
        <v>4994208227</v>
      </c>
      <c r="M6" s="725"/>
    </row>
    <row r="7" spans="1:13" s="41" customFormat="1">
      <c r="A7" s="34">
        <v>6</v>
      </c>
      <c r="B7" s="76" t="s">
        <v>594</v>
      </c>
      <c r="C7" s="76" t="s">
        <v>619</v>
      </c>
      <c r="D7" s="76" t="s">
        <v>42</v>
      </c>
      <c r="E7" s="76" t="s">
        <v>2034</v>
      </c>
      <c r="F7" s="76" t="s">
        <v>27</v>
      </c>
      <c r="G7" s="722" t="s">
        <v>620</v>
      </c>
      <c r="H7" s="77" t="s">
        <v>621</v>
      </c>
      <c r="I7" s="723" t="s">
        <v>622</v>
      </c>
      <c r="J7" s="724">
        <v>1062.26</v>
      </c>
      <c r="K7" s="725"/>
      <c r="L7" s="725"/>
      <c r="M7" s="725"/>
    </row>
    <row r="8" spans="1:13" s="41" customFormat="1">
      <c r="A8" s="34">
        <v>7</v>
      </c>
      <c r="B8" s="76" t="s">
        <v>594</v>
      </c>
      <c r="C8" s="76" t="s">
        <v>623</v>
      </c>
      <c r="D8" s="76" t="s">
        <v>37</v>
      </c>
      <c r="E8" s="76" t="s">
        <v>1877</v>
      </c>
      <c r="F8" s="76" t="s">
        <v>149</v>
      </c>
      <c r="G8" s="722" t="s">
        <v>604</v>
      </c>
      <c r="H8" s="77" t="s">
        <v>624</v>
      </c>
      <c r="I8" s="723" t="s">
        <v>625</v>
      </c>
      <c r="J8" s="724">
        <v>978.53</v>
      </c>
      <c r="K8" s="725">
        <v>975675861</v>
      </c>
      <c r="L8" s="725">
        <v>997083100</v>
      </c>
      <c r="M8" s="725"/>
    </row>
    <row r="9" spans="1:13" s="41" customFormat="1">
      <c r="A9" s="34">
        <v>8</v>
      </c>
      <c r="B9" s="76" t="s">
        <v>594</v>
      </c>
      <c r="C9" s="76" t="s">
        <v>626</v>
      </c>
      <c r="D9" s="76" t="s">
        <v>37</v>
      </c>
      <c r="E9" s="1090" t="s">
        <v>3072</v>
      </c>
      <c r="F9" s="76" t="s">
        <v>29</v>
      </c>
      <c r="G9" s="722" t="s">
        <v>620</v>
      </c>
      <c r="H9" s="77" t="s">
        <v>627</v>
      </c>
      <c r="I9" s="723" t="s">
        <v>628</v>
      </c>
      <c r="J9" s="724">
        <v>1030.67</v>
      </c>
      <c r="K9" s="725">
        <v>10772976579</v>
      </c>
      <c r="L9" s="725">
        <v>10452351124</v>
      </c>
      <c r="M9" s="725"/>
    </row>
    <row r="10" spans="1:13" s="41" customFormat="1">
      <c r="A10" s="34">
        <v>9</v>
      </c>
      <c r="B10" s="76" t="s">
        <v>594</v>
      </c>
      <c r="C10" s="76" t="s">
        <v>629</v>
      </c>
      <c r="D10" s="76" t="s">
        <v>37</v>
      </c>
      <c r="E10" s="76" t="s">
        <v>2488</v>
      </c>
      <c r="F10" s="76" t="s">
        <v>29</v>
      </c>
      <c r="G10" s="722" t="s">
        <v>620</v>
      </c>
      <c r="H10" s="77" t="s">
        <v>630</v>
      </c>
      <c r="I10" s="723" t="s">
        <v>628</v>
      </c>
      <c r="J10" s="724">
        <v>1060.73</v>
      </c>
      <c r="K10" s="725">
        <v>11883333943</v>
      </c>
      <c r="L10" s="725">
        <v>11202960461</v>
      </c>
      <c r="M10" s="725"/>
    </row>
    <row r="11" spans="1:13" s="41" customFormat="1">
      <c r="A11" s="34">
        <v>10</v>
      </c>
      <c r="B11" s="76" t="s">
        <v>594</v>
      </c>
      <c r="C11" s="76" t="s">
        <v>631</v>
      </c>
      <c r="D11" s="76" t="s">
        <v>37</v>
      </c>
      <c r="E11" s="76" t="s">
        <v>2489</v>
      </c>
      <c r="F11" s="76" t="s">
        <v>29</v>
      </c>
      <c r="G11" s="722" t="s">
        <v>620</v>
      </c>
      <c r="H11" s="77" t="s">
        <v>632</v>
      </c>
      <c r="I11" s="723" t="s">
        <v>628</v>
      </c>
      <c r="J11" s="724">
        <v>1087.93</v>
      </c>
      <c r="K11" s="725">
        <v>6317258866</v>
      </c>
      <c r="L11" s="725">
        <v>5806695437</v>
      </c>
      <c r="M11" s="725"/>
    </row>
    <row r="12" spans="1:13" s="41" customFormat="1">
      <c r="A12" s="34">
        <v>11</v>
      </c>
      <c r="B12" s="76" t="s">
        <v>594</v>
      </c>
      <c r="C12" s="76" t="s">
        <v>633</v>
      </c>
      <c r="D12" s="76" t="s">
        <v>37</v>
      </c>
      <c r="E12" s="1090" t="s">
        <v>3071</v>
      </c>
      <c r="F12" s="76" t="s">
        <v>29</v>
      </c>
      <c r="G12" s="722" t="s">
        <v>620</v>
      </c>
      <c r="H12" s="77" t="s">
        <v>634</v>
      </c>
      <c r="I12" s="723" t="s">
        <v>628</v>
      </c>
      <c r="J12" s="724">
        <v>1110.74</v>
      </c>
      <c r="K12" s="725">
        <v>6190915274</v>
      </c>
      <c r="L12" s="725">
        <v>5573667560</v>
      </c>
      <c r="M12" s="725"/>
    </row>
    <row r="13" spans="1:13" s="41" customFormat="1">
      <c r="A13" s="34">
        <v>12</v>
      </c>
      <c r="B13" s="76" t="s">
        <v>594</v>
      </c>
      <c r="C13" s="76" t="s">
        <v>635</v>
      </c>
      <c r="D13" s="76" t="s">
        <v>37</v>
      </c>
      <c r="E13" s="76" t="s">
        <v>2490</v>
      </c>
      <c r="F13" s="76" t="s">
        <v>29</v>
      </c>
      <c r="G13" s="722" t="s">
        <v>620</v>
      </c>
      <c r="H13" s="77" t="s">
        <v>636</v>
      </c>
      <c r="I13" s="723" t="s">
        <v>628</v>
      </c>
      <c r="J13" s="724">
        <v>1123.22</v>
      </c>
      <c r="K13" s="725">
        <v>6101971747</v>
      </c>
      <c r="L13" s="725">
        <v>5432573838</v>
      </c>
      <c r="M13" s="725"/>
    </row>
    <row r="14" spans="1:13" s="41" customFormat="1">
      <c r="A14" s="34">
        <v>13</v>
      </c>
      <c r="B14" s="76" t="s">
        <v>594</v>
      </c>
      <c r="C14" s="76" t="s">
        <v>637</v>
      </c>
      <c r="D14" s="76" t="s">
        <v>37</v>
      </c>
      <c r="E14" s="1090" t="s">
        <v>3070</v>
      </c>
      <c r="F14" s="76" t="s">
        <v>29</v>
      </c>
      <c r="G14" s="722" t="s">
        <v>620</v>
      </c>
      <c r="H14" s="77" t="s">
        <v>638</v>
      </c>
      <c r="I14" s="723" t="s">
        <v>628</v>
      </c>
      <c r="J14" s="724">
        <v>1125.1099999999999</v>
      </c>
      <c r="K14" s="725">
        <v>7497110167</v>
      </c>
      <c r="L14" s="725">
        <v>6663467716</v>
      </c>
      <c r="M14" s="725"/>
    </row>
    <row r="15" spans="1:13" s="41" customFormat="1">
      <c r="A15" s="34">
        <v>14</v>
      </c>
      <c r="B15" s="76" t="s">
        <v>594</v>
      </c>
      <c r="C15" s="76" t="s">
        <v>639</v>
      </c>
      <c r="D15" s="76" t="s">
        <v>37</v>
      </c>
      <c r="E15" s="76" t="s">
        <v>1878</v>
      </c>
      <c r="F15" s="76" t="s">
        <v>58</v>
      </c>
      <c r="G15" s="722" t="s">
        <v>609</v>
      </c>
      <c r="H15" s="77" t="s">
        <v>2071</v>
      </c>
      <c r="I15" s="723" t="s">
        <v>641</v>
      </c>
      <c r="J15" s="724">
        <v>1209.9100000000001</v>
      </c>
      <c r="K15" s="725">
        <v>2505395458</v>
      </c>
      <c r="L15" s="725">
        <v>2069627336</v>
      </c>
      <c r="M15" s="725"/>
    </row>
    <row r="16" spans="1:13" s="41" customFormat="1">
      <c r="A16" s="34">
        <v>15</v>
      </c>
      <c r="B16" s="76" t="s">
        <v>594</v>
      </c>
      <c r="C16" s="76" t="s">
        <v>645</v>
      </c>
      <c r="D16" s="76" t="s">
        <v>37</v>
      </c>
      <c r="E16" s="76" t="s">
        <v>1879</v>
      </c>
      <c r="F16" s="76" t="s">
        <v>58</v>
      </c>
      <c r="G16" s="722" t="s">
        <v>609</v>
      </c>
      <c r="H16" s="77" t="s">
        <v>646</v>
      </c>
      <c r="I16" s="723" t="s">
        <v>647</v>
      </c>
      <c r="J16" s="724">
        <v>857.98</v>
      </c>
      <c r="K16" s="725">
        <v>728793900</v>
      </c>
      <c r="L16" s="725">
        <v>848980178</v>
      </c>
      <c r="M16" s="725"/>
    </row>
    <row r="17" spans="1:13" s="41" customFormat="1">
      <c r="A17" s="34">
        <v>16</v>
      </c>
      <c r="B17" s="76" t="s">
        <v>594</v>
      </c>
      <c r="C17" s="76" t="s">
        <v>864</v>
      </c>
      <c r="D17" s="76" t="s">
        <v>37</v>
      </c>
      <c r="E17" s="76" t="s">
        <v>2491</v>
      </c>
      <c r="F17" s="76" t="s">
        <v>149</v>
      </c>
      <c r="G17" s="722" t="s">
        <v>851</v>
      </c>
      <c r="H17" s="77" t="s">
        <v>866</v>
      </c>
      <c r="I17" s="726">
        <v>44644</v>
      </c>
      <c r="J17" s="724"/>
      <c r="K17" s="725"/>
      <c r="L17" s="725"/>
      <c r="M17" s="725"/>
    </row>
    <row r="18" spans="1:13" s="41" customFormat="1">
      <c r="A18" s="34">
        <v>17</v>
      </c>
      <c r="B18" s="76" t="s">
        <v>594</v>
      </c>
      <c r="C18" s="76" t="s">
        <v>1286</v>
      </c>
      <c r="D18" s="76" t="s">
        <v>1285</v>
      </c>
      <c r="E18" s="76" t="s">
        <v>2492</v>
      </c>
      <c r="F18" s="76" t="s">
        <v>149</v>
      </c>
      <c r="G18" s="722" t="s">
        <v>1284</v>
      </c>
      <c r="H18" s="77" t="s">
        <v>1287</v>
      </c>
      <c r="I18" s="726">
        <v>44644</v>
      </c>
      <c r="J18" s="724">
        <v>1025.56</v>
      </c>
      <c r="K18" s="725">
        <v>54114262597</v>
      </c>
      <c r="L18" s="725">
        <v>52461297640</v>
      </c>
      <c r="M18" s="725"/>
    </row>
    <row r="19" spans="1:13" s="41" customFormat="1">
      <c r="A19" s="34">
        <v>18</v>
      </c>
      <c r="B19" s="76" t="s">
        <v>594</v>
      </c>
      <c r="C19" s="76" t="s">
        <v>1321</v>
      </c>
      <c r="D19" s="76" t="s">
        <v>33</v>
      </c>
      <c r="E19" s="76" t="s">
        <v>2493</v>
      </c>
      <c r="F19" s="76" t="s">
        <v>149</v>
      </c>
      <c r="G19" s="722" t="s">
        <v>1284</v>
      </c>
      <c r="H19" s="77" t="s">
        <v>1323</v>
      </c>
      <c r="I19" s="726">
        <v>44834</v>
      </c>
      <c r="J19" s="724"/>
      <c r="K19" s="725"/>
      <c r="L19" s="725">
        <v>7500000000</v>
      </c>
      <c r="M19" s="725"/>
    </row>
    <row r="20" spans="1:13" s="41" customFormat="1">
      <c r="A20" s="34">
        <v>19</v>
      </c>
      <c r="B20" s="76" t="s">
        <v>594</v>
      </c>
      <c r="C20" s="76" t="s">
        <v>1353</v>
      </c>
      <c r="D20" s="76" t="s">
        <v>19</v>
      </c>
      <c r="E20" s="76" t="s">
        <v>2494</v>
      </c>
      <c r="F20" s="76" t="s">
        <v>58</v>
      </c>
      <c r="G20" s="722" t="s">
        <v>1284</v>
      </c>
      <c r="H20" s="77" t="s">
        <v>1356</v>
      </c>
      <c r="I20" s="726">
        <v>44923</v>
      </c>
      <c r="J20" s="724">
        <v>1000</v>
      </c>
      <c r="K20" s="725"/>
      <c r="L20" s="725">
        <v>1000000000</v>
      </c>
      <c r="M20" s="725"/>
    </row>
    <row r="21" spans="1:13" s="41" customFormat="1">
      <c r="A21" s="34">
        <v>20</v>
      </c>
      <c r="B21" s="76" t="s">
        <v>594</v>
      </c>
      <c r="C21" s="76" t="s">
        <v>1376</v>
      </c>
      <c r="D21" s="76" t="s">
        <v>19</v>
      </c>
      <c r="E21" s="76" t="s">
        <v>2495</v>
      </c>
      <c r="F21" s="76" t="s">
        <v>149</v>
      </c>
      <c r="G21" s="722" t="s">
        <v>1284</v>
      </c>
      <c r="H21" s="77" t="s">
        <v>1379</v>
      </c>
      <c r="I21" s="726">
        <v>44972</v>
      </c>
      <c r="J21" s="724"/>
      <c r="K21" s="725"/>
      <c r="L21" s="725">
        <v>30000000000</v>
      </c>
      <c r="M21" s="725"/>
    </row>
    <row r="22" spans="1:13" s="41" customFormat="1">
      <c r="A22" s="34">
        <v>21</v>
      </c>
      <c r="B22" s="76" t="s">
        <v>594</v>
      </c>
      <c r="C22" s="76" t="s">
        <v>1377</v>
      </c>
      <c r="D22" s="76" t="s">
        <v>19</v>
      </c>
      <c r="E22" s="76" t="s">
        <v>2497</v>
      </c>
      <c r="F22" s="76" t="s">
        <v>149</v>
      </c>
      <c r="G22" s="722" t="s">
        <v>1284</v>
      </c>
      <c r="H22" s="77" t="s">
        <v>1380</v>
      </c>
      <c r="I22" s="726">
        <v>44972</v>
      </c>
      <c r="J22" s="724"/>
      <c r="K22" s="725"/>
      <c r="L22" s="1116">
        <v>50000000000</v>
      </c>
      <c r="M22" s="725"/>
    </row>
    <row r="23" spans="1:13" s="41" customFormat="1">
      <c r="A23" s="34">
        <v>22</v>
      </c>
      <c r="B23" s="76" t="s">
        <v>594</v>
      </c>
      <c r="C23" s="76" t="s">
        <v>1378</v>
      </c>
      <c r="D23" s="76" t="s">
        <v>19</v>
      </c>
      <c r="E23" s="76" t="s">
        <v>2496</v>
      </c>
      <c r="F23" s="76" t="s">
        <v>149</v>
      </c>
      <c r="G23" s="722" t="s">
        <v>1284</v>
      </c>
      <c r="H23" s="77" t="s">
        <v>1381</v>
      </c>
      <c r="I23" s="726">
        <v>44972</v>
      </c>
      <c r="J23" s="724"/>
      <c r="K23" s="725"/>
      <c r="L23" s="1116"/>
      <c r="M23" s="725"/>
    </row>
    <row r="24" spans="1:13" s="41" customFormat="1">
      <c r="A24" s="34">
        <v>23</v>
      </c>
      <c r="B24" s="76" t="s">
        <v>594</v>
      </c>
      <c r="C24" s="76" t="s">
        <v>1441</v>
      </c>
      <c r="D24" s="76" t="s">
        <v>33</v>
      </c>
      <c r="E24" s="76" t="s">
        <v>2498</v>
      </c>
      <c r="F24" s="76" t="s">
        <v>29</v>
      </c>
      <c r="G24" s="722" t="s">
        <v>851</v>
      </c>
      <c r="H24" s="77" t="s">
        <v>1442</v>
      </c>
      <c r="I24" s="726">
        <v>43664</v>
      </c>
      <c r="J24" s="724">
        <v>13797.16</v>
      </c>
      <c r="K24" s="725"/>
      <c r="L24" s="725">
        <f>635702*1323.2</f>
        <v>841160886.39999998</v>
      </c>
      <c r="M24" s="725"/>
    </row>
    <row r="25" spans="1:13" s="41" customFormat="1">
      <c r="A25" s="34">
        <v>24</v>
      </c>
      <c r="B25" s="76" t="s">
        <v>594</v>
      </c>
      <c r="C25" s="76" t="s">
        <v>1595</v>
      </c>
      <c r="D25" s="76" t="s">
        <v>1596</v>
      </c>
      <c r="E25" s="76" t="s">
        <v>1880</v>
      </c>
      <c r="F25" s="76" t="s">
        <v>58</v>
      </c>
      <c r="G25" s="722" t="s">
        <v>851</v>
      </c>
      <c r="H25" s="77" t="s">
        <v>774</v>
      </c>
      <c r="I25" s="911">
        <v>39174</v>
      </c>
      <c r="J25" s="727">
        <v>3674.93</v>
      </c>
      <c r="K25" s="728">
        <v>4906669454</v>
      </c>
      <c r="L25" s="728">
        <v>6672220000</v>
      </c>
      <c r="M25" s="729"/>
    </row>
    <row r="26" spans="1:13" s="41" customFormat="1">
      <c r="A26" s="34">
        <v>25</v>
      </c>
      <c r="B26" s="76" t="s">
        <v>594</v>
      </c>
      <c r="C26" s="76" t="s">
        <v>1598</v>
      </c>
      <c r="D26" s="76" t="s">
        <v>1596</v>
      </c>
      <c r="E26" s="76" t="s">
        <v>1881</v>
      </c>
      <c r="F26" s="76" t="s">
        <v>58</v>
      </c>
      <c r="G26" s="722" t="s">
        <v>851</v>
      </c>
      <c r="H26" s="77" t="s">
        <v>775</v>
      </c>
      <c r="I26" s="911">
        <v>39398</v>
      </c>
      <c r="J26" s="727">
        <v>5290.79</v>
      </c>
      <c r="K26" s="728">
        <v>359806482</v>
      </c>
      <c r="L26" s="728">
        <v>339870000</v>
      </c>
      <c r="M26" s="729"/>
    </row>
    <row r="27" spans="1:13" s="41" customFormat="1">
      <c r="A27" s="34">
        <v>26</v>
      </c>
      <c r="B27" s="76" t="s">
        <v>594</v>
      </c>
      <c r="C27" s="76" t="s">
        <v>1746</v>
      </c>
      <c r="D27" s="76" t="s">
        <v>33</v>
      </c>
      <c r="E27" s="76" t="s">
        <v>1882</v>
      </c>
      <c r="F27" s="76" t="s">
        <v>58</v>
      </c>
      <c r="G27" s="722" t="s">
        <v>851</v>
      </c>
      <c r="H27" s="77" t="s">
        <v>1747</v>
      </c>
      <c r="I27" s="911">
        <v>45321</v>
      </c>
      <c r="J27" s="727">
        <v>1000</v>
      </c>
      <c r="K27" s="728">
        <v>10000000000</v>
      </c>
      <c r="L27" s="728"/>
      <c r="M27" s="729"/>
    </row>
    <row r="28" spans="1:13" s="41" customFormat="1">
      <c r="A28" s="34">
        <v>27</v>
      </c>
      <c r="B28" s="76" t="s">
        <v>594</v>
      </c>
      <c r="C28" s="76" t="s">
        <v>2176</v>
      </c>
      <c r="D28" s="76" t="s">
        <v>33</v>
      </c>
      <c r="E28" s="76" t="s">
        <v>2179</v>
      </c>
      <c r="F28" s="76" t="s">
        <v>58</v>
      </c>
      <c r="G28" s="722" t="s">
        <v>2177</v>
      </c>
      <c r="H28" s="77" t="s">
        <v>2178</v>
      </c>
      <c r="I28" s="911">
        <v>45505</v>
      </c>
      <c r="J28" s="727">
        <v>1000</v>
      </c>
      <c r="K28" s="728">
        <v>2013000000</v>
      </c>
      <c r="L28" s="728">
        <v>2013000000</v>
      </c>
      <c r="M28" s="729"/>
    </row>
    <row r="29" spans="1:13" s="41" customFormat="1">
      <c r="A29" s="34">
        <v>28</v>
      </c>
      <c r="B29" s="76" t="s">
        <v>594</v>
      </c>
      <c r="C29" s="76" t="s">
        <v>2224</v>
      </c>
      <c r="D29" s="76" t="s">
        <v>33</v>
      </c>
      <c r="E29" s="76" t="s">
        <v>2226</v>
      </c>
      <c r="F29" s="76" t="s">
        <v>28</v>
      </c>
      <c r="G29" s="722" t="s">
        <v>2177</v>
      </c>
      <c r="H29" s="77" t="s">
        <v>2225</v>
      </c>
      <c r="I29" s="911">
        <v>45560</v>
      </c>
      <c r="J29" s="727">
        <v>1000</v>
      </c>
      <c r="K29" s="728">
        <v>219524898</v>
      </c>
      <c r="L29" s="728">
        <v>200000000</v>
      </c>
      <c r="M29" s="729"/>
    </row>
    <row r="30" spans="1:13">
      <c r="A30" s="34">
        <v>29</v>
      </c>
      <c r="B30" s="76" t="s">
        <v>594</v>
      </c>
      <c r="C30" s="76" t="s">
        <v>2289</v>
      </c>
      <c r="D30" s="76" t="s">
        <v>33</v>
      </c>
      <c r="E30" s="76" t="s">
        <v>2499</v>
      </c>
      <c r="F30" s="76" t="s">
        <v>27</v>
      </c>
      <c r="G30" s="48" t="s">
        <v>1284</v>
      </c>
      <c r="H30" s="77" t="s">
        <v>2290</v>
      </c>
      <c r="I30" s="912">
        <v>45720</v>
      </c>
      <c r="J30" s="730">
        <v>1000</v>
      </c>
      <c r="K30" s="442"/>
      <c r="L30" s="442"/>
      <c r="M30" s="443"/>
    </row>
    <row r="31" spans="1:13">
      <c r="A31" s="34">
        <v>30</v>
      </c>
      <c r="B31" s="76" t="s">
        <v>594</v>
      </c>
      <c r="C31" s="76" t="s">
        <v>2670</v>
      </c>
      <c r="D31" s="76" t="s">
        <v>19</v>
      </c>
      <c r="E31" s="76" t="s">
        <v>2671</v>
      </c>
      <c r="F31" s="76" t="s">
        <v>149</v>
      </c>
      <c r="G31" s="48" t="s">
        <v>1284</v>
      </c>
      <c r="H31" s="77" t="s">
        <v>2672</v>
      </c>
      <c r="I31" s="912">
        <v>44287</v>
      </c>
      <c r="J31" s="730"/>
      <c r="K31" s="442"/>
      <c r="L31" s="442"/>
      <c r="M31" s="443"/>
    </row>
    <row r="32" spans="1:13">
      <c r="A32" s="34">
        <v>31</v>
      </c>
      <c r="B32" s="76" t="s">
        <v>594</v>
      </c>
      <c r="C32" s="76" t="s">
        <v>887</v>
      </c>
      <c r="D32" s="76" t="s">
        <v>33</v>
      </c>
      <c r="E32" s="76" t="s">
        <v>2742</v>
      </c>
      <c r="F32" s="76" t="s">
        <v>31</v>
      </c>
      <c r="G32" s="48"/>
      <c r="H32" s="77" t="s">
        <v>885</v>
      </c>
      <c r="I32" s="912" t="s">
        <v>892</v>
      </c>
      <c r="J32" s="730"/>
      <c r="K32" s="442"/>
      <c r="L32" s="442"/>
      <c r="M32" s="443"/>
    </row>
    <row r="33" spans="1:13">
      <c r="A33" s="34">
        <v>32</v>
      </c>
      <c r="B33" s="76" t="s">
        <v>594</v>
      </c>
      <c r="C33" s="76" t="s">
        <v>898</v>
      </c>
      <c r="D33" s="76" t="s">
        <v>33</v>
      </c>
      <c r="E33" s="76" t="s">
        <v>2744</v>
      </c>
      <c r="F33" s="76" t="s">
        <v>31</v>
      </c>
      <c r="G33" s="48"/>
      <c r="H33" s="77" t="s">
        <v>896</v>
      </c>
      <c r="I33" s="912" t="s">
        <v>902</v>
      </c>
      <c r="J33" s="730"/>
      <c r="K33" s="442"/>
      <c r="L33" s="442"/>
      <c r="M33" s="443"/>
    </row>
    <row r="34" spans="1:13">
      <c r="A34" s="34">
        <v>33</v>
      </c>
      <c r="B34" s="76" t="s">
        <v>594</v>
      </c>
      <c r="C34" s="76" t="s">
        <v>909</v>
      </c>
      <c r="D34" s="76" t="s">
        <v>33</v>
      </c>
      <c r="E34" s="76" t="s">
        <v>2743</v>
      </c>
      <c r="F34" s="76" t="s">
        <v>31</v>
      </c>
      <c r="G34" s="48"/>
      <c r="H34" s="77" t="s">
        <v>907</v>
      </c>
      <c r="I34" s="912" t="s">
        <v>902</v>
      </c>
      <c r="J34" s="730"/>
      <c r="K34" s="442"/>
      <c r="L34" s="442"/>
      <c r="M34" s="443"/>
    </row>
    <row r="35" spans="1:13">
      <c r="A35" s="34">
        <v>34</v>
      </c>
      <c r="B35" s="76" t="s">
        <v>594</v>
      </c>
      <c r="C35" s="76" t="s">
        <v>917</v>
      </c>
      <c r="D35" s="76" t="s">
        <v>33</v>
      </c>
      <c r="E35" s="76" t="s">
        <v>1884</v>
      </c>
      <c r="F35" s="76" t="s">
        <v>31</v>
      </c>
      <c r="G35" s="48"/>
      <c r="H35" s="77" t="s">
        <v>915</v>
      </c>
      <c r="I35" s="912" t="s">
        <v>920</v>
      </c>
      <c r="J35" s="730"/>
      <c r="K35" s="442"/>
      <c r="L35" s="442"/>
      <c r="M35" s="443"/>
    </row>
    <row r="36" spans="1:13">
      <c r="A36" s="34">
        <v>35</v>
      </c>
      <c r="B36" s="76" t="s">
        <v>594</v>
      </c>
      <c r="C36" s="76" t="s">
        <v>925</v>
      </c>
      <c r="D36" s="76" t="s">
        <v>33</v>
      </c>
      <c r="E36" s="76" t="s">
        <v>1885</v>
      </c>
      <c r="F36" s="76" t="s">
        <v>31</v>
      </c>
      <c r="G36" s="48"/>
      <c r="H36" s="77" t="s">
        <v>923</v>
      </c>
      <c r="I36" s="912" t="s">
        <v>928</v>
      </c>
      <c r="J36" s="730"/>
      <c r="K36" s="442"/>
      <c r="L36" s="442"/>
      <c r="M36" s="443"/>
    </row>
    <row r="37" spans="1:13">
      <c r="A37" s="34">
        <v>36</v>
      </c>
      <c r="B37" s="76" t="s">
        <v>594</v>
      </c>
      <c r="C37" s="76" t="s">
        <v>941</v>
      </c>
      <c r="D37" s="76" t="s">
        <v>33</v>
      </c>
      <c r="E37" s="76" t="s">
        <v>2775</v>
      </c>
      <c r="F37" s="76" t="s">
        <v>23</v>
      </c>
      <c r="G37" s="48"/>
      <c r="H37" s="77" t="s">
        <v>939</v>
      </c>
      <c r="I37" s="912" t="s">
        <v>945</v>
      </c>
      <c r="J37" s="730"/>
      <c r="K37" s="442"/>
      <c r="L37" s="442"/>
      <c r="M37" s="443"/>
    </row>
    <row r="38" spans="1:13">
      <c r="A38" s="34">
        <v>37</v>
      </c>
      <c r="B38" s="76" t="s">
        <v>594</v>
      </c>
      <c r="C38" s="76" t="s">
        <v>950</v>
      </c>
      <c r="D38" s="76" t="s">
        <v>33</v>
      </c>
      <c r="E38" s="76" t="s">
        <v>2745</v>
      </c>
      <c r="F38" s="76" t="s">
        <v>23</v>
      </c>
      <c r="G38" s="48"/>
      <c r="H38" s="77" t="s">
        <v>948</v>
      </c>
      <c r="I38" s="912" t="s">
        <v>953</v>
      </c>
      <c r="J38" s="730"/>
      <c r="K38" s="442"/>
      <c r="L38" s="442"/>
      <c r="M38" s="443"/>
    </row>
    <row r="39" spans="1:13">
      <c r="A39" s="34">
        <v>38</v>
      </c>
      <c r="B39" s="76" t="s">
        <v>594</v>
      </c>
      <c r="C39" s="76" t="s">
        <v>958</v>
      </c>
      <c r="D39" s="76" t="s">
        <v>33</v>
      </c>
      <c r="E39" s="76" t="s">
        <v>2746</v>
      </c>
      <c r="F39" s="76" t="s">
        <v>23</v>
      </c>
      <c r="G39" s="48"/>
      <c r="H39" s="77" t="s">
        <v>2734</v>
      </c>
      <c r="I39" s="912" t="s">
        <v>961</v>
      </c>
      <c r="J39" s="730"/>
      <c r="K39" s="442"/>
      <c r="L39" s="442"/>
      <c r="M39" s="443"/>
    </row>
    <row r="40" spans="1:13">
      <c r="A40" s="34">
        <v>39</v>
      </c>
      <c r="B40" s="76" t="s">
        <v>594</v>
      </c>
      <c r="C40" s="76" t="s">
        <v>966</v>
      </c>
      <c r="D40" s="76" t="s">
        <v>33</v>
      </c>
      <c r="E40" s="76" t="s">
        <v>2747</v>
      </c>
      <c r="F40" s="76" t="s">
        <v>23</v>
      </c>
      <c r="G40" s="48"/>
      <c r="H40" s="77" t="s">
        <v>2735</v>
      </c>
      <c r="I40" s="912" t="s">
        <v>969</v>
      </c>
      <c r="J40" s="730"/>
      <c r="K40" s="442"/>
      <c r="L40" s="442"/>
      <c r="M40" s="443"/>
    </row>
    <row r="41" spans="1:13">
      <c r="A41" s="34">
        <v>40</v>
      </c>
      <c r="B41" s="76" t="s">
        <v>594</v>
      </c>
      <c r="C41" s="76" t="s">
        <v>974</v>
      </c>
      <c r="D41" s="76" t="s">
        <v>33</v>
      </c>
      <c r="E41" s="76" t="s">
        <v>2748</v>
      </c>
      <c r="F41" s="76" t="s">
        <v>23</v>
      </c>
      <c r="G41" s="48"/>
      <c r="H41" s="77" t="s">
        <v>972</v>
      </c>
      <c r="I41" s="912" t="s">
        <v>978</v>
      </c>
      <c r="J41" s="730"/>
      <c r="K41" s="442"/>
      <c r="L41" s="442"/>
      <c r="M41" s="443"/>
    </row>
    <row r="42" spans="1:13">
      <c r="A42" s="34">
        <v>41</v>
      </c>
      <c r="B42" s="76" t="s">
        <v>594</v>
      </c>
      <c r="C42" s="76" t="s">
        <v>983</v>
      </c>
      <c r="D42" s="76" t="s">
        <v>33</v>
      </c>
      <c r="E42" s="76" t="s">
        <v>2749</v>
      </c>
      <c r="F42" s="76" t="s">
        <v>23</v>
      </c>
      <c r="G42" s="48"/>
      <c r="H42" s="77" t="s">
        <v>981</v>
      </c>
      <c r="I42" s="912" t="s">
        <v>986</v>
      </c>
      <c r="J42" s="730"/>
      <c r="K42" s="442"/>
      <c r="L42" s="442"/>
      <c r="M42" s="443"/>
    </row>
    <row r="43" spans="1:13">
      <c r="A43" s="34">
        <v>42</v>
      </c>
      <c r="B43" s="76" t="s">
        <v>594</v>
      </c>
      <c r="C43" s="76" t="s">
        <v>991</v>
      </c>
      <c r="D43" s="76" t="s">
        <v>33</v>
      </c>
      <c r="E43" s="76" t="s">
        <v>2750</v>
      </c>
      <c r="F43" s="76" t="s">
        <v>23</v>
      </c>
      <c r="G43" s="48"/>
      <c r="H43" s="77" t="s">
        <v>989</v>
      </c>
      <c r="I43" s="912" t="s">
        <v>986</v>
      </c>
      <c r="J43" s="730"/>
      <c r="K43" s="442"/>
      <c r="L43" s="442"/>
      <c r="M43" s="443"/>
    </row>
    <row r="44" spans="1:13">
      <c r="A44" s="34">
        <v>43</v>
      </c>
      <c r="B44" s="76" t="s">
        <v>594</v>
      </c>
      <c r="C44" s="76" t="s">
        <v>998</v>
      </c>
      <c r="D44" s="76" t="s">
        <v>33</v>
      </c>
      <c r="E44" s="76" t="s">
        <v>2751</v>
      </c>
      <c r="F44" s="76" t="s">
        <v>23</v>
      </c>
      <c r="G44" s="48"/>
      <c r="H44" s="77" t="s">
        <v>996</v>
      </c>
      <c r="I44" s="912" t="s">
        <v>1001</v>
      </c>
      <c r="J44" s="730"/>
      <c r="K44" s="442"/>
      <c r="L44" s="442"/>
      <c r="M44" s="443"/>
    </row>
    <row r="45" spans="1:13">
      <c r="A45" s="34">
        <v>44</v>
      </c>
      <c r="B45" s="76" t="s">
        <v>594</v>
      </c>
      <c r="C45" s="76" t="s">
        <v>1006</v>
      </c>
      <c r="D45" s="76" t="s">
        <v>33</v>
      </c>
      <c r="E45" s="76" t="s">
        <v>2752</v>
      </c>
      <c r="F45" s="76" t="s">
        <v>23</v>
      </c>
      <c r="G45" s="48"/>
      <c r="H45" s="77" t="s">
        <v>1004</v>
      </c>
      <c r="I45" s="912" t="s">
        <v>607</v>
      </c>
      <c r="J45" s="730"/>
      <c r="K45" s="442"/>
      <c r="L45" s="442"/>
      <c r="M45" s="443"/>
    </row>
    <row r="46" spans="1:13">
      <c r="A46" s="34">
        <v>45</v>
      </c>
      <c r="B46" s="76" t="s">
        <v>594</v>
      </c>
      <c r="C46" s="76" t="s">
        <v>1013</v>
      </c>
      <c r="D46" s="76" t="s">
        <v>33</v>
      </c>
      <c r="E46" s="76" t="s">
        <v>2753</v>
      </c>
      <c r="F46" s="76" t="s">
        <v>23</v>
      </c>
      <c r="G46" s="48"/>
      <c r="H46" s="77" t="s">
        <v>1011</v>
      </c>
      <c r="I46" s="912" t="s">
        <v>1016</v>
      </c>
      <c r="J46" s="730"/>
      <c r="K46" s="442"/>
      <c r="L46" s="442"/>
      <c r="M46" s="443"/>
    </row>
    <row r="47" spans="1:13">
      <c r="A47" s="34">
        <v>46</v>
      </c>
      <c r="B47" s="76" t="s">
        <v>594</v>
      </c>
      <c r="C47" s="76" t="s">
        <v>1021</v>
      </c>
      <c r="D47" s="76" t="s">
        <v>33</v>
      </c>
      <c r="E47" s="76" t="s">
        <v>2754</v>
      </c>
      <c r="F47" s="76" t="s">
        <v>23</v>
      </c>
      <c r="G47" s="48"/>
      <c r="H47" s="77" t="s">
        <v>1019</v>
      </c>
      <c r="I47" s="912" t="s">
        <v>1016</v>
      </c>
      <c r="J47" s="730"/>
      <c r="K47" s="442"/>
      <c r="L47" s="442"/>
      <c r="M47" s="443"/>
    </row>
    <row r="48" spans="1:13">
      <c r="A48" s="34">
        <v>47</v>
      </c>
      <c r="B48" s="76" t="s">
        <v>594</v>
      </c>
      <c r="C48" s="76" t="s">
        <v>1028</v>
      </c>
      <c r="D48" s="76" t="s">
        <v>33</v>
      </c>
      <c r="E48" s="76" t="s">
        <v>2755</v>
      </c>
      <c r="F48" s="76" t="s">
        <v>31</v>
      </c>
      <c r="G48" s="48"/>
      <c r="H48" s="77" t="s">
        <v>1026</v>
      </c>
      <c r="I48" s="912" t="s">
        <v>1031</v>
      </c>
      <c r="J48" s="730"/>
      <c r="K48" s="442"/>
      <c r="L48" s="442"/>
      <c r="M48" s="443"/>
    </row>
    <row r="49" spans="1:13">
      <c r="A49" s="34">
        <v>48</v>
      </c>
      <c r="B49" s="76" t="s">
        <v>594</v>
      </c>
      <c r="C49" s="76" t="s">
        <v>1037</v>
      </c>
      <c r="D49" s="76" t="s">
        <v>33</v>
      </c>
      <c r="E49" s="76" t="s">
        <v>2756</v>
      </c>
      <c r="F49" s="76" t="s">
        <v>31</v>
      </c>
      <c r="G49" s="48"/>
      <c r="H49" s="77" t="s">
        <v>1035</v>
      </c>
      <c r="I49" s="912" t="s">
        <v>1040</v>
      </c>
      <c r="J49" s="730"/>
      <c r="K49" s="442"/>
      <c r="L49" s="442"/>
      <c r="M49" s="443"/>
    </row>
    <row r="50" spans="1:13">
      <c r="A50" s="34">
        <v>49</v>
      </c>
      <c r="B50" s="76" t="s">
        <v>594</v>
      </c>
      <c r="C50" s="76" t="s">
        <v>1046</v>
      </c>
      <c r="D50" s="76" t="s">
        <v>33</v>
      </c>
      <c r="E50" s="76" t="s">
        <v>2757</v>
      </c>
      <c r="F50" s="76" t="s">
        <v>31</v>
      </c>
      <c r="G50" s="48"/>
      <c r="H50" s="77" t="s">
        <v>1044</v>
      </c>
      <c r="I50" s="912" t="s">
        <v>1049</v>
      </c>
      <c r="J50" s="730"/>
      <c r="K50" s="442"/>
      <c r="L50" s="442"/>
      <c r="M50" s="443"/>
    </row>
    <row r="51" spans="1:13">
      <c r="A51" s="34">
        <v>50</v>
      </c>
      <c r="B51" s="76" t="s">
        <v>594</v>
      </c>
      <c r="C51" s="76" t="s">
        <v>1054</v>
      </c>
      <c r="D51" s="76" t="s">
        <v>33</v>
      </c>
      <c r="E51" s="76" t="s">
        <v>2758</v>
      </c>
      <c r="F51" s="76" t="s">
        <v>31</v>
      </c>
      <c r="G51" s="48"/>
      <c r="H51" s="77" t="s">
        <v>1052</v>
      </c>
      <c r="I51" s="912" t="s">
        <v>1057</v>
      </c>
      <c r="J51" s="730"/>
      <c r="K51" s="442"/>
      <c r="L51" s="442"/>
      <c r="M51" s="443"/>
    </row>
    <row r="52" spans="1:13">
      <c r="A52" s="34">
        <v>51</v>
      </c>
      <c r="B52" s="76" t="s">
        <v>594</v>
      </c>
      <c r="C52" s="76" t="s">
        <v>1062</v>
      </c>
      <c r="D52" s="76" t="s">
        <v>33</v>
      </c>
      <c r="E52" s="76" t="s">
        <v>1887</v>
      </c>
      <c r="F52" s="76" t="s">
        <v>31</v>
      </c>
      <c r="G52" s="48"/>
      <c r="H52" s="77" t="s">
        <v>1060</v>
      </c>
      <c r="I52" s="912" t="s">
        <v>1057</v>
      </c>
      <c r="J52" s="730"/>
      <c r="K52" s="442"/>
      <c r="L52" s="442"/>
      <c r="M52" s="443"/>
    </row>
    <row r="53" spans="1:13">
      <c r="A53" s="34">
        <v>52</v>
      </c>
      <c r="B53" s="76" t="s">
        <v>594</v>
      </c>
      <c r="C53" s="76" t="s">
        <v>1070</v>
      </c>
      <c r="D53" s="76" t="s">
        <v>33</v>
      </c>
      <c r="E53" s="76" t="s">
        <v>2759</v>
      </c>
      <c r="F53" s="76" t="s">
        <v>31</v>
      </c>
      <c r="G53" s="48"/>
      <c r="H53" s="77" t="s">
        <v>1068</v>
      </c>
      <c r="I53" s="912" t="s">
        <v>1049</v>
      </c>
      <c r="J53" s="730"/>
      <c r="K53" s="442"/>
      <c r="L53" s="442"/>
      <c r="M53" s="443"/>
    </row>
    <row r="54" spans="1:13">
      <c r="A54" s="34">
        <v>53</v>
      </c>
      <c r="B54" s="76" t="s">
        <v>594</v>
      </c>
      <c r="C54" s="76" t="s">
        <v>1078</v>
      </c>
      <c r="D54" s="76" t="s">
        <v>33</v>
      </c>
      <c r="E54" s="76" t="s">
        <v>1888</v>
      </c>
      <c r="F54" s="76" t="s">
        <v>31</v>
      </c>
      <c r="G54" s="48"/>
      <c r="H54" s="77" t="s">
        <v>1076</v>
      </c>
      <c r="I54" s="912" t="s">
        <v>1081</v>
      </c>
      <c r="J54" s="730"/>
      <c r="K54" s="442"/>
      <c r="L54" s="442"/>
      <c r="M54" s="443"/>
    </row>
    <row r="55" spans="1:13">
      <c r="A55" s="34">
        <v>54</v>
      </c>
      <c r="B55" s="76" t="s">
        <v>594</v>
      </c>
      <c r="C55" s="76" t="s">
        <v>1086</v>
      </c>
      <c r="D55" s="76" t="s">
        <v>33</v>
      </c>
      <c r="E55" s="76" t="s">
        <v>1889</v>
      </c>
      <c r="F55" s="76" t="s">
        <v>31</v>
      </c>
      <c r="G55" s="48"/>
      <c r="H55" s="77" t="s">
        <v>1084</v>
      </c>
      <c r="I55" s="912" t="s">
        <v>1089</v>
      </c>
      <c r="J55" s="730"/>
      <c r="K55" s="442"/>
      <c r="L55" s="442"/>
      <c r="M55" s="443"/>
    </row>
    <row r="56" spans="1:13">
      <c r="A56" s="34">
        <v>55</v>
      </c>
      <c r="B56" s="76" t="s">
        <v>594</v>
      </c>
      <c r="C56" s="76" t="s">
        <v>1094</v>
      </c>
      <c r="D56" s="76" t="s">
        <v>33</v>
      </c>
      <c r="E56" s="76" t="s">
        <v>2760</v>
      </c>
      <c r="F56" s="76" t="s">
        <v>31</v>
      </c>
      <c r="G56" s="48"/>
      <c r="H56" s="77" t="s">
        <v>1092</v>
      </c>
      <c r="I56" s="912" t="s">
        <v>1097</v>
      </c>
      <c r="J56" s="730"/>
      <c r="K56" s="442"/>
      <c r="L56" s="442"/>
      <c r="M56" s="443"/>
    </row>
    <row r="57" spans="1:13">
      <c r="A57" s="34">
        <v>56</v>
      </c>
      <c r="B57" s="76" t="s">
        <v>594</v>
      </c>
      <c r="C57" s="76" t="s">
        <v>1102</v>
      </c>
      <c r="D57" s="76" t="s">
        <v>33</v>
      </c>
      <c r="E57" s="76" t="s">
        <v>2761</v>
      </c>
      <c r="F57" s="76" t="s">
        <v>31</v>
      </c>
      <c r="G57" s="48"/>
      <c r="H57" s="77" t="s">
        <v>2736</v>
      </c>
      <c r="I57" s="912" t="s">
        <v>1105</v>
      </c>
      <c r="J57" s="730"/>
      <c r="K57" s="442"/>
      <c r="L57" s="442"/>
      <c r="M57" s="443"/>
    </row>
    <row r="58" spans="1:13">
      <c r="A58" s="34">
        <v>57</v>
      </c>
      <c r="B58" s="76" t="s">
        <v>594</v>
      </c>
      <c r="C58" s="76" t="s">
        <v>1110</v>
      </c>
      <c r="D58" s="76" t="s">
        <v>33</v>
      </c>
      <c r="E58" s="76" t="s">
        <v>2762</v>
      </c>
      <c r="F58" s="76" t="s">
        <v>31</v>
      </c>
      <c r="G58" s="48"/>
      <c r="H58" s="77" t="s">
        <v>1108</v>
      </c>
      <c r="I58" s="912" t="s">
        <v>1113</v>
      </c>
      <c r="J58" s="730"/>
      <c r="K58" s="442"/>
      <c r="L58" s="442"/>
      <c r="M58" s="443"/>
    </row>
    <row r="59" spans="1:13">
      <c r="A59" s="34">
        <v>58</v>
      </c>
      <c r="B59" s="76" t="s">
        <v>594</v>
      </c>
      <c r="C59" s="76" t="s">
        <v>1118</v>
      </c>
      <c r="D59" s="76" t="s">
        <v>33</v>
      </c>
      <c r="E59" s="76" t="s">
        <v>2763</v>
      </c>
      <c r="F59" s="76" t="s">
        <v>31</v>
      </c>
      <c r="G59" s="48"/>
      <c r="H59" s="77" t="s">
        <v>1116</v>
      </c>
      <c r="I59" s="912" t="s">
        <v>1121</v>
      </c>
      <c r="J59" s="730"/>
      <c r="K59" s="442"/>
      <c r="L59" s="442"/>
      <c r="M59" s="443"/>
    </row>
    <row r="60" spans="1:13">
      <c r="A60" s="34">
        <v>59</v>
      </c>
      <c r="B60" s="76" t="s">
        <v>594</v>
      </c>
      <c r="C60" s="76" t="s">
        <v>1126</v>
      </c>
      <c r="D60" s="76" t="s">
        <v>33</v>
      </c>
      <c r="E60" s="76" t="s">
        <v>2764</v>
      </c>
      <c r="F60" s="76" t="s">
        <v>31</v>
      </c>
      <c r="G60" s="48"/>
      <c r="H60" s="77" t="s">
        <v>1124</v>
      </c>
      <c r="I60" s="912" t="s">
        <v>1129</v>
      </c>
      <c r="J60" s="730"/>
      <c r="K60" s="442"/>
      <c r="L60" s="442"/>
      <c r="M60" s="443"/>
    </row>
    <row r="61" spans="1:13">
      <c r="A61" s="34">
        <v>60</v>
      </c>
      <c r="B61" s="76" t="s">
        <v>594</v>
      </c>
      <c r="C61" s="76" t="s">
        <v>1135</v>
      </c>
      <c r="D61" s="76" t="s">
        <v>33</v>
      </c>
      <c r="E61" s="76" t="s">
        <v>1890</v>
      </c>
      <c r="F61" s="76" t="s">
        <v>31</v>
      </c>
      <c r="G61" s="48"/>
      <c r="H61" s="77" t="s">
        <v>1133</v>
      </c>
      <c r="I61" s="912" t="s">
        <v>1129</v>
      </c>
      <c r="J61" s="730"/>
      <c r="K61" s="442"/>
      <c r="L61" s="442"/>
      <c r="M61" s="443"/>
    </row>
    <row r="62" spans="1:13">
      <c r="A62" s="34">
        <v>61</v>
      </c>
      <c r="B62" s="76" t="s">
        <v>594</v>
      </c>
      <c r="C62" s="76" t="s">
        <v>1143</v>
      </c>
      <c r="D62" s="76" t="s">
        <v>33</v>
      </c>
      <c r="E62" s="76" t="s">
        <v>2765</v>
      </c>
      <c r="F62" s="76" t="s">
        <v>31</v>
      </c>
      <c r="G62" s="48"/>
      <c r="H62" s="77" t="s">
        <v>1141</v>
      </c>
      <c r="I62" s="912" t="s">
        <v>1146</v>
      </c>
      <c r="J62" s="730"/>
      <c r="K62" s="442"/>
      <c r="L62" s="442"/>
      <c r="M62" s="443"/>
    </row>
    <row r="63" spans="1:13">
      <c r="A63" s="34">
        <v>62</v>
      </c>
      <c r="B63" s="76" t="s">
        <v>594</v>
      </c>
      <c r="C63" s="76" t="s">
        <v>1151</v>
      </c>
      <c r="D63" s="76" t="s">
        <v>33</v>
      </c>
      <c r="E63" s="76" t="s">
        <v>1891</v>
      </c>
      <c r="F63" s="76" t="s">
        <v>31</v>
      </c>
      <c r="G63" s="48"/>
      <c r="H63" s="77" t="s">
        <v>1149</v>
      </c>
      <c r="I63" s="912" t="s">
        <v>1154</v>
      </c>
      <c r="J63" s="730"/>
      <c r="K63" s="442"/>
      <c r="L63" s="442"/>
      <c r="M63" s="443"/>
    </row>
    <row r="64" spans="1:13">
      <c r="A64" s="34">
        <v>63</v>
      </c>
      <c r="B64" s="76" t="s">
        <v>594</v>
      </c>
      <c r="C64" s="76" t="s">
        <v>1159</v>
      </c>
      <c r="D64" s="76" t="s">
        <v>33</v>
      </c>
      <c r="E64" s="76" t="s">
        <v>1892</v>
      </c>
      <c r="F64" s="76" t="s">
        <v>31</v>
      </c>
      <c r="G64" s="48"/>
      <c r="H64" s="77" t="s">
        <v>1157</v>
      </c>
      <c r="I64" s="912" t="s">
        <v>1162</v>
      </c>
      <c r="J64" s="730"/>
      <c r="K64" s="442"/>
      <c r="L64" s="442"/>
      <c r="M64" s="443"/>
    </row>
    <row r="65" spans="1:13">
      <c r="A65" s="34">
        <v>64</v>
      </c>
      <c r="B65" s="76" t="s">
        <v>594</v>
      </c>
      <c r="C65" s="76" t="s">
        <v>1167</v>
      </c>
      <c r="D65" s="76" t="s">
        <v>33</v>
      </c>
      <c r="E65" s="76" t="s">
        <v>2766</v>
      </c>
      <c r="F65" s="76" t="s">
        <v>31</v>
      </c>
      <c r="G65" s="48"/>
      <c r="H65" s="77" t="s">
        <v>1165</v>
      </c>
      <c r="I65" s="912" t="s">
        <v>1171</v>
      </c>
      <c r="J65" s="730"/>
      <c r="K65" s="442"/>
      <c r="L65" s="442"/>
      <c r="M65" s="443"/>
    </row>
    <row r="66" spans="1:13">
      <c r="A66" s="34">
        <v>65</v>
      </c>
      <c r="B66" s="76" t="s">
        <v>594</v>
      </c>
      <c r="C66" s="76" t="s">
        <v>1176</v>
      </c>
      <c r="D66" s="76" t="s">
        <v>33</v>
      </c>
      <c r="E66" s="76" t="s">
        <v>2767</v>
      </c>
      <c r="F66" s="76" t="s">
        <v>31</v>
      </c>
      <c r="G66" s="48"/>
      <c r="H66" s="77" t="s">
        <v>1174</v>
      </c>
      <c r="I66" s="912" t="s">
        <v>1171</v>
      </c>
      <c r="J66" s="730"/>
      <c r="K66" s="442"/>
      <c r="L66" s="442"/>
      <c r="M66" s="443"/>
    </row>
    <row r="67" spans="1:13">
      <c r="A67" s="34">
        <v>66</v>
      </c>
      <c r="B67" s="76" t="s">
        <v>594</v>
      </c>
      <c r="C67" s="76" t="s">
        <v>1183</v>
      </c>
      <c r="D67" s="76" t="s">
        <v>33</v>
      </c>
      <c r="E67" s="76" t="s">
        <v>2768</v>
      </c>
      <c r="F67" s="76" t="s">
        <v>31</v>
      </c>
      <c r="G67" s="48"/>
      <c r="H67" s="77" t="s">
        <v>2737</v>
      </c>
      <c r="I67" s="912" t="s">
        <v>1186</v>
      </c>
      <c r="J67" s="730"/>
      <c r="K67" s="442"/>
      <c r="L67" s="442"/>
      <c r="M67" s="443"/>
    </row>
    <row r="68" spans="1:13">
      <c r="A68" s="34">
        <v>67</v>
      </c>
      <c r="B68" s="76" t="s">
        <v>594</v>
      </c>
      <c r="C68" s="76" t="s">
        <v>1191</v>
      </c>
      <c r="D68" s="76" t="s">
        <v>33</v>
      </c>
      <c r="E68" s="76" t="s">
        <v>2776</v>
      </c>
      <c r="F68" s="76" t="s">
        <v>31</v>
      </c>
      <c r="G68" s="48"/>
      <c r="H68" s="77" t="s">
        <v>2769</v>
      </c>
      <c r="I68" s="912" t="s">
        <v>1194</v>
      </c>
      <c r="J68" s="730"/>
      <c r="K68" s="442"/>
      <c r="L68" s="442"/>
      <c r="M68" s="443"/>
    </row>
    <row r="69" spans="1:13">
      <c r="A69" s="34">
        <v>68</v>
      </c>
      <c r="B69" s="76" t="s">
        <v>594</v>
      </c>
      <c r="C69" s="76" t="s">
        <v>1199</v>
      </c>
      <c r="D69" s="76" t="s">
        <v>33</v>
      </c>
      <c r="E69" s="76" t="s">
        <v>2777</v>
      </c>
      <c r="F69" s="76" t="s">
        <v>31</v>
      </c>
      <c r="G69" s="48"/>
      <c r="H69" s="77" t="s">
        <v>2770</v>
      </c>
      <c r="I69" s="912" t="s">
        <v>1202</v>
      </c>
      <c r="J69" s="730"/>
      <c r="K69" s="442"/>
      <c r="L69" s="442"/>
      <c r="M69" s="443"/>
    </row>
    <row r="70" spans="1:13">
      <c r="A70" s="34">
        <v>69</v>
      </c>
      <c r="B70" s="76" t="s">
        <v>594</v>
      </c>
      <c r="C70" s="76" t="s">
        <v>1207</v>
      </c>
      <c r="D70" s="76" t="s">
        <v>33</v>
      </c>
      <c r="E70" s="76" t="s">
        <v>2035</v>
      </c>
      <c r="F70" s="76" t="s">
        <v>31</v>
      </c>
      <c r="G70" s="48"/>
      <c r="H70" s="77" t="s">
        <v>1205</v>
      </c>
      <c r="I70" s="912" t="s">
        <v>1210</v>
      </c>
      <c r="J70" s="730"/>
      <c r="K70" s="442"/>
      <c r="L70" s="442"/>
      <c r="M70" s="443"/>
    </row>
    <row r="71" spans="1:13">
      <c r="A71" s="34">
        <v>70</v>
      </c>
      <c r="B71" s="76" t="s">
        <v>594</v>
      </c>
      <c r="C71" s="76" t="s">
        <v>1215</v>
      </c>
      <c r="D71" s="76" t="s">
        <v>33</v>
      </c>
      <c r="E71" s="76" t="s">
        <v>2036</v>
      </c>
      <c r="F71" s="76" t="s">
        <v>31</v>
      </c>
      <c r="G71" s="48"/>
      <c r="H71" s="77" t="s">
        <v>1213</v>
      </c>
      <c r="I71" s="912" t="s">
        <v>1210</v>
      </c>
      <c r="J71" s="730"/>
      <c r="K71" s="442"/>
      <c r="L71" s="442"/>
      <c r="M71" s="443"/>
    </row>
    <row r="72" spans="1:13" s="358" customFormat="1">
      <c r="A72" s="956">
        <v>71</v>
      </c>
      <c r="B72" s="916" t="s">
        <v>594</v>
      </c>
      <c r="C72" s="917" t="s">
        <v>933</v>
      </c>
      <c r="D72" s="956" t="s">
        <v>2779</v>
      </c>
      <c r="E72" s="1050" t="s">
        <v>2781</v>
      </c>
      <c r="F72" s="956"/>
      <c r="G72" s="956"/>
      <c r="H72" s="918" t="s">
        <v>931</v>
      </c>
      <c r="I72" s="956"/>
      <c r="J72" s="957"/>
      <c r="K72" s="957"/>
      <c r="L72" s="957"/>
      <c r="M72" s="957"/>
    </row>
    <row r="73" spans="1:13">
      <c r="A73" s="34">
        <v>72</v>
      </c>
      <c r="B73" s="76" t="s">
        <v>594</v>
      </c>
      <c r="C73" s="76" t="s">
        <v>2998</v>
      </c>
      <c r="D73" s="76" t="s">
        <v>33</v>
      </c>
      <c r="E73" s="76" t="s">
        <v>3058</v>
      </c>
      <c r="F73" s="76" t="s">
        <v>2999</v>
      </c>
      <c r="G73" s="48"/>
      <c r="H73" s="77" t="s">
        <v>3007</v>
      </c>
      <c r="I73" s="912">
        <v>46023</v>
      </c>
      <c r="J73" s="730"/>
      <c r="K73" s="442"/>
      <c r="L73" s="442"/>
      <c r="M73" s="443"/>
    </row>
    <row r="76" spans="1:13">
      <c r="B76" s="906"/>
      <c r="C76" s="906"/>
      <c r="D76" s="906"/>
      <c r="E76" s="906"/>
      <c r="F76" s="906"/>
      <c r="G76" s="907"/>
      <c r="H76" s="908"/>
      <c r="I76" s="913"/>
      <c r="J76" s="909"/>
      <c r="K76" s="910"/>
      <c r="L76" s="910"/>
      <c r="M76" s="494"/>
    </row>
    <row r="77" spans="1:13">
      <c r="B77" s="906"/>
      <c r="C77" s="906"/>
      <c r="D77" s="906"/>
      <c r="E77" s="906"/>
      <c r="F77" s="906"/>
      <c r="G77" s="907"/>
      <c r="H77" s="908"/>
      <c r="I77" s="913"/>
      <c r="J77" s="909"/>
      <c r="K77" s="910"/>
      <c r="L77" s="910"/>
      <c r="M77" s="494"/>
    </row>
    <row r="78" spans="1:13">
      <c r="B78" s="906"/>
      <c r="C78" s="906"/>
      <c r="D78" s="906"/>
      <c r="E78" s="906"/>
      <c r="F78" s="906"/>
      <c r="G78" s="907"/>
      <c r="H78" s="908"/>
      <c r="I78" s="913"/>
      <c r="J78" s="909"/>
      <c r="K78" s="910"/>
      <c r="L78" s="910"/>
      <c r="M78" s="494"/>
    </row>
    <row r="79" spans="1:13">
      <c r="B79" s="906"/>
      <c r="C79" s="906"/>
      <c r="D79" s="906"/>
      <c r="E79" s="906"/>
      <c r="F79" s="906"/>
      <c r="G79" s="907"/>
      <c r="H79" s="908"/>
      <c r="I79" s="913"/>
      <c r="J79" s="909"/>
      <c r="K79" s="910"/>
      <c r="L79" s="910"/>
      <c r="M79" s="494"/>
    </row>
    <row r="80" spans="1:13">
      <c r="B80" s="906"/>
      <c r="C80" s="906"/>
      <c r="D80" s="906"/>
      <c r="E80" s="906"/>
      <c r="F80" s="906"/>
      <c r="G80" s="907"/>
      <c r="H80" s="908"/>
      <c r="I80" s="913"/>
      <c r="J80" s="909"/>
      <c r="K80" s="910"/>
      <c r="L80" s="910"/>
      <c r="M80" s="494"/>
    </row>
    <row r="81" spans="2:13">
      <c r="B81" s="906"/>
      <c r="C81" s="906"/>
      <c r="D81" s="906"/>
      <c r="E81" s="906"/>
      <c r="F81" s="906"/>
      <c r="G81" s="907"/>
      <c r="H81" s="908"/>
      <c r="I81" s="913"/>
      <c r="J81" s="909"/>
      <c r="K81" s="910"/>
      <c r="L81" s="910"/>
      <c r="M81" s="494"/>
    </row>
    <row r="82" spans="2:13">
      <c r="B82" s="906"/>
      <c r="C82" s="906"/>
      <c r="D82" s="906"/>
      <c r="E82" s="906"/>
      <c r="F82" s="906"/>
      <c r="G82" s="907"/>
      <c r="H82" s="908"/>
      <c r="I82" s="913"/>
      <c r="J82" s="909"/>
      <c r="K82" s="910"/>
      <c r="L82" s="910"/>
      <c r="M82" s="494"/>
    </row>
    <row r="83" spans="2:13">
      <c r="B83" s="906"/>
      <c r="C83" s="906"/>
      <c r="D83" s="906"/>
      <c r="E83" s="906"/>
      <c r="F83" s="906"/>
      <c r="G83" s="907"/>
      <c r="H83" s="908"/>
      <c r="I83" s="913"/>
      <c r="J83" s="909"/>
      <c r="K83" s="910"/>
      <c r="L83" s="910"/>
      <c r="M83" s="494"/>
    </row>
    <row r="84" spans="2:13">
      <c r="B84" s="906"/>
      <c r="C84" s="906"/>
      <c r="D84" s="906"/>
      <c r="E84" s="906"/>
      <c r="F84" s="906"/>
      <c r="G84" s="907"/>
      <c r="H84" s="908"/>
      <c r="I84" s="913"/>
      <c r="J84" s="909"/>
      <c r="K84" s="910"/>
      <c r="L84" s="910"/>
      <c r="M84" s="494"/>
    </row>
    <row r="85" spans="2:13">
      <c r="B85" s="906"/>
      <c r="C85" s="906"/>
      <c r="D85" s="906"/>
      <c r="E85" s="906"/>
      <c r="F85" s="906"/>
      <c r="G85" s="907"/>
      <c r="H85" s="908"/>
      <c r="I85" s="913"/>
      <c r="J85" s="909"/>
      <c r="K85" s="910"/>
      <c r="L85" s="910"/>
      <c r="M85" s="494"/>
    </row>
    <row r="86" spans="2:13">
      <c r="B86" s="906"/>
      <c r="C86" s="906"/>
      <c r="D86" s="906"/>
      <c r="E86" s="906"/>
      <c r="F86" s="906"/>
      <c r="G86" s="907"/>
      <c r="H86" s="908"/>
      <c r="I86" s="913"/>
      <c r="J86" s="909"/>
      <c r="K86" s="910"/>
      <c r="L86" s="910"/>
      <c r="M86" s="494"/>
    </row>
    <row r="87" spans="2:13">
      <c r="B87" s="906"/>
      <c r="C87" s="906"/>
      <c r="D87" s="906"/>
      <c r="E87" s="906"/>
      <c r="F87" s="906"/>
      <c r="G87" s="907"/>
      <c r="H87" s="908"/>
      <c r="I87" s="913"/>
      <c r="J87" s="909"/>
      <c r="K87" s="910"/>
      <c r="L87" s="910"/>
      <c r="M87" s="494"/>
    </row>
    <row r="105" spans="2:13">
      <c r="B105" s="76" t="s">
        <v>594</v>
      </c>
      <c r="C105" s="76" t="s">
        <v>1222</v>
      </c>
      <c r="D105" s="76" t="s">
        <v>33</v>
      </c>
      <c r="E105" s="76" t="s">
        <v>1883</v>
      </c>
      <c r="F105" s="76" t="s">
        <v>31</v>
      </c>
      <c r="G105" s="48"/>
      <c r="H105" s="77" t="s">
        <v>2771</v>
      </c>
      <c r="I105" s="912" t="s">
        <v>1225</v>
      </c>
      <c r="J105" s="730"/>
      <c r="K105" s="442"/>
      <c r="L105" s="442"/>
      <c r="M105" s="443"/>
    </row>
    <row r="106" spans="2:13">
      <c r="B106" s="76" t="s">
        <v>594</v>
      </c>
      <c r="C106" s="76" t="s">
        <v>1230</v>
      </c>
      <c r="D106" s="76" t="s">
        <v>33</v>
      </c>
      <c r="E106" s="76" t="s">
        <v>1883</v>
      </c>
      <c r="F106" s="76" t="s">
        <v>31</v>
      </c>
      <c r="G106" s="48"/>
      <c r="H106" s="77" t="s">
        <v>2772</v>
      </c>
      <c r="I106" s="912" t="s">
        <v>1225</v>
      </c>
      <c r="J106" s="730"/>
      <c r="K106" s="442"/>
      <c r="L106" s="442"/>
      <c r="M106" s="443"/>
    </row>
    <row r="107" spans="2:13">
      <c r="B107" s="76" t="s">
        <v>594</v>
      </c>
      <c r="C107" s="76" t="s">
        <v>1237</v>
      </c>
      <c r="D107" s="76" t="s">
        <v>33</v>
      </c>
      <c r="E107" s="76" t="s">
        <v>1883</v>
      </c>
      <c r="F107" s="76" t="s">
        <v>31</v>
      </c>
      <c r="G107" s="48"/>
      <c r="H107" s="77" t="s">
        <v>2773</v>
      </c>
      <c r="I107" s="912" t="s">
        <v>1249</v>
      </c>
      <c r="J107" s="730"/>
      <c r="K107" s="442"/>
      <c r="L107" s="442"/>
      <c r="M107" s="443"/>
    </row>
    <row r="108" spans="2:13">
      <c r="B108" s="76" t="s">
        <v>594</v>
      </c>
      <c r="C108" s="76" t="s">
        <v>1246</v>
      </c>
      <c r="D108" s="76" t="s">
        <v>33</v>
      </c>
      <c r="E108" s="76" t="s">
        <v>1883</v>
      </c>
      <c r="F108" s="76" t="s">
        <v>31</v>
      </c>
      <c r="G108" s="48"/>
      <c r="H108" s="77" t="s">
        <v>2774</v>
      </c>
      <c r="I108" s="912" t="s">
        <v>1249</v>
      </c>
      <c r="J108" s="730"/>
      <c r="K108" s="442"/>
      <c r="L108" s="442"/>
      <c r="M108" s="443"/>
    </row>
    <row r="109" spans="2:13" s="439" customFormat="1">
      <c r="B109" s="431" t="s">
        <v>594</v>
      </c>
      <c r="C109" s="432" t="s">
        <v>608</v>
      </c>
      <c r="D109" s="432" t="s">
        <v>37</v>
      </c>
      <c r="E109" s="430" t="s">
        <v>1883</v>
      </c>
      <c r="F109" s="432" t="s">
        <v>28</v>
      </c>
      <c r="G109" s="433" t="s">
        <v>609</v>
      </c>
      <c r="H109" s="434" t="s">
        <v>610</v>
      </c>
      <c r="I109" s="435" t="s">
        <v>611</v>
      </c>
      <c r="J109" s="436">
        <v>1112.26</v>
      </c>
      <c r="K109" s="437"/>
      <c r="L109" s="437"/>
      <c r="M109" s="438"/>
    </row>
    <row r="110" spans="2:13" s="439" customFormat="1">
      <c r="B110" s="431" t="s">
        <v>594</v>
      </c>
      <c r="C110" s="432" t="s">
        <v>614</v>
      </c>
      <c r="D110" s="432" t="s">
        <v>42</v>
      </c>
      <c r="E110" s="430" t="s">
        <v>1883</v>
      </c>
      <c r="F110" s="432" t="s">
        <v>28</v>
      </c>
      <c r="G110" s="433" t="s">
        <v>599</v>
      </c>
      <c r="H110" s="434" t="s">
        <v>615</v>
      </c>
      <c r="I110" s="435" t="s">
        <v>616</v>
      </c>
      <c r="J110" s="436">
        <v>951.61</v>
      </c>
      <c r="K110" s="437"/>
      <c r="L110" s="437"/>
      <c r="M110" s="438"/>
    </row>
    <row r="111" spans="2:13" s="439" customFormat="1">
      <c r="B111" s="431" t="s">
        <v>594</v>
      </c>
      <c r="C111" s="432" t="s">
        <v>617</v>
      </c>
      <c r="D111" s="432" t="s">
        <v>42</v>
      </c>
      <c r="E111" s="430" t="s">
        <v>1883</v>
      </c>
      <c r="F111" s="432" t="s">
        <v>28</v>
      </c>
      <c r="G111" s="433" t="s">
        <v>599</v>
      </c>
      <c r="H111" s="434" t="s">
        <v>618</v>
      </c>
      <c r="I111" s="435" t="s">
        <v>616</v>
      </c>
      <c r="J111" s="436">
        <v>676.22</v>
      </c>
      <c r="K111" s="437"/>
      <c r="L111" s="437"/>
      <c r="M111" s="438"/>
    </row>
    <row r="112" spans="2:13" s="440" customFormat="1">
      <c r="B112" s="420" t="s">
        <v>594</v>
      </c>
      <c r="C112" s="421" t="s">
        <v>642</v>
      </c>
      <c r="D112" s="421" t="s">
        <v>37</v>
      </c>
      <c r="E112" s="430" t="s">
        <v>1883</v>
      </c>
      <c r="F112" s="421" t="s">
        <v>58</v>
      </c>
      <c r="G112" s="422" t="s">
        <v>609</v>
      </c>
      <c r="H112" s="423" t="s">
        <v>643</v>
      </c>
      <c r="I112" s="424" t="s">
        <v>644</v>
      </c>
      <c r="J112" s="425">
        <v>1099.5899999999999</v>
      </c>
      <c r="K112" s="426">
        <v>3601100</v>
      </c>
      <c r="L112" s="426">
        <v>3274948</v>
      </c>
      <c r="M112" s="427">
        <v>44382</v>
      </c>
    </row>
    <row r="113" spans="2:13">
      <c r="B113" s="75" t="s">
        <v>594</v>
      </c>
      <c r="C113" s="76" t="s">
        <v>865</v>
      </c>
      <c r="D113" s="76" t="s">
        <v>37</v>
      </c>
      <c r="E113" s="430" t="s">
        <v>1883</v>
      </c>
      <c r="F113" s="76" t="s">
        <v>149</v>
      </c>
      <c r="G113" s="48" t="s">
        <v>851</v>
      </c>
      <c r="H113" s="77" t="s">
        <v>867</v>
      </c>
      <c r="I113" s="185">
        <v>44644</v>
      </c>
      <c r="J113" s="45"/>
      <c r="K113" s="44"/>
      <c r="L113" s="44"/>
      <c r="M113" s="74"/>
    </row>
    <row r="114" spans="2:13" s="41" customFormat="1">
      <c r="B114" s="76" t="s">
        <v>594</v>
      </c>
      <c r="C114" s="76" t="s">
        <v>1729</v>
      </c>
      <c r="D114" s="76" t="s">
        <v>33</v>
      </c>
      <c r="E114" s="430" t="s">
        <v>1883</v>
      </c>
      <c r="F114" s="76" t="s">
        <v>149</v>
      </c>
      <c r="G114" s="48" t="s">
        <v>851</v>
      </c>
      <c r="H114" s="77" t="s">
        <v>1731</v>
      </c>
      <c r="I114" s="914">
        <v>45257</v>
      </c>
      <c r="J114" s="441">
        <v>1000</v>
      </c>
      <c r="K114" s="442">
        <v>6400000000</v>
      </c>
      <c r="L114" s="442"/>
      <c r="M114" s="443"/>
    </row>
  </sheetData>
  <autoFilter ref="B1:M30" xr:uid="{00000000-0009-0000-0000-000009000000}"/>
  <mergeCells count="1">
    <mergeCell ref="L22:L23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0.59999389629810485"/>
  </sheetPr>
  <dimension ref="B1:M89"/>
  <sheetViews>
    <sheetView topLeftCell="A18" workbookViewId="0">
      <selection activeCell="H40" sqref="H40"/>
    </sheetView>
  </sheetViews>
  <sheetFormatPr defaultRowHeight="16.5"/>
  <cols>
    <col min="1" max="1" width="9" style="368"/>
    <col min="2" max="2" width="9.375" style="368" customWidth="1"/>
    <col min="3" max="3" width="9.625" style="368" customWidth="1"/>
    <col min="4" max="4" width="11" style="368" customWidth="1"/>
    <col min="5" max="5" width="15.375" style="368" bestFit="1" customWidth="1"/>
    <col min="6" max="6" width="9.75" style="368" customWidth="1"/>
    <col min="7" max="7" width="25" style="368" bestFit="1" customWidth="1"/>
    <col min="8" max="8" width="70" style="368" customWidth="1"/>
    <col min="9" max="9" width="12.125" style="368" bestFit="1" customWidth="1"/>
    <col min="10" max="10" width="11.625" style="368" bestFit="1" customWidth="1"/>
    <col min="11" max="12" width="19.375" style="368" bestFit="1" customWidth="1"/>
    <col min="13" max="13" width="20.5" style="368" bestFit="1" customWidth="1"/>
    <col min="14" max="16384" width="9" style="368"/>
  </cols>
  <sheetData>
    <row r="1" spans="2:13" ht="17.25" thickBot="1">
      <c r="B1" s="958" t="s">
        <v>0</v>
      </c>
      <c r="C1" s="959" t="s">
        <v>1</v>
      </c>
      <c r="D1" s="959" t="s">
        <v>17</v>
      </c>
      <c r="E1" s="959" t="s">
        <v>690</v>
      </c>
      <c r="F1" s="959" t="s">
        <v>3</v>
      </c>
      <c r="G1" s="959" t="s">
        <v>35</v>
      </c>
      <c r="H1" s="937" t="s">
        <v>5</v>
      </c>
      <c r="I1" s="960" t="s">
        <v>18</v>
      </c>
      <c r="J1" s="961" t="s">
        <v>7</v>
      </c>
      <c r="K1" s="962" t="s">
        <v>8</v>
      </c>
      <c r="L1" s="963" t="s">
        <v>9</v>
      </c>
      <c r="M1" s="964" t="s">
        <v>65</v>
      </c>
    </row>
    <row r="2" spans="2:13">
      <c r="B2" s="734" t="s">
        <v>691</v>
      </c>
      <c r="C2" s="483">
        <v>2231</v>
      </c>
      <c r="D2" s="732" t="s">
        <v>33</v>
      </c>
      <c r="E2" s="750" t="s">
        <v>2524</v>
      </c>
      <c r="F2" s="733" t="s">
        <v>23</v>
      </c>
      <c r="G2" s="743" t="s">
        <v>692</v>
      </c>
      <c r="H2" s="746" t="s">
        <v>693</v>
      </c>
      <c r="I2" s="744">
        <v>2007.05</v>
      </c>
      <c r="J2" s="747">
        <v>919.63</v>
      </c>
      <c r="K2" s="745">
        <v>5854000000</v>
      </c>
      <c r="L2" s="748">
        <v>6366000000</v>
      </c>
      <c r="M2" s="749" t="s">
        <v>13</v>
      </c>
    </row>
    <row r="3" spans="2:13">
      <c r="B3" s="734" t="s">
        <v>691</v>
      </c>
      <c r="C3" s="483">
        <v>2235</v>
      </c>
      <c r="D3" s="732" t="s">
        <v>33</v>
      </c>
      <c r="E3" s="750" t="s">
        <v>2525</v>
      </c>
      <c r="F3" s="733" t="s">
        <v>23</v>
      </c>
      <c r="G3" s="743" t="s">
        <v>692</v>
      </c>
      <c r="H3" s="746" t="s">
        <v>694</v>
      </c>
      <c r="I3" s="744">
        <v>2007.06</v>
      </c>
      <c r="J3" s="747">
        <v>1156.33</v>
      </c>
      <c r="K3" s="745">
        <v>5740000000</v>
      </c>
      <c r="L3" s="748">
        <v>4964000000</v>
      </c>
      <c r="M3" s="749" t="s">
        <v>13</v>
      </c>
    </row>
    <row r="4" spans="2:13">
      <c r="B4" s="734" t="s">
        <v>691</v>
      </c>
      <c r="C4" s="483">
        <v>2650</v>
      </c>
      <c r="D4" s="732" t="s">
        <v>33</v>
      </c>
      <c r="E4" s="750" t="s">
        <v>2032</v>
      </c>
      <c r="F4" s="733" t="s">
        <v>241</v>
      </c>
      <c r="G4" s="743" t="s">
        <v>695</v>
      </c>
      <c r="H4" s="746" t="s">
        <v>2048</v>
      </c>
      <c r="I4" s="744">
        <v>2016.04</v>
      </c>
      <c r="J4" s="747">
        <v>1056.55</v>
      </c>
      <c r="K4" s="745">
        <v>8682000000</v>
      </c>
      <c r="L4" s="748">
        <v>8217000000</v>
      </c>
      <c r="M4" s="749" t="s">
        <v>13</v>
      </c>
    </row>
    <row r="5" spans="2:13">
      <c r="B5" s="734" t="s">
        <v>691</v>
      </c>
      <c r="C5" s="483">
        <v>2665</v>
      </c>
      <c r="D5" s="732" t="s">
        <v>33</v>
      </c>
      <c r="E5" s="750" t="s">
        <v>1920</v>
      </c>
      <c r="F5" s="733" t="s">
        <v>241</v>
      </c>
      <c r="G5" s="743" t="s">
        <v>695</v>
      </c>
      <c r="H5" s="746" t="s">
        <v>1810</v>
      </c>
      <c r="I5" s="744">
        <v>2016.06</v>
      </c>
      <c r="J5" s="747">
        <v>1297.81</v>
      </c>
      <c r="K5" s="745">
        <v>5010243217</v>
      </c>
      <c r="L5" s="748">
        <v>6502364508</v>
      </c>
      <c r="M5" s="749" t="s">
        <v>13</v>
      </c>
    </row>
    <row r="6" spans="2:13">
      <c r="B6" s="734" t="s">
        <v>691</v>
      </c>
      <c r="C6" s="483">
        <v>2705</v>
      </c>
      <c r="D6" s="732" t="s">
        <v>33</v>
      </c>
      <c r="E6" s="750" t="s">
        <v>1921</v>
      </c>
      <c r="F6" s="733" t="s">
        <v>31</v>
      </c>
      <c r="G6" s="743" t="s">
        <v>695</v>
      </c>
      <c r="H6" s="746" t="s">
        <v>1811</v>
      </c>
      <c r="I6" s="744">
        <v>2016.08</v>
      </c>
      <c r="J6" s="747">
        <v>1437.37</v>
      </c>
      <c r="K6" s="745">
        <v>4419134396</v>
      </c>
      <c r="L6" s="748">
        <v>6351925950</v>
      </c>
      <c r="M6" s="749" t="s">
        <v>13</v>
      </c>
    </row>
    <row r="7" spans="2:13">
      <c r="B7" s="734" t="s">
        <v>691</v>
      </c>
      <c r="C7" s="483">
        <v>2885</v>
      </c>
      <c r="D7" s="732" t="s">
        <v>33</v>
      </c>
      <c r="E7" s="750" t="s">
        <v>2526</v>
      </c>
      <c r="F7" s="733" t="s">
        <v>23</v>
      </c>
      <c r="G7" s="743" t="s">
        <v>856</v>
      </c>
      <c r="H7" s="746" t="s">
        <v>698</v>
      </c>
      <c r="I7" s="744">
        <v>2020.01</v>
      </c>
      <c r="J7" s="747">
        <v>1151.3</v>
      </c>
      <c r="K7" s="745">
        <v>19410700000</v>
      </c>
      <c r="L7" s="748">
        <v>168599000000</v>
      </c>
      <c r="M7" s="749" t="s">
        <v>13</v>
      </c>
    </row>
    <row r="8" spans="2:13">
      <c r="B8" s="734" t="s">
        <v>691</v>
      </c>
      <c r="C8" s="483">
        <v>3320</v>
      </c>
      <c r="D8" s="732" t="s">
        <v>33</v>
      </c>
      <c r="E8" s="750" t="s">
        <v>2527</v>
      </c>
      <c r="F8" s="733" t="s">
        <v>31</v>
      </c>
      <c r="G8" s="743" t="s">
        <v>692</v>
      </c>
      <c r="H8" s="746" t="s">
        <v>702</v>
      </c>
      <c r="I8" s="744">
        <v>2007.05</v>
      </c>
      <c r="J8" s="747">
        <v>823.36</v>
      </c>
      <c r="K8" s="745">
        <v>51668000000</v>
      </c>
      <c r="L8" s="748">
        <v>62753000000</v>
      </c>
      <c r="M8" s="749" t="s">
        <v>13</v>
      </c>
    </row>
    <row r="9" spans="2:13">
      <c r="B9" s="734" t="s">
        <v>691</v>
      </c>
      <c r="C9" s="483">
        <v>3788</v>
      </c>
      <c r="D9" s="732" t="s">
        <v>19</v>
      </c>
      <c r="E9" s="750" t="s">
        <v>1922</v>
      </c>
      <c r="F9" s="733" t="s">
        <v>83</v>
      </c>
      <c r="G9" s="743" t="s">
        <v>855</v>
      </c>
      <c r="H9" s="746" t="s">
        <v>706</v>
      </c>
      <c r="I9" s="744">
        <v>2019.04</v>
      </c>
      <c r="J9" s="747">
        <v>1075.47</v>
      </c>
      <c r="K9" s="745">
        <v>1243669346</v>
      </c>
      <c r="L9" s="748"/>
      <c r="M9" s="749" t="s">
        <v>13</v>
      </c>
    </row>
    <row r="10" spans="2:13">
      <c r="B10" s="734" t="s">
        <v>691</v>
      </c>
      <c r="C10" s="483">
        <v>6356</v>
      </c>
      <c r="D10" s="732" t="s">
        <v>33</v>
      </c>
      <c r="E10" s="750" t="s">
        <v>1923</v>
      </c>
      <c r="F10" s="733" t="s">
        <v>23</v>
      </c>
      <c r="G10" s="743" t="s">
        <v>695</v>
      </c>
      <c r="H10" s="746" t="s">
        <v>708</v>
      </c>
      <c r="I10" s="744">
        <v>2019.12</v>
      </c>
      <c r="J10" s="747">
        <v>981.17</v>
      </c>
      <c r="K10" s="745">
        <v>31132000000</v>
      </c>
      <c r="L10" s="748">
        <v>31730000000</v>
      </c>
      <c r="M10" s="749" t="s">
        <v>13</v>
      </c>
    </row>
    <row r="11" spans="2:13">
      <c r="B11" s="734" t="s">
        <v>691</v>
      </c>
      <c r="C11" s="483">
        <v>1798</v>
      </c>
      <c r="D11" s="732" t="s">
        <v>19</v>
      </c>
      <c r="E11" s="750" t="s">
        <v>2982</v>
      </c>
      <c r="F11" s="733" t="s">
        <v>23</v>
      </c>
      <c r="G11" s="743" t="s">
        <v>711</v>
      </c>
      <c r="H11" s="746" t="s">
        <v>713</v>
      </c>
      <c r="I11" s="744">
        <v>2019.05</v>
      </c>
      <c r="J11" s="747">
        <v>727.78</v>
      </c>
      <c r="K11" s="745">
        <v>14365880551</v>
      </c>
      <c r="L11" s="748">
        <v>19739447876</v>
      </c>
      <c r="M11" s="749" t="s">
        <v>32</v>
      </c>
    </row>
    <row r="12" spans="2:13">
      <c r="B12" s="734" t="s">
        <v>691</v>
      </c>
      <c r="C12" s="483">
        <v>1898</v>
      </c>
      <c r="D12" s="732" t="s">
        <v>19</v>
      </c>
      <c r="E12" s="750" t="s">
        <v>2983</v>
      </c>
      <c r="F12" s="733" t="s">
        <v>23</v>
      </c>
      <c r="G12" s="743" t="s">
        <v>711</v>
      </c>
      <c r="H12" s="746" t="s">
        <v>714</v>
      </c>
      <c r="I12" s="744">
        <v>2019.03</v>
      </c>
      <c r="J12" s="747">
        <v>923.83</v>
      </c>
      <c r="K12" s="745">
        <v>3758559585</v>
      </c>
      <c r="L12" s="748">
        <v>4068449806</v>
      </c>
      <c r="M12" s="749" t="s">
        <v>32</v>
      </c>
    </row>
    <row r="13" spans="2:13">
      <c r="B13" s="734" t="s">
        <v>691</v>
      </c>
      <c r="C13" s="483">
        <v>1943</v>
      </c>
      <c r="D13" s="732" t="s">
        <v>19</v>
      </c>
      <c r="E13" s="750" t="s">
        <v>2533</v>
      </c>
      <c r="F13" s="733" t="s">
        <v>23</v>
      </c>
      <c r="G13" s="743" t="s">
        <v>711</v>
      </c>
      <c r="H13" s="746" t="s">
        <v>2984</v>
      </c>
      <c r="I13" s="744">
        <v>2019.03</v>
      </c>
      <c r="J13" s="747">
        <v>927.58</v>
      </c>
      <c r="K13" s="745">
        <v>7436288977</v>
      </c>
      <c r="L13" s="748">
        <v>8016885149</v>
      </c>
      <c r="M13" s="749" t="s">
        <v>32</v>
      </c>
    </row>
    <row r="14" spans="2:13">
      <c r="B14" s="734" t="s">
        <v>691</v>
      </c>
      <c r="C14" s="483">
        <v>1984</v>
      </c>
      <c r="D14" s="732" t="s">
        <v>19</v>
      </c>
      <c r="E14" s="750" t="s">
        <v>2532</v>
      </c>
      <c r="F14" s="733" t="s">
        <v>23</v>
      </c>
      <c r="G14" s="743" t="s">
        <v>711</v>
      </c>
      <c r="H14" s="746" t="s">
        <v>1588</v>
      </c>
      <c r="I14" s="744">
        <v>2019.11</v>
      </c>
      <c r="J14" s="747">
        <v>1001.3</v>
      </c>
      <c r="K14" s="745">
        <v>20573146212</v>
      </c>
      <c r="L14" s="748">
        <v>20546459992</v>
      </c>
      <c r="M14" s="749" t="s">
        <v>32</v>
      </c>
    </row>
    <row r="15" spans="2:13">
      <c r="B15" s="734" t="s">
        <v>691</v>
      </c>
      <c r="C15" s="483">
        <v>8310</v>
      </c>
      <c r="D15" s="732" t="s">
        <v>33</v>
      </c>
      <c r="E15" s="750" t="s">
        <v>3062</v>
      </c>
      <c r="F15" s="733" t="s">
        <v>23</v>
      </c>
      <c r="G15" s="743" t="s">
        <v>692</v>
      </c>
      <c r="H15" s="746" t="s">
        <v>2985</v>
      </c>
      <c r="I15" s="744">
        <v>2018.05</v>
      </c>
      <c r="J15" s="747">
        <v>1195.8599999999999</v>
      </c>
      <c r="K15" s="745">
        <v>13906484619</v>
      </c>
      <c r="L15" s="748">
        <v>11628849430</v>
      </c>
      <c r="M15" s="749" t="s">
        <v>32</v>
      </c>
    </row>
    <row r="16" spans="2:13">
      <c r="B16" s="734" t="s">
        <v>691</v>
      </c>
      <c r="C16" s="483">
        <v>8325</v>
      </c>
      <c r="D16" s="732" t="s">
        <v>33</v>
      </c>
      <c r="E16" s="750" t="s">
        <v>2986</v>
      </c>
      <c r="F16" s="733" t="s">
        <v>23</v>
      </c>
      <c r="G16" s="743" t="s">
        <v>692</v>
      </c>
      <c r="H16" s="746" t="s">
        <v>717</v>
      </c>
      <c r="I16" s="744">
        <v>2018.05</v>
      </c>
      <c r="J16" s="747">
        <v>1234.06</v>
      </c>
      <c r="K16" s="745">
        <v>14220894524</v>
      </c>
      <c r="L16" s="748">
        <v>11523677452</v>
      </c>
      <c r="M16" s="749" t="s">
        <v>32</v>
      </c>
    </row>
    <row r="17" spans="2:13">
      <c r="B17" s="734" t="s">
        <v>691</v>
      </c>
      <c r="C17" s="483">
        <v>8340</v>
      </c>
      <c r="D17" s="732" t="s">
        <v>33</v>
      </c>
      <c r="E17" s="1089" t="s">
        <v>3060</v>
      </c>
      <c r="F17" s="733" t="s">
        <v>23</v>
      </c>
      <c r="G17" s="743" t="s">
        <v>692</v>
      </c>
      <c r="H17" s="746" t="s">
        <v>718</v>
      </c>
      <c r="I17" s="744">
        <v>2018.05</v>
      </c>
      <c r="J17" s="747">
        <v>1259.32</v>
      </c>
      <c r="K17" s="745">
        <v>13370826883</v>
      </c>
      <c r="L17" s="748">
        <v>10617460811</v>
      </c>
      <c r="M17" s="749" t="s">
        <v>32</v>
      </c>
    </row>
    <row r="18" spans="2:13">
      <c r="B18" s="734" t="s">
        <v>691</v>
      </c>
      <c r="C18" s="483">
        <v>8355</v>
      </c>
      <c r="D18" s="732" t="s">
        <v>33</v>
      </c>
      <c r="E18" s="1090" t="s">
        <v>3067</v>
      </c>
      <c r="F18" s="733" t="s">
        <v>23</v>
      </c>
      <c r="G18" s="743" t="s">
        <v>692</v>
      </c>
      <c r="H18" s="746" t="s">
        <v>719</v>
      </c>
      <c r="I18" s="744">
        <v>2018.05</v>
      </c>
      <c r="J18" s="747">
        <v>1264.29</v>
      </c>
      <c r="K18" s="745">
        <v>12848100120</v>
      </c>
      <c r="L18" s="748">
        <v>10162303295</v>
      </c>
      <c r="M18" s="749" t="s">
        <v>32</v>
      </c>
    </row>
    <row r="19" spans="2:13">
      <c r="B19" s="734" t="s">
        <v>691</v>
      </c>
      <c r="C19" s="483">
        <v>8370</v>
      </c>
      <c r="D19" s="732" t="s">
        <v>33</v>
      </c>
      <c r="E19" s="1089" t="s">
        <v>3061</v>
      </c>
      <c r="F19" s="733" t="s">
        <v>23</v>
      </c>
      <c r="G19" s="743" t="s">
        <v>692</v>
      </c>
      <c r="H19" s="746" t="s">
        <v>720</v>
      </c>
      <c r="I19" s="744">
        <v>2018.05</v>
      </c>
      <c r="J19" s="747">
        <v>1261.02</v>
      </c>
      <c r="K19" s="745">
        <v>15111521289</v>
      </c>
      <c r="L19" s="748">
        <v>11983549201</v>
      </c>
      <c r="M19" s="749" t="s">
        <v>32</v>
      </c>
    </row>
    <row r="20" spans="2:13">
      <c r="B20" s="734" t="s">
        <v>2529</v>
      </c>
      <c r="C20" s="483">
        <v>6355</v>
      </c>
      <c r="D20" s="732" t="s">
        <v>33</v>
      </c>
      <c r="E20" s="750" t="s">
        <v>2528</v>
      </c>
      <c r="F20" s="733" t="s">
        <v>23</v>
      </c>
      <c r="G20" s="743" t="s">
        <v>695</v>
      </c>
      <c r="H20" s="746" t="s">
        <v>726</v>
      </c>
      <c r="I20" s="744">
        <v>2019.12</v>
      </c>
      <c r="J20" s="747">
        <v>1033.04</v>
      </c>
      <c r="K20" s="745">
        <v>41145293535</v>
      </c>
      <c r="L20" s="748">
        <v>39829423640</v>
      </c>
      <c r="M20" s="749" t="s">
        <v>32</v>
      </c>
    </row>
    <row r="21" spans="2:13">
      <c r="B21" s="734" t="s">
        <v>691</v>
      </c>
      <c r="C21" s="483">
        <v>8391</v>
      </c>
      <c r="D21" s="732" t="s">
        <v>33</v>
      </c>
      <c r="E21" s="1090" t="s">
        <v>3068</v>
      </c>
      <c r="F21" s="733" t="s">
        <v>149</v>
      </c>
      <c r="G21" s="743" t="s">
        <v>711</v>
      </c>
      <c r="H21" s="746" t="s">
        <v>794</v>
      </c>
      <c r="I21" s="744">
        <v>2021.06</v>
      </c>
      <c r="J21" s="747"/>
      <c r="K21" s="745"/>
      <c r="L21" s="748"/>
      <c r="M21" s="749"/>
    </row>
    <row r="22" spans="2:13">
      <c r="B22" s="734" t="s">
        <v>691</v>
      </c>
      <c r="C22" s="483">
        <v>6513</v>
      </c>
      <c r="D22" s="732" t="s">
        <v>33</v>
      </c>
      <c r="E22" s="1090" t="s">
        <v>3065</v>
      </c>
      <c r="F22" s="733" t="s">
        <v>149</v>
      </c>
      <c r="G22" s="743" t="s">
        <v>692</v>
      </c>
      <c r="H22" s="746" t="s">
        <v>1785</v>
      </c>
      <c r="I22" s="744">
        <v>2021.08</v>
      </c>
      <c r="J22" s="747">
        <v>965.56</v>
      </c>
      <c r="K22" s="745">
        <v>305000000</v>
      </c>
      <c r="L22" s="748">
        <v>316000000</v>
      </c>
      <c r="M22" s="749" t="s">
        <v>13</v>
      </c>
    </row>
    <row r="23" spans="2:13">
      <c r="B23" s="734" t="s">
        <v>691</v>
      </c>
      <c r="C23" s="483">
        <v>5327</v>
      </c>
      <c r="D23" s="732" t="s">
        <v>33</v>
      </c>
      <c r="E23" s="750" t="s">
        <v>2530</v>
      </c>
      <c r="F23" s="733" t="s">
        <v>838</v>
      </c>
      <c r="G23" s="743"/>
      <c r="H23" s="746" t="s">
        <v>839</v>
      </c>
      <c r="I23" s="744">
        <v>2022.02</v>
      </c>
      <c r="J23" s="747"/>
      <c r="K23" s="745"/>
      <c r="L23" s="748"/>
      <c r="M23" s="749"/>
    </row>
    <row r="24" spans="2:13">
      <c r="B24" s="734" t="s">
        <v>691</v>
      </c>
      <c r="C24" s="483">
        <v>5328</v>
      </c>
      <c r="D24" s="732" t="s">
        <v>33</v>
      </c>
      <c r="E24" s="750" t="s">
        <v>2531</v>
      </c>
      <c r="F24" s="733" t="s">
        <v>838</v>
      </c>
      <c r="G24" s="743"/>
      <c r="H24" s="746" t="s">
        <v>837</v>
      </c>
      <c r="I24" s="744">
        <v>2022.02</v>
      </c>
      <c r="J24" s="747"/>
      <c r="K24" s="745"/>
      <c r="L24" s="748"/>
      <c r="M24" s="749"/>
    </row>
    <row r="25" spans="2:13">
      <c r="B25" s="734" t="s">
        <v>691</v>
      </c>
      <c r="C25" s="483">
        <v>3595</v>
      </c>
      <c r="D25" s="732" t="s">
        <v>19</v>
      </c>
      <c r="E25" s="750" t="s">
        <v>2534</v>
      </c>
      <c r="F25" s="733" t="s">
        <v>772</v>
      </c>
      <c r="G25" s="743" t="s">
        <v>711</v>
      </c>
      <c r="H25" s="746" t="s">
        <v>774</v>
      </c>
      <c r="I25" s="744">
        <v>2021.04</v>
      </c>
      <c r="J25" s="747"/>
      <c r="K25" s="745"/>
      <c r="L25" s="748"/>
      <c r="M25" s="749"/>
    </row>
    <row r="26" spans="2:13">
      <c r="B26" s="734" t="s">
        <v>691</v>
      </c>
      <c r="C26" s="483">
        <v>3594</v>
      </c>
      <c r="D26" s="732" t="s">
        <v>19</v>
      </c>
      <c r="E26" s="750" t="s">
        <v>2535</v>
      </c>
      <c r="F26" s="733" t="s">
        <v>773</v>
      </c>
      <c r="G26" s="743" t="s">
        <v>711</v>
      </c>
      <c r="H26" s="746" t="s">
        <v>775</v>
      </c>
      <c r="I26" s="744">
        <v>2021.04</v>
      </c>
      <c r="J26" s="747"/>
      <c r="K26" s="745"/>
      <c r="L26" s="748"/>
      <c r="M26" s="749"/>
    </row>
    <row r="27" spans="2:13">
      <c r="B27" s="734" t="s">
        <v>691</v>
      </c>
      <c r="C27" s="483">
        <v>5425</v>
      </c>
      <c r="D27" s="732" t="s">
        <v>33</v>
      </c>
      <c r="E27" s="1090" t="s">
        <v>3069</v>
      </c>
      <c r="F27" s="733" t="s">
        <v>1574</v>
      </c>
      <c r="G27" s="743" t="s">
        <v>1344</v>
      </c>
      <c r="H27" s="746" t="s">
        <v>1575</v>
      </c>
      <c r="I27" s="744">
        <v>2023.08</v>
      </c>
      <c r="J27" s="747"/>
      <c r="K27" s="745"/>
      <c r="L27" s="748"/>
      <c r="M27" s="749"/>
    </row>
    <row r="28" spans="2:13">
      <c r="B28" s="734" t="s">
        <v>691</v>
      </c>
      <c r="C28" s="483">
        <v>5458</v>
      </c>
      <c r="D28" s="732" t="s">
        <v>33</v>
      </c>
      <c r="E28" s="1090" t="s">
        <v>3066</v>
      </c>
      <c r="F28" s="733" t="s">
        <v>149</v>
      </c>
      <c r="G28" s="743" t="s">
        <v>1733</v>
      </c>
      <c r="H28" s="746" t="s">
        <v>1734</v>
      </c>
      <c r="I28" s="744">
        <v>2023.11</v>
      </c>
      <c r="J28" s="747">
        <v>1000</v>
      </c>
      <c r="K28" s="745"/>
      <c r="L28" s="748"/>
      <c r="M28" s="749"/>
    </row>
    <row r="29" spans="2:13">
      <c r="B29" s="734" t="s">
        <v>691</v>
      </c>
      <c r="C29" s="483">
        <v>6650</v>
      </c>
      <c r="D29" s="732" t="s">
        <v>33</v>
      </c>
      <c r="E29" s="750" t="s">
        <v>2987</v>
      </c>
      <c r="F29" s="733" t="s">
        <v>149</v>
      </c>
      <c r="G29" s="743" t="s">
        <v>1344</v>
      </c>
      <c r="H29" s="746" t="s">
        <v>1821</v>
      </c>
      <c r="I29" s="744">
        <v>2024.02</v>
      </c>
      <c r="J29" s="747"/>
      <c r="K29" s="745"/>
      <c r="L29" s="748"/>
      <c r="M29" s="749"/>
    </row>
    <row r="30" spans="2:13">
      <c r="B30" s="734" t="s">
        <v>691</v>
      </c>
      <c r="C30" s="483">
        <v>3239</v>
      </c>
      <c r="D30" s="732" t="s">
        <v>19</v>
      </c>
      <c r="E30" s="750" t="s">
        <v>2079</v>
      </c>
      <c r="F30" s="733" t="s">
        <v>58</v>
      </c>
      <c r="G30" s="743" t="s">
        <v>1344</v>
      </c>
      <c r="H30" s="746" t="s">
        <v>2072</v>
      </c>
      <c r="I30" s="744">
        <v>2024.07</v>
      </c>
      <c r="J30" s="747"/>
      <c r="K30" s="745"/>
      <c r="L30" s="748"/>
      <c r="M30" s="749"/>
    </row>
    <row r="31" spans="2:13">
      <c r="B31" s="734" t="s">
        <v>691</v>
      </c>
      <c r="C31" s="483">
        <v>5530</v>
      </c>
      <c r="D31" s="732" t="s">
        <v>33</v>
      </c>
      <c r="E31" s="750" t="s">
        <v>2854</v>
      </c>
      <c r="F31" s="733" t="s">
        <v>2128</v>
      </c>
      <c r="G31" s="743"/>
      <c r="H31" s="746" t="s">
        <v>2988</v>
      </c>
      <c r="I31" s="744">
        <v>2024.08</v>
      </c>
      <c r="J31" s="747"/>
      <c r="K31" s="745"/>
      <c r="L31" s="748"/>
      <c r="M31" s="749"/>
    </row>
    <row r="32" spans="2:13">
      <c r="B32" s="734" t="s">
        <v>691</v>
      </c>
      <c r="C32" s="483">
        <v>2992</v>
      </c>
      <c r="D32" s="732" t="s">
        <v>33</v>
      </c>
      <c r="E32" s="750" t="s">
        <v>2500</v>
      </c>
      <c r="F32" s="733" t="s">
        <v>58</v>
      </c>
      <c r="G32" s="743"/>
      <c r="H32" s="746" t="s">
        <v>2502</v>
      </c>
      <c r="I32" s="744">
        <v>2025.03</v>
      </c>
      <c r="J32" s="747"/>
      <c r="K32" s="745"/>
      <c r="L32" s="748"/>
      <c r="M32" s="749"/>
    </row>
    <row r="33" spans="2:13">
      <c r="B33" s="734" t="s">
        <v>691</v>
      </c>
      <c r="C33" s="483">
        <v>5612</v>
      </c>
      <c r="D33" s="732" t="s">
        <v>33</v>
      </c>
      <c r="E33" s="750" t="s">
        <v>2698</v>
      </c>
      <c r="F33" s="733" t="s">
        <v>28</v>
      </c>
      <c r="G33" s="743" t="s">
        <v>1344</v>
      </c>
      <c r="H33" s="746" t="s">
        <v>2697</v>
      </c>
      <c r="I33" s="744">
        <v>2025.06</v>
      </c>
      <c r="J33" s="747"/>
      <c r="K33" s="745"/>
      <c r="L33" s="748"/>
      <c r="M33" s="749"/>
    </row>
    <row r="34" spans="2:13">
      <c r="B34" s="734" t="s">
        <v>691</v>
      </c>
      <c r="C34" s="483">
        <v>5570</v>
      </c>
      <c r="D34" s="732" t="s">
        <v>33</v>
      </c>
      <c r="E34" s="750" t="s">
        <v>2799</v>
      </c>
      <c r="F34" s="733" t="s">
        <v>2789</v>
      </c>
      <c r="G34" s="743" t="s">
        <v>1344</v>
      </c>
      <c r="H34" s="746" t="s">
        <v>2790</v>
      </c>
      <c r="I34" s="744">
        <v>2025.06</v>
      </c>
      <c r="J34" s="747"/>
      <c r="K34" s="745"/>
      <c r="L34" s="748"/>
      <c r="M34" s="749"/>
    </row>
    <row r="35" spans="2:13">
      <c r="B35" s="734" t="s">
        <v>691</v>
      </c>
      <c r="C35" s="483">
        <v>5650</v>
      </c>
      <c r="D35" s="732" t="s">
        <v>33</v>
      </c>
      <c r="E35" s="750" t="s">
        <v>2921</v>
      </c>
      <c r="F35" s="733" t="s">
        <v>2806</v>
      </c>
      <c r="G35" s="743" t="s">
        <v>1344</v>
      </c>
      <c r="H35" s="746" t="s">
        <v>2807</v>
      </c>
      <c r="I35" s="744">
        <v>2025.08</v>
      </c>
      <c r="J35" s="747"/>
      <c r="K35" s="745"/>
      <c r="L35" s="748"/>
      <c r="M35" s="749"/>
    </row>
    <row r="36" spans="2:13">
      <c r="B36" s="734" t="s">
        <v>691</v>
      </c>
      <c r="C36" s="483">
        <v>5690</v>
      </c>
      <c r="D36" s="732" t="s">
        <v>33</v>
      </c>
      <c r="E36" s="750" t="s">
        <v>2922</v>
      </c>
      <c r="F36" s="733" t="s">
        <v>2806</v>
      </c>
      <c r="G36" s="743" t="s">
        <v>1344</v>
      </c>
      <c r="H36" s="746" t="s">
        <v>2808</v>
      </c>
      <c r="I36" s="744">
        <v>2025.08</v>
      </c>
      <c r="J36" s="747"/>
      <c r="K36" s="745"/>
      <c r="L36" s="748"/>
      <c r="M36" s="749"/>
    </row>
    <row r="37" spans="2:13">
      <c r="B37" s="734" t="s">
        <v>691</v>
      </c>
      <c r="C37" s="483">
        <v>5730</v>
      </c>
      <c r="D37" s="732" t="s">
        <v>33</v>
      </c>
      <c r="E37" s="750" t="s">
        <v>2923</v>
      </c>
      <c r="F37" s="733" t="s">
        <v>2806</v>
      </c>
      <c r="G37" s="743" t="s">
        <v>1344</v>
      </c>
      <c r="H37" s="746" t="s">
        <v>2809</v>
      </c>
      <c r="I37" s="744">
        <v>2025.08</v>
      </c>
      <c r="J37" s="747"/>
      <c r="K37" s="745"/>
      <c r="L37" s="748"/>
      <c r="M37" s="749"/>
    </row>
    <row r="38" spans="2:13">
      <c r="B38" s="734" t="s">
        <v>691</v>
      </c>
      <c r="C38" s="483">
        <v>6390</v>
      </c>
      <c r="D38" s="732" t="s">
        <v>33</v>
      </c>
      <c r="E38" s="750" t="s">
        <v>2855</v>
      </c>
      <c r="F38" s="733" t="s">
        <v>31</v>
      </c>
      <c r="G38" s="743" t="s">
        <v>692</v>
      </c>
      <c r="H38" s="746" t="s">
        <v>2850</v>
      </c>
      <c r="I38" s="744">
        <v>2020.03</v>
      </c>
      <c r="J38" s="747">
        <v>1536.35</v>
      </c>
      <c r="K38" s="745">
        <v>14071114834</v>
      </c>
      <c r="L38" s="748">
        <v>8999126439</v>
      </c>
      <c r="M38" s="749" t="s">
        <v>32</v>
      </c>
    </row>
    <row r="39" spans="2:13">
      <c r="B39" s="734" t="s">
        <v>691</v>
      </c>
      <c r="C39" s="483">
        <v>3009</v>
      </c>
      <c r="D39" s="732" t="s">
        <v>33</v>
      </c>
      <c r="E39" s="750" t="s">
        <v>3025</v>
      </c>
      <c r="F39" s="733" t="s">
        <v>3024</v>
      </c>
      <c r="G39" s="743"/>
      <c r="H39" s="746" t="s">
        <v>3023</v>
      </c>
      <c r="I39" s="744">
        <v>2026.03</v>
      </c>
      <c r="J39" s="747">
        <v>1000</v>
      </c>
      <c r="K39" s="745"/>
      <c r="L39" s="748"/>
      <c r="M39" s="749"/>
    </row>
    <row r="40" spans="2:13">
      <c r="B40" s="734" t="s">
        <v>691</v>
      </c>
      <c r="C40" s="483">
        <v>3668</v>
      </c>
      <c r="D40" s="732" t="s">
        <v>19</v>
      </c>
      <c r="E40" s="750"/>
      <c r="F40" s="733" t="s">
        <v>3098</v>
      </c>
      <c r="G40" s="743"/>
      <c r="H40" s="746" t="s">
        <v>3104</v>
      </c>
      <c r="I40" s="744">
        <v>2026.06</v>
      </c>
      <c r="J40" s="747">
        <v>1000</v>
      </c>
      <c r="K40" s="745"/>
      <c r="L40" s="748"/>
      <c r="M40" s="749"/>
    </row>
    <row r="66" spans="2:13">
      <c r="B66" s="735" t="s">
        <v>691</v>
      </c>
      <c r="C66" s="739">
        <v>7067</v>
      </c>
      <c r="D66" s="739" t="s">
        <v>19</v>
      </c>
      <c r="E66" s="735" t="s">
        <v>1883</v>
      </c>
      <c r="F66" s="740" t="s">
        <v>2258</v>
      </c>
      <c r="G66" s="22" t="s">
        <v>692</v>
      </c>
      <c r="H66" s="741" t="s">
        <v>709</v>
      </c>
      <c r="I66" s="6">
        <v>2018.01</v>
      </c>
      <c r="J66" s="23"/>
      <c r="K66" s="10"/>
      <c r="L66" s="10"/>
      <c r="M66" s="226" t="s">
        <v>13</v>
      </c>
    </row>
    <row r="67" spans="2:13">
      <c r="B67" s="735" t="s">
        <v>691</v>
      </c>
      <c r="C67" s="739">
        <v>7708</v>
      </c>
      <c r="D67" s="739" t="s">
        <v>19</v>
      </c>
      <c r="E67" s="735" t="s">
        <v>1883</v>
      </c>
      <c r="F67" s="740" t="s">
        <v>2258</v>
      </c>
      <c r="G67" s="22" t="s">
        <v>692</v>
      </c>
      <c r="H67" s="741" t="s">
        <v>710</v>
      </c>
      <c r="I67" s="6">
        <v>2017.06</v>
      </c>
      <c r="J67" s="23">
        <v>1077.83</v>
      </c>
      <c r="K67" s="10">
        <v>27903995513</v>
      </c>
      <c r="L67" s="10">
        <v>25889046798</v>
      </c>
      <c r="M67" s="226" t="s">
        <v>13</v>
      </c>
    </row>
    <row r="68" spans="2:13">
      <c r="B68" s="735" t="s">
        <v>691</v>
      </c>
      <c r="C68" s="736">
        <v>1779</v>
      </c>
      <c r="D68" s="735" t="s">
        <v>19</v>
      </c>
      <c r="E68" s="735" t="s">
        <v>1883</v>
      </c>
      <c r="F68" s="738" t="s">
        <v>23</v>
      </c>
      <c r="G68" s="22" t="s">
        <v>711</v>
      </c>
      <c r="H68" s="21" t="s">
        <v>712</v>
      </c>
      <c r="I68" s="6">
        <v>2019.03</v>
      </c>
      <c r="J68" s="9">
        <v>931.05</v>
      </c>
      <c r="K68" s="10">
        <v>12815204792</v>
      </c>
      <c r="L68" s="10">
        <v>13764295036</v>
      </c>
      <c r="M68" s="226" t="s">
        <v>32</v>
      </c>
    </row>
    <row r="69" spans="2:13">
      <c r="B69" s="735" t="s">
        <v>691</v>
      </c>
      <c r="C69" s="736">
        <v>1782</v>
      </c>
      <c r="D69" s="735" t="s">
        <v>19</v>
      </c>
      <c r="E69" s="735" t="s">
        <v>1883</v>
      </c>
      <c r="F69" s="738" t="s">
        <v>23</v>
      </c>
      <c r="G69" s="22" t="s">
        <v>711</v>
      </c>
      <c r="H69" s="21" t="s">
        <v>712</v>
      </c>
      <c r="I69" s="6">
        <v>2019.03</v>
      </c>
      <c r="J69" s="9">
        <v>935.67</v>
      </c>
      <c r="K69" s="10">
        <v>5157496050</v>
      </c>
      <c r="L69" s="10">
        <v>5512096991</v>
      </c>
      <c r="M69" s="226" t="s">
        <v>32</v>
      </c>
    </row>
    <row r="71" spans="2:13">
      <c r="B71" s="742" t="s">
        <v>691</v>
      </c>
      <c r="C71" s="736">
        <v>7064</v>
      </c>
      <c r="D71" s="735" t="s">
        <v>19</v>
      </c>
      <c r="E71" s="735" t="s">
        <v>1883</v>
      </c>
      <c r="F71" s="738" t="s">
        <v>83</v>
      </c>
      <c r="G71" s="20" t="s">
        <v>721</v>
      </c>
      <c r="H71" s="21" t="s">
        <v>728</v>
      </c>
      <c r="I71" s="6">
        <v>2019.04</v>
      </c>
      <c r="J71" s="9">
        <v>1059.92</v>
      </c>
      <c r="K71" s="10">
        <v>155766859447</v>
      </c>
      <c r="L71" s="227">
        <v>146960386534</v>
      </c>
      <c r="M71" s="11" t="s">
        <v>32</v>
      </c>
    </row>
    <row r="72" spans="2:13">
      <c r="B72" s="742"/>
      <c r="C72" s="736">
        <v>1530</v>
      </c>
      <c r="D72" s="735" t="s">
        <v>1297</v>
      </c>
      <c r="E72" s="735" t="s">
        <v>1883</v>
      </c>
      <c r="F72" s="738" t="s">
        <v>149</v>
      </c>
      <c r="G72" s="22" t="s">
        <v>1298</v>
      </c>
      <c r="H72" s="21" t="s">
        <v>1296</v>
      </c>
      <c r="I72" s="6">
        <v>2022.06</v>
      </c>
      <c r="J72" s="228"/>
      <c r="K72" s="229"/>
      <c r="L72" s="230"/>
      <c r="M72" s="231"/>
    </row>
    <row r="73" spans="2:13">
      <c r="B73" s="742" t="s">
        <v>691</v>
      </c>
      <c r="C73" s="736">
        <v>2797</v>
      </c>
      <c r="D73" s="196" t="s">
        <v>1343</v>
      </c>
      <c r="E73" s="735" t="s">
        <v>1883</v>
      </c>
      <c r="F73" s="735" t="s">
        <v>149</v>
      </c>
      <c r="G73" s="22" t="s">
        <v>1344</v>
      </c>
      <c r="H73" s="21" t="s">
        <v>1345</v>
      </c>
      <c r="I73" s="6">
        <v>2022.12</v>
      </c>
      <c r="J73" s="232"/>
      <c r="K73" s="232"/>
      <c r="L73" s="232"/>
      <c r="M73" s="232"/>
    </row>
    <row r="74" spans="2:13">
      <c r="B74" s="742" t="s">
        <v>691</v>
      </c>
      <c r="C74" s="736">
        <v>2798</v>
      </c>
      <c r="D74" s="196" t="s">
        <v>33</v>
      </c>
      <c r="E74" s="735" t="s">
        <v>1883</v>
      </c>
      <c r="F74" s="735" t="s">
        <v>149</v>
      </c>
      <c r="G74" s="22" t="s">
        <v>1344</v>
      </c>
      <c r="H74" s="21" t="s">
        <v>1346</v>
      </c>
      <c r="I74" s="6">
        <v>2022.12</v>
      </c>
      <c r="J74" s="232"/>
      <c r="K74" s="232"/>
      <c r="L74" s="232"/>
      <c r="M74" s="232"/>
    </row>
    <row r="75" spans="2:13">
      <c r="B75" s="742" t="s">
        <v>691</v>
      </c>
      <c r="C75" s="736">
        <v>2949</v>
      </c>
      <c r="D75" s="196" t="s">
        <v>33</v>
      </c>
      <c r="E75" s="735" t="s">
        <v>1883</v>
      </c>
      <c r="F75" s="735" t="s">
        <v>149</v>
      </c>
      <c r="G75" s="22" t="s">
        <v>1344</v>
      </c>
      <c r="H75" s="21" t="s">
        <v>1391</v>
      </c>
      <c r="I75" s="6">
        <v>2023.03</v>
      </c>
      <c r="J75" s="442">
        <v>1000</v>
      </c>
      <c r="K75" s="442"/>
      <c r="L75" s="442">
        <v>7500000000</v>
      </c>
      <c r="M75" s="232"/>
    </row>
    <row r="76" spans="2:13">
      <c r="B76" s="742" t="s">
        <v>691</v>
      </c>
      <c r="C76" s="736">
        <v>3430</v>
      </c>
      <c r="D76" s="196" t="s">
        <v>33</v>
      </c>
      <c r="E76" s="735" t="s">
        <v>1883</v>
      </c>
      <c r="F76" s="735" t="s">
        <v>149</v>
      </c>
      <c r="G76" s="22" t="s">
        <v>1344</v>
      </c>
      <c r="H76" s="21" t="s">
        <v>1820</v>
      </c>
      <c r="I76" s="6">
        <v>2024.02</v>
      </c>
      <c r="J76" s="442"/>
      <c r="K76" s="442"/>
      <c r="L76" s="442"/>
      <c r="M76" s="232"/>
    </row>
    <row r="77" spans="2:13">
      <c r="B77" s="742" t="s">
        <v>691</v>
      </c>
      <c r="C77" s="736">
        <v>8420</v>
      </c>
      <c r="D77" s="735" t="s">
        <v>33</v>
      </c>
      <c r="E77" s="735" t="s">
        <v>1883</v>
      </c>
      <c r="F77" s="738" t="s">
        <v>149</v>
      </c>
      <c r="G77" s="22" t="s">
        <v>776</v>
      </c>
      <c r="H77" s="21" t="s">
        <v>769</v>
      </c>
      <c r="I77" s="6">
        <v>2021.03</v>
      </c>
      <c r="J77" s="228"/>
      <c r="K77" s="229"/>
      <c r="L77" s="230"/>
      <c r="M77" s="231"/>
    </row>
    <row r="78" spans="2:13">
      <c r="B78" s="742" t="s">
        <v>691</v>
      </c>
      <c r="C78" s="736">
        <v>3143</v>
      </c>
      <c r="D78" s="735" t="s">
        <v>731</v>
      </c>
      <c r="E78" s="735" t="s">
        <v>1883</v>
      </c>
      <c r="F78" s="738" t="s">
        <v>729</v>
      </c>
      <c r="G78" s="22" t="s">
        <v>711</v>
      </c>
      <c r="H78" s="21" t="s">
        <v>730</v>
      </c>
      <c r="I78" s="6">
        <v>2021.02</v>
      </c>
      <c r="J78" s="9"/>
      <c r="K78" s="10"/>
      <c r="L78" s="227"/>
      <c r="M78" s="11"/>
    </row>
    <row r="79" spans="2:13">
      <c r="B79" s="742" t="s">
        <v>691</v>
      </c>
      <c r="C79" s="736">
        <v>3131</v>
      </c>
      <c r="D79" s="735" t="s">
        <v>19</v>
      </c>
      <c r="E79" s="735" t="s">
        <v>1883</v>
      </c>
      <c r="F79" s="738" t="s">
        <v>31</v>
      </c>
      <c r="G79" s="20" t="s">
        <v>721</v>
      </c>
      <c r="H79" s="21" t="s">
        <v>724</v>
      </c>
      <c r="I79" s="6">
        <v>2020.09</v>
      </c>
      <c r="J79" s="9">
        <v>1027.99</v>
      </c>
      <c r="K79" s="10">
        <v>81828333477</v>
      </c>
      <c r="L79" s="227">
        <v>79600663672</v>
      </c>
      <c r="M79" s="11" t="s">
        <v>32</v>
      </c>
    </row>
    <row r="80" spans="2:13">
      <c r="B80" s="742" t="s">
        <v>691</v>
      </c>
      <c r="C80" s="736">
        <v>3132</v>
      </c>
      <c r="D80" s="735" t="s">
        <v>19</v>
      </c>
      <c r="E80" s="735" t="s">
        <v>1883</v>
      </c>
      <c r="F80" s="738" t="s">
        <v>31</v>
      </c>
      <c r="G80" s="20" t="s">
        <v>721</v>
      </c>
      <c r="H80" s="21" t="s">
        <v>725</v>
      </c>
      <c r="I80" s="6">
        <v>2020.09</v>
      </c>
      <c r="J80" s="9">
        <v>1011.73</v>
      </c>
      <c r="K80" s="10">
        <v>100955910430</v>
      </c>
      <c r="L80" s="227">
        <v>99785916754</v>
      </c>
      <c r="M80" s="11" t="s">
        <v>32</v>
      </c>
    </row>
    <row r="81" spans="2:13">
      <c r="B81" s="742" t="s">
        <v>691</v>
      </c>
      <c r="C81" s="736">
        <v>3128</v>
      </c>
      <c r="D81" s="735" t="s">
        <v>19</v>
      </c>
      <c r="E81" s="735" t="s">
        <v>1883</v>
      </c>
      <c r="F81" s="738" t="s">
        <v>31</v>
      </c>
      <c r="G81" s="20" t="s">
        <v>721</v>
      </c>
      <c r="H81" s="21" t="s">
        <v>722</v>
      </c>
      <c r="I81" s="6">
        <v>2020.09</v>
      </c>
      <c r="J81" s="9">
        <v>984.18</v>
      </c>
      <c r="K81" s="10">
        <v>103807132007</v>
      </c>
      <c r="L81" s="227">
        <v>105475386593</v>
      </c>
      <c r="M81" s="11" t="s">
        <v>32</v>
      </c>
    </row>
    <row r="82" spans="2:13">
      <c r="B82" s="742" t="s">
        <v>691</v>
      </c>
      <c r="C82" s="736">
        <v>3129</v>
      </c>
      <c r="D82" s="735" t="s">
        <v>19</v>
      </c>
      <c r="E82" s="735" t="s">
        <v>1883</v>
      </c>
      <c r="F82" s="738" t="s">
        <v>83</v>
      </c>
      <c r="G82" s="20" t="s">
        <v>692</v>
      </c>
      <c r="H82" s="21" t="s">
        <v>723</v>
      </c>
      <c r="I82" s="6">
        <v>2019.06</v>
      </c>
      <c r="J82" s="9">
        <v>1357.88</v>
      </c>
      <c r="K82" s="10">
        <v>13578831113</v>
      </c>
      <c r="L82" s="227">
        <v>10000000000</v>
      </c>
      <c r="M82" s="11" t="s">
        <v>32</v>
      </c>
    </row>
    <row r="83" spans="2:13">
      <c r="B83" s="735" t="s">
        <v>691</v>
      </c>
      <c r="C83" s="739">
        <v>4820</v>
      </c>
      <c r="D83" s="736" t="s">
        <v>33</v>
      </c>
      <c r="E83" s="735" t="s">
        <v>1883</v>
      </c>
      <c r="F83" s="740" t="s">
        <v>31</v>
      </c>
      <c r="G83" s="22" t="s">
        <v>857</v>
      </c>
      <c r="H83" s="741" t="s">
        <v>707</v>
      </c>
      <c r="I83" s="6">
        <v>2007.02</v>
      </c>
      <c r="J83" s="23">
        <v>1707.08</v>
      </c>
      <c r="K83" s="10">
        <v>4536000000</v>
      </c>
      <c r="L83" s="10">
        <v>2657000000</v>
      </c>
      <c r="M83" s="226" t="s">
        <v>13</v>
      </c>
    </row>
    <row r="84" spans="2:13">
      <c r="B84" s="735" t="s">
        <v>691</v>
      </c>
      <c r="C84" s="736">
        <v>3330</v>
      </c>
      <c r="D84" s="736" t="s">
        <v>33</v>
      </c>
      <c r="E84" s="735" t="s">
        <v>1883</v>
      </c>
      <c r="F84" s="736" t="s">
        <v>31</v>
      </c>
      <c r="G84" s="22" t="s">
        <v>692</v>
      </c>
      <c r="H84" s="737" t="s">
        <v>703</v>
      </c>
      <c r="I84" s="6">
        <v>2007.06</v>
      </c>
      <c r="J84" s="23">
        <v>1081.8900000000001</v>
      </c>
      <c r="K84" s="10">
        <v>742000000</v>
      </c>
      <c r="L84" s="10">
        <v>685000000</v>
      </c>
      <c r="M84" s="226" t="s">
        <v>13</v>
      </c>
    </row>
    <row r="85" spans="2:13">
      <c r="B85" s="735" t="s">
        <v>691</v>
      </c>
      <c r="C85" s="736">
        <v>3340</v>
      </c>
      <c r="D85" s="736" t="s">
        <v>33</v>
      </c>
      <c r="E85" s="735" t="s">
        <v>1883</v>
      </c>
      <c r="F85" s="736" t="s">
        <v>31</v>
      </c>
      <c r="G85" s="22" t="s">
        <v>692</v>
      </c>
      <c r="H85" s="21" t="s">
        <v>704</v>
      </c>
      <c r="I85" s="6">
        <v>2007.06</v>
      </c>
      <c r="J85" s="23">
        <v>921.97</v>
      </c>
      <c r="K85" s="10">
        <v>2170000000</v>
      </c>
      <c r="L85" s="10">
        <v>2354000000</v>
      </c>
      <c r="M85" s="226" t="s">
        <v>13</v>
      </c>
    </row>
    <row r="86" spans="2:13" ht="17.25" customHeight="1">
      <c r="B86" s="735" t="s">
        <v>691</v>
      </c>
      <c r="C86" s="739">
        <v>3380</v>
      </c>
      <c r="D86" s="736" t="s">
        <v>33</v>
      </c>
      <c r="E86" s="735" t="s">
        <v>1883</v>
      </c>
      <c r="F86" s="740" t="s">
        <v>23</v>
      </c>
      <c r="G86" s="22" t="s">
        <v>692</v>
      </c>
      <c r="H86" s="741" t="s">
        <v>705</v>
      </c>
      <c r="I86" s="6">
        <v>2008.03</v>
      </c>
      <c r="J86" s="23">
        <v>841.86</v>
      </c>
      <c r="K86" s="10">
        <v>20000000</v>
      </c>
      <c r="L86" s="10">
        <v>24000000</v>
      </c>
      <c r="M86" s="226" t="s">
        <v>13</v>
      </c>
    </row>
    <row r="87" spans="2:13">
      <c r="B87" s="735" t="s">
        <v>691</v>
      </c>
      <c r="C87" s="736">
        <v>3280</v>
      </c>
      <c r="D87" s="736" t="s">
        <v>33</v>
      </c>
      <c r="E87" s="735" t="s">
        <v>1883</v>
      </c>
      <c r="F87" s="736" t="s">
        <v>31</v>
      </c>
      <c r="G87" s="22" t="s">
        <v>692</v>
      </c>
      <c r="H87" s="737" t="s">
        <v>701</v>
      </c>
      <c r="I87" s="6">
        <v>2007.03</v>
      </c>
      <c r="J87" s="23">
        <v>1563.46</v>
      </c>
      <c r="K87" s="10">
        <v>575000000</v>
      </c>
      <c r="L87" s="10">
        <v>368000000</v>
      </c>
      <c r="M87" s="226" t="s">
        <v>13</v>
      </c>
    </row>
    <row r="88" spans="2:13">
      <c r="B88" s="735" t="s">
        <v>691</v>
      </c>
      <c r="C88" s="736">
        <v>3122</v>
      </c>
      <c r="D88" s="735" t="s">
        <v>19</v>
      </c>
      <c r="E88" s="735" t="s">
        <v>1883</v>
      </c>
      <c r="F88" s="738" t="s">
        <v>83</v>
      </c>
      <c r="G88" s="22" t="s">
        <v>692</v>
      </c>
      <c r="H88" s="21" t="s">
        <v>699</v>
      </c>
      <c r="I88" s="6">
        <v>2018.08</v>
      </c>
      <c r="J88" s="23">
        <v>1263.58</v>
      </c>
      <c r="K88" s="10">
        <v>31933195227</v>
      </c>
      <c r="L88" s="10">
        <v>25271986260</v>
      </c>
      <c r="M88" s="226" t="s">
        <v>13</v>
      </c>
    </row>
    <row r="89" spans="2:13">
      <c r="B89" s="735" t="s">
        <v>691</v>
      </c>
      <c r="C89" s="736">
        <v>3124</v>
      </c>
      <c r="D89" s="735" t="s">
        <v>19</v>
      </c>
      <c r="E89" s="735" t="s">
        <v>1883</v>
      </c>
      <c r="F89" s="738" t="s">
        <v>83</v>
      </c>
      <c r="G89" s="22" t="s">
        <v>692</v>
      </c>
      <c r="H89" s="21" t="s">
        <v>700</v>
      </c>
      <c r="I89" s="6">
        <v>2020.12</v>
      </c>
      <c r="J89" s="23">
        <v>1270.42</v>
      </c>
      <c r="K89" s="10">
        <v>6352079165</v>
      </c>
      <c r="L89" s="10">
        <v>5000000000</v>
      </c>
      <c r="M89" s="226" t="s">
        <v>13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tabColor theme="9" tint="0.59999389629810485"/>
    <pageSetUpPr fitToPage="1"/>
  </sheetPr>
  <dimension ref="A1:M64"/>
  <sheetViews>
    <sheetView workbookViewId="0">
      <selection activeCell="H21" sqref="H21"/>
    </sheetView>
  </sheetViews>
  <sheetFormatPr defaultRowHeight="16.5"/>
  <cols>
    <col min="1" max="1" width="9" style="368"/>
    <col min="2" max="2" width="9.5" style="368" bestFit="1" customWidth="1"/>
    <col min="3" max="3" width="13.875" style="368" bestFit="1" customWidth="1"/>
    <col min="4" max="4" width="11.5" style="368" bestFit="1" customWidth="1"/>
    <col min="5" max="5" width="17.25" style="368" bestFit="1" customWidth="1"/>
    <col min="6" max="6" width="9.5" style="368" bestFit="1" customWidth="1"/>
    <col min="7" max="7" width="15" style="368" bestFit="1" customWidth="1"/>
    <col min="8" max="8" width="64.875" style="368" bestFit="1" customWidth="1"/>
    <col min="9" max="9" width="11.625" style="368" bestFit="1" customWidth="1"/>
    <col min="10" max="10" width="13.25" style="368" bestFit="1" customWidth="1"/>
    <col min="11" max="11" width="23.25" style="368" bestFit="1" customWidth="1"/>
    <col min="12" max="12" width="22.375" style="368" customWidth="1"/>
    <col min="13" max="13" width="16.5" style="368" bestFit="1" customWidth="1"/>
    <col min="14" max="16384" width="9" style="368"/>
  </cols>
  <sheetData>
    <row r="1" spans="1:13" s="367" customFormat="1" ht="17.25" thickBot="1">
      <c r="A1" s="965" t="s">
        <v>2564</v>
      </c>
      <c r="B1" s="966" t="s">
        <v>0</v>
      </c>
      <c r="C1" s="967" t="s">
        <v>1</v>
      </c>
      <c r="D1" s="967" t="s">
        <v>17</v>
      </c>
      <c r="E1" s="967" t="s">
        <v>1862</v>
      </c>
      <c r="F1" s="967" t="s">
        <v>3</v>
      </c>
      <c r="G1" s="967" t="s">
        <v>35</v>
      </c>
      <c r="H1" s="967" t="s">
        <v>5</v>
      </c>
      <c r="I1" s="968" t="s">
        <v>18</v>
      </c>
      <c r="J1" s="969" t="s">
        <v>7</v>
      </c>
      <c r="K1" s="970" t="s">
        <v>8</v>
      </c>
      <c r="L1" s="971" t="s">
        <v>9</v>
      </c>
      <c r="M1" s="971" t="s">
        <v>65</v>
      </c>
    </row>
    <row r="2" spans="1:13" s="776" customFormat="1" ht="17.25" thickTop="1">
      <c r="A2" s="803">
        <v>1</v>
      </c>
      <c r="B2" s="804" t="s">
        <v>131</v>
      </c>
      <c r="C2" s="767" t="s">
        <v>2545</v>
      </c>
      <c r="D2" s="768" t="s">
        <v>42</v>
      </c>
      <c r="E2" s="768" t="s">
        <v>2014</v>
      </c>
      <c r="F2" s="768" t="s">
        <v>49</v>
      </c>
      <c r="G2" s="769" t="s">
        <v>1546</v>
      </c>
      <c r="H2" s="770" t="s">
        <v>132</v>
      </c>
      <c r="I2" s="771">
        <v>2019.03</v>
      </c>
      <c r="J2" s="772">
        <v>1119</v>
      </c>
      <c r="K2" s="773">
        <v>11092275019</v>
      </c>
      <c r="L2" s="774">
        <v>9912698370</v>
      </c>
      <c r="M2" s="775" t="s">
        <v>579</v>
      </c>
    </row>
    <row r="3" spans="1:13" s="755" customFormat="1">
      <c r="A3" s="803">
        <v>2</v>
      </c>
      <c r="B3" s="805" t="s">
        <v>131</v>
      </c>
      <c r="C3" s="777" t="s">
        <v>2546</v>
      </c>
      <c r="D3" s="778" t="s">
        <v>42</v>
      </c>
      <c r="E3" s="778" t="s">
        <v>2578</v>
      </c>
      <c r="F3" s="778" t="s">
        <v>23</v>
      </c>
      <c r="G3" s="751" t="s">
        <v>1507</v>
      </c>
      <c r="H3" s="779" t="s">
        <v>147</v>
      </c>
      <c r="I3" s="752">
        <v>2020.06</v>
      </c>
      <c r="J3" s="512">
        <v>869.73</v>
      </c>
      <c r="K3" s="512">
        <v>1136000000</v>
      </c>
      <c r="L3" s="753">
        <v>1306000000</v>
      </c>
      <c r="M3" s="754" t="s">
        <v>1757</v>
      </c>
    </row>
    <row r="4" spans="1:13" s="787" customFormat="1">
      <c r="A4" s="803">
        <v>3</v>
      </c>
      <c r="B4" s="806" t="s">
        <v>131</v>
      </c>
      <c r="C4" s="433">
        <v>200000</v>
      </c>
      <c r="D4" s="433" t="s">
        <v>37</v>
      </c>
      <c r="E4" s="811" t="s">
        <v>2565</v>
      </c>
      <c r="F4" s="433" t="s">
        <v>31</v>
      </c>
      <c r="G4" s="781" t="s">
        <v>1547</v>
      </c>
      <c r="H4" s="782" t="s">
        <v>2596</v>
      </c>
      <c r="I4" s="783">
        <v>2015.12</v>
      </c>
      <c r="J4" s="784">
        <v>1242.3699999999999</v>
      </c>
      <c r="K4" s="785">
        <v>6388000000</v>
      </c>
      <c r="L4" s="786">
        <v>5142000000</v>
      </c>
      <c r="M4" s="754" t="s">
        <v>1757</v>
      </c>
    </row>
    <row r="5" spans="1:13" s="755" customFormat="1">
      <c r="A5" s="803">
        <v>4</v>
      </c>
      <c r="B5" s="805" t="s">
        <v>131</v>
      </c>
      <c r="C5" s="778">
        <v>200070</v>
      </c>
      <c r="D5" s="778" t="s">
        <v>37</v>
      </c>
      <c r="E5" s="811" t="s">
        <v>2566</v>
      </c>
      <c r="F5" s="778" t="s">
        <v>31</v>
      </c>
      <c r="G5" s="751" t="s">
        <v>1507</v>
      </c>
      <c r="H5" s="756" t="s">
        <v>141</v>
      </c>
      <c r="I5" s="752">
        <v>2013.03</v>
      </c>
      <c r="J5" s="512">
        <v>1289.58</v>
      </c>
      <c r="K5" s="512">
        <v>82.49</v>
      </c>
      <c r="L5" s="753">
        <v>63.97</v>
      </c>
      <c r="M5" s="754" t="s">
        <v>1757</v>
      </c>
    </row>
    <row r="6" spans="1:13" s="787" customFormat="1">
      <c r="A6" s="803">
        <v>5</v>
      </c>
      <c r="B6" s="806" t="s">
        <v>131</v>
      </c>
      <c r="C6" s="433">
        <v>200170</v>
      </c>
      <c r="D6" s="433" t="s">
        <v>37</v>
      </c>
      <c r="E6" s="811" t="s">
        <v>2567</v>
      </c>
      <c r="F6" s="788" t="s">
        <v>23</v>
      </c>
      <c r="G6" s="781" t="s">
        <v>1547</v>
      </c>
      <c r="H6" s="789" t="s">
        <v>139</v>
      </c>
      <c r="I6" s="435">
        <v>2007.11</v>
      </c>
      <c r="J6" s="436">
        <v>1047.03</v>
      </c>
      <c r="K6" s="436">
        <v>3151000000</v>
      </c>
      <c r="L6" s="790">
        <v>3009000000</v>
      </c>
      <c r="M6" s="754" t="s">
        <v>1757</v>
      </c>
    </row>
    <row r="7" spans="1:13" s="755" customFormat="1">
      <c r="A7" s="803">
        <v>6</v>
      </c>
      <c r="B7" s="805" t="s">
        <v>131</v>
      </c>
      <c r="C7" s="778">
        <v>200260</v>
      </c>
      <c r="D7" s="778" t="s">
        <v>37</v>
      </c>
      <c r="E7" s="811" t="s">
        <v>2568</v>
      </c>
      <c r="F7" s="780" t="s">
        <v>31</v>
      </c>
      <c r="G7" s="756" t="s">
        <v>1507</v>
      </c>
      <c r="H7" s="756" t="s">
        <v>138</v>
      </c>
      <c r="I7" s="752">
        <v>2019.12</v>
      </c>
      <c r="J7" s="512" t="s">
        <v>590</v>
      </c>
      <c r="K7" s="512" t="s">
        <v>590</v>
      </c>
      <c r="L7" s="753" t="s">
        <v>590</v>
      </c>
      <c r="M7" s="754" t="s">
        <v>1757</v>
      </c>
    </row>
    <row r="8" spans="1:13" s="755" customFormat="1">
      <c r="A8" s="803">
        <v>7</v>
      </c>
      <c r="B8" s="805" t="s">
        <v>131</v>
      </c>
      <c r="C8" s="778">
        <v>200350</v>
      </c>
      <c r="D8" s="778" t="s">
        <v>37</v>
      </c>
      <c r="E8" s="811" t="s">
        <v>2569</v>
      </c>
      <c r="F8" s="780" t="s">
        <v>23</v>
      </c>
      <c r="G8" s="756" t="s">
        <v>1507</v>
      </c>
      <c r="H8" s="756" t="s">
        <v>2597</v>
      </c>
      <c r="I8" s="752">
        <v>2017.11</v>
      </c>
      <c r="J8" s="512" t="s">
        <v>590</v>
      </c>
      <c r="K8" s="512" t="s">
        <v>590</v>
      </c>
      <c r="L8" s="753" t="s">
        <v>590</v>
      </c>
      <c r="M8" s="754" t="s">
        <v>1757</v>
      </c>
    </row>
    <row r="9" spans="1:13" s="755" customFormat="1">
      <c r="A9" s="803">
        <v>8</v>
      </c>
      <c r="B9" s="805" t="s">
        <v>131</v>
      </c>
      <c r="C9" s="778">
        <v>200370</v>
      </c>
      <c r="D9" s="778" t="s">
        <v>37</v>
      </c>
      <c r="E9" s="811" t="s">
        <v>2570</v>
      </c>
      <c r="F9" s="780" t="s">
        <v>31</v>
      </c>
      <c r="G9" s="756" t="s">
        <v>1507</v>
      </c>
      <c r="H9" s="756" t="s">
        <v>135</v>
      </c>
      <c r="I9" s="752">
        <v>2013.11</v>
      </c>
      <c r="J9" s="512" t="s">
        <v>590</v>
      </c>
      <c r="K9" s="512" t="s">
        <v>590</v>
      </c>
      <c r="L9" s="753" t="s">
        <v>590</v>
      </c>
      <c r="M9" s="754" t="s">
        <v>1757</v>
      </c>
    </row>
    <row r="10" spans="1:13" s="755" customFormat="1">
      <c r="A10" s="803">
        <v>9</v>
      </c>
      <c r="B10" s="807" t="s">
        <v>131</v>
      </c>
      <c r="C10" s="791">
        <v>200371</v>
      </c>
      <c r="D10" s="778" t="s">
        <v>37</v>
      </c>
      <c r="E10" s="811" t="s">
        <v>2571</v>
      </c>
      <c r="F10" s="792" t="s">
        <v>31</v>
      </c>
      <c r="G10" s="751" t="s">
        <v>1507</v>
      </c>
      <c r="H10" s="751" t="s">
        <v>134</v>
      </c>
      <c r="I10" s="757">
        <v>2013.11</v>
      </c>
      <c r="J10" s="758" t="s">
        <v>590</v>
      </c>
      <c r="K10" s="759" t="s">
        <v>590</v>
      </c>
      <c r="L10" s="760" t="s">
        <v>590</v>
      </c>
      <c r="M10" s="754" t="s">
        <v>1757</v>
      </c>
    </row>
    <row r="11" spans="1:13" s="755" customFormat="1">
      <c r="A11" s="803">
        <v>10</v>
      </c>
      <c r="B11" s="808" t="s">
        <v>131</v>
      </c>
      <c r="C11" s="778">
        <v>200411</v>
      </c>
      <c r="D11" s="778" t="s">
        <v>37</v>
      </c>
      <c r="E11" s="811" t="s">
        <v>2572</v>
      </c>
      <c r="F11" s="780" t="s">
        <v>31</v>
      </c>
      <c r="G11" s="751" t="s">
        <v>1507</v>
      </c>
      <c r="H11" s="756" t="s">
        <v>133</v>
      </c>
      <c r="I11" s="752">
        <v>2014.07</v>
      </c>
      <c r="J11" s="512" t="s">
        <v>590</v>
      </c>
      <c r="K11" s="513" t="s">
        <v>590</v>
      </c>
      <c r="L11" s="761" t="s">
        <v>590</v>
      </c>
      <c r="M11" s="754" t="s">
        <v>1757</v>
      </c>
    </row>
    <row r="12" spans="1:13" s="755" customFormat="1">
      <c r="A12" s="803">
        <v>11</v>
      </c>
      <c r="B12" s="805" t="s">
        <v>131</v>
      </c>
      <c r="C12" s="777" t="s">
        <v>2547</v>
      </c>
      <c r="D12" s="778" t="s">
        <v>37</v>
      </c>
      <c r="E12" s="811" t="s">
        <v>2573</v>
      </c>
      <c r="F12" s="778" t="s">
        <v>49</v>
      </c>
      <c r="G12" s="751" t="s">
        <v>323</v>
      </c>
      <c r="H12" s="756" t="s">
        <v>2598</v>
      </c>
      <c r="I12" s="752">
        <v>2005.03</v>
      </c>
      <c r="J12" s="512">
        <v>2041.46</v>
      </c>
      <c r="K12" s="513">
        <v>20785494334</v>
      </c>
      <c r="L12" s="761">
        <v>17414221026</v>
      </c>
      <c r="M12" s="754" t="s">
        <v>1757</v>
      </c>
    </row>
    <row r="13" spans="1:13" s="755" customFormat="1">
      <c r="A13" s="803">
        <v>12</v>
      </c>
      <c r="B13" s="805" t="s">
        <v>131</v>
      </c>
      <c r="C13" s="777" t="s">
        <v>2548</v>
      </c>
      <c r="D13" s="778" t="s">
        <v>37</v>
      </c>
      <c r="E13" s="811" t="s">
        <v>2574</v>
      </c>
      <c r="F13" s="780" t="s">
        <v>23</v>
      </c>
      <c r="G13" s="751" t="s">
        <v>323</v>
      </c>
      <c r="H13" s="756" t="s">
        <v>1509</v>
      </c>
      <c r="I13" s="762">
        <v>2007.02</v>
      </c>
      <c r="J13" s="512">
        <v>1679.11</v>
      </c>
      <c r="K13" s="513">
        <v>8972861676</v>
      </c>
      <c r="L13" s="761">
        <v>7393971340</v>
      </c>
      <c r="M13" s="754" t="s">
        <v>1757</v>
      </c>
    </row>
    <row r="14" spans="1:13" s="755" customFormat="1">
      <c r="A14" s="803">
        <v>13</v>
      </c>
      <c r="B14" s="805" t="s">
        <v>131</v>
      </c>
      <c r="C14" s="777" t="s">
        <v>2549</v>
      </c>
      <c r="D14" s="778" t="s">
        <v>37</v>
      </c>
      <c r="E14" s="811" t="s">
        <v>2575</v>
      </c>
      <c r="F14" s="780" t="s">
        <v>30</v>
      </c>
      <c r="G14" s="751" t="s">
        <v>323</v>
      </c>
      <c r="H14" s="756" t="s">
        <v>319</v>
      </c>
      <c r="I14" s="752">
        <v>2020.1</v>
      </c>
      <c r="J14" s="512">
        <v>1040.02</v>
      </c>
      <c r="K14" s="513">
        <v>3574615604</v>
      </c>
      <c r="L14" s="761">
        <v>3437103810</v>
      </c>
      <c r="M14" s="754" t="s">
        <v>1757</v>
      </c>
    </row>
    <row r="15" spans="1:13" s="755" customFormat="1">
      <c r="A15" s="803">
        <v>14</v>
      </c>
      <c r="B15" s="805" t="s">
        <v>131</v>
      </c>
      <c r="C15" s="777" t="s">
        <v>2550</v>
      </c>
      <c r="D15" s="778" t="s">
        <v>37</v>
      </c>
      <c r="E15" s="811" t="s">
        <v>2576</v>
      </c>
      <c r="F15" s="780" t="s">
        <v>30</v>
      </c>
      <c r="G15" s="751" t="s">
        <v>323</v>
      </c>
      <c r="H15" s="756" t="s">
        <v>320</v>
      </c>
      <c r="I15" s="752">
        <v>2020.1</v>
      </c>
      <c r="J15" s="512">
        <v>1023.48</v>
      </c>
      <c r="K15" s="513">
        <v>427364008</v>
      </c>
      <c r="L15" s="761">
        <v>419653020</v>
      </c>
      <c r="M15" s="754" t="s">
        <v>1757</v>
      </c>
    </row>
    <row r="16" spans="1:13" s="755" customFormat="1">
      <c r="A16" s="803">
        <v>15</v>
      </c>
      <c r="B16" s="805" t="s">
        <v>131</v>
      </c>
      <c r="C16" s="777" t="s">
        <v>2551</v>
      </c>
      <c r="D16" s="778" t="s">
        <v>37</v>
      </c>
      <c r="E16" s="811" t="s">
        <v>2577</v>
      </c>
      <c r="F16" s="780" t="s">
        <v>30</v>
      </c>
      <c r="G16" s="751" t="s">
        <v>323</v>
      </c>
      <c r="H16" s="756" t="s">
        <v>321</v>
      </c>
      <c r="I16" s="752">
        <v>2006.03</v>
      </c>
      <c r="J16" s="512">
        <v>1373.01</v>
      </c>
      <c r="K16" s="513">
        <v>25776148052</v>
      </c>
      <c r="L16" s="761">
        <v>23589088463</v>
      </c>
      <c r="M16" s="754" t="s">
        <v>1757</v>
      </c>
    </row>
    <row r="17" spans="1:13" s="755" customFormat="1">
      <c r="A17" s="803">
        <v>16</v>
      </c>
      <c r="B17" s="809" t="s">
        <v>131</v>
      </c>
      <c r="C17" s="801" t="s">
        <v>2552</v>
      </c>
      <c r="D17" s="793" t="s">
        <v>37</v>
      </c>
      <c r="E17" s="812" t="s">
        <v>2580</v>
      </c>
      <c r="F17" s="793" t="s">
        <v>30</v>
      </c>
      <c r="G17" s="34" t="s">
        <v>323</v>
      </c>
      <c r="H17" s="780" t="s">
        <v>324</v>
      </c>
      <c r="I17" s="752">
        <v>2020.1</v>
      </c>
      <c r="J17" s="512" t="s">
        <v>590</v>
      </c>
      <c r="K17" s="513" t="s">
        <v>590</v>
      </c>
      <c r="L17" s="513" t="s">
        <v>590</v>
      </c>
      <c r="M17" s="754" t="s">
        <v>1757</v>
      </c>
    </row>
    <row r="18" spans="1:13" s="755" customFormat="1">
      <c r="A18" s="803">
        <v>17</v>
      </c>
      <c r="B18" s="809" t="s">
        <v>131</v>
      </c>
      <c r="C18" s="793">
        <v>169241</v>
      </c>
      <c r="D18" s="793" t="s">
        <v>37</v>
      </c>
      <c r="E18" s="811" t="s">
        <v>2599</v>
      </c>
      <c r="F18" s="780" t="s">
        <v>30</v>
      </c>
      <c r="G18" s="34" t="s">
        <v>1536</v>
      </c>
      <c r="H18" s="34" t="s">
        <v>1537</v>
      </c>
      <c r="I18" s="752">
        <v>2019.12</v>
      </c>
      <c r="J18" s="512" t="s">
        <v>590</v>
      </c>
      <c r="K18" s="513" t="s">
        <v>590</v>
      </c>
      <c r="L18" s="513" t="s">
        <v>590</v>
      </c>
      <c r="M18" s="754" t="s">
        <v>1757</v>
      </c>
    </row>
    <row r="19" spans="1:13" s="755" customFormat="1">
      <c r="A19" s="803">
        <v>18</v>
      </c>
      <c r="B19" s="809" t="s">
        <v>131</v>
      </c>
      <c r="C19" s="793">
        <v>169280</v>
      </c>
      <c r="D19" s="793" t="s">
        <v>37</v>
      </c>
      <c r="E19" s="811" t="s">
        <v>2600</v>
      </c>
      <c r="F19" s="780" t="s">
        <v>30</v>
      </c>
      <c r="G19" s="34" t="s">
        <v>1536</v>
      </c>
      <c r="H19" s="34" t="s">
        <v>2595</v>
      </c>
      <c r="I19" s="752">
        <v>2019.12</v>
      </c>
      <c r="J19" s="512" t="s">
        <v>590</v>
      </c>
      <c r="K19" s="513" t="s">
        <v>590</v>
      </c>
      <c r="L19" s="513" t="s">
        <v>590</v>
      </c>
      <c r="M19" s="754" t="s">
        <v>1757</v>
      </c>
    </row>
    <row r="20" spans="1:13" s="755" customFormat="1">
      <c r="A20" s="803">
        <v>19</v>
      </c>
      <c r="B20" s="809" t="s">
        <v>131</v>
      </c>
      <c r="C20" s="793">
        <v>169240</v>
      </c>
      <c r="D20" s="793" t="s">
        <v>37</v>
      </c>
      <c r="E20" s="793" t="s">
        <v>2579</v>
      </c>
      <c r="F20" s="780" t="s">
        <v>30</v>
      </c>
      <c r="G20" s="34" t="s">
        <v>1536</v>
      </c>
      <c r="H20" s="34" t="s">
        <v>2593</v>
      </c>
      <c r="I20" s="762"/>
      <c r="J20" s="512" t="s">
        <v>590</v>
      </c>
      <c r="K20" s="513" t="s">
        <v>590</v>
      </c>
      <c r="L20" s="513" t="s">
        <v>590</v>
      </c>
      <c r="M20" s="754" t="s">
        <v>1757</v>
      </c>
    </row>
    <row r="21" spans="1:13" s="755" customFormat="1">
      <c r="A21" s="803">
        <v>20</v>
      </c>
      <c r="B21" s="809" t="s">
        <v>131</v>
      </c>
      <c r="C21" s="793">
        <v>169260</v>
      </c>
      <c r="D21" s="793" t="s">
        <v>37</v>
      </c>
      <c r="E21" s="811" t="s">
        <v>2601</v>
      </c>
      <c r="F21" s="780" t="s">
        <v>30</v>
      </c>
      <c r="G21" s="34" t="s">
        <v>1536</v>
      </c>
      <c r="H21" s="34" t="s">
        <v>2594</v>
      </c>
      <c r="I21" s="762"/>
      <c r="J21" s="512" t="s">
        <v>590</v>
      </c>
      <c r="K21" s="513" t="s">
        <v>590</v>
      </c>
      <c r="L21" s="513" t="s">
        <v>590</v>
      </c>
      <c r="M21" s="754" t="s">
        <v>1757</v>
      </c>
    </row>
    <row r="22" spans="1:13" s="755" customFormat="1">
      <c r="A22" s="803">
        <v>21</v>
      </c>
      <c r="B22" s="809" t="s">
        <v>131</v>
      </c>
      <c r="C22" s="793">
        <v>112021</v>
      </c>
      <c r="D22" s="793" t="s">
        <v>1515</v>
      </c>
      <c r="E22" s="812" t="s">
        <v>2581</v>
      </c>
      <c r="F22" s="780" t="s">
        <v>83</v>
      </c>
      <c r="G22" s="34" t="s">
        <v>1529</v>
      </c>
      <c r="H22" s="34" t="s">
        <v>1530</v>
      </c>
      <c r="I22" s="762">
        <v>2021.04</v>
      </c>
      <c r="J22" s="512">
        <v>1043.73</v>
      </c>
      <c r="K22" s="513">
        <v>248774039626</v>
      </c>
      <c r="L22" s="513">
        <v>238350391910</v>
      </c>
      <c r="M22" s="754" t="s">
        <v>1757</v>
      </c>
    </row>
    <row r="23" spans="1:13" s="755" customFormat="1">
      <c r="A23" s="803">
        <v>22</v>
      </c>
      <c r="B23" s="809" t="s">
        <v>131</v>
      </c>
      <c r="C23" s="801" t="s">
        <v>2553</v>
      </c>
      <c r="D23" s="793" t="s">
        <v>42</v>
      </c>
      <c r="E23" s="793" t="s">
        <v>2582</v>
      </c>
      <c r="F23" s="780" t="s">
        <v>31</v>
      </c>
      <c r="G23" s="34" t="s">
        <v>1510</v>
      </c>
      <c r="H23" s="34" t="s">
        <v>1512</v>
      </c>
      <c r="I23" s="762">
        <v>2021.04</v>
      </c>
      <c r="J23" s="512"/>
      <c r="K23" s="513"/>
      <c r="L23" s="513"/>
      <c r="M23" s="754" t="s">
        <v>1757</v>
      </c>
    </row>
    <row r="24" spans="1:13" s="755" customFormat="1">
      <c r="A24" s="803">
        <v>23</v>
      </c>
      <c r="B24" s="809" t="s">
        <v>131</v>
      </c>
      <c r="C24" s="793">
        <v>162080</v>
      </c>
      <c r="D24" s="793" t="s">
        <v>37</v>
      </c>
      <c r="E24" s="1090" t="s">
        <v>3074</v>
      </c>
      <c r="F24" s="780" t="s">
        <v>31</v>
      </c>
      <c r="G24" s="34" t="s">
        <v>1510</v>
      </c>
      <c r="H24" s="34" t="s">
        <v>1514</v>
      </c>
      <c r="I24" s="752"/>
      <c r="J24" s="512"/>
      <c r="K24" s="513"/>
      <c r="L24" s="513"/>
      <c r="M24" s="754" t="s">
        <v>1757</v>
      </c>
    </row>
    <row r="25" spans="1:13" s="755" customFormat="1">
      <c r="A25" s="803">
        <v>24</v>
      </c>
      <c r="B25" s="809" t="s">
        <v>131</v>
      </c>
      <c r="C25" s="801" t="s">
        <v>2554</v>
      </c>
      <c r="D25" s="793" t="s">
        <v>42</v>
      </c>
      <c r="E25" s="793" t="s">
        <v>2583</v>
      </c>
      <c r="F25" s="780" t="s">
        <v>31</v>
      </c>
      <c r="G25" s="34" t="s">
        <v>1510</v>
      </c>
      <c r="H25" s="34" t="s">
        <v>1512</v>
      </c>
      <c r="I25" s="762">
        <v>2021.04</v>
      </c>
      <c r="J25" s="512"/>
      <c r="K25" s="513"/>
      <c r="L25" s="513"/>
      <c r="M25" s="754" t="s">
        <v>1757</v>
      </c>
    </row>
    <row r="26" spans="1:13" s="755" customFormat="1">
      <c r="A26" s="803">
        <v>25</v>
      </c>
      <c r="B26" s="810" t="s">
        <v>131</v>
      </c>
      <c r="C26" s="802" t="s">
        <v>2555</v>
      </c>
      <c r="D26" s="34" t="s">
        <v>42</v>
      </c>
      <c r="E26" s="812" t="s">
        <v>2584</v>
      </c>
      <c r="F26" s="34" t="s">
        <v>31</v>
      </c>
      <c r="G26" s="34" t="s">
        <v>1510</v>
      </c>
      <c r="H26" s="34" t="s">
        <v>1518</v>
      </c>
      <c r="I26" s="34">
        <v>2021.04</v>
      </c>
      <c r="J26" s="34"/>
      <c r="K26" s="34"/>
      <c r="L26" s="34"/>
      <c r="M26" s="754" t="s">
        <v>1757</v>
      </c>
    </row>
    <row r="27" spans="1:13" s="755" customFormat="1">
      <c r="A27" s="803">
        <v>26</v>
      </c>
      <c r="B27" s="810" t="s">
        <v>131</v>
      </c>
      <c r="C27" s="802" t="s">
        <v>2556</v>
      </c>
      <c r="D27" s="34" t="s">
        <v>42</v>
      </c>
      <c r="E27" s="812" t="s">
        <v>2585</v>
      </c>
      <c r="F27" s="34" t="s">
        <v>31</v>
      </c>
      <c r="G27" s="34" t="s">
        <v>1510</v>
      </c>
      <c r="H27" s="34" t="s">
        <v>1521</v>
      </c>
      <c r="I27" s="762">
        <v>2021.07</v>
      </c>
      <c r="J27" s="34">
        <v>975.63</v>
      </c>
      <c r="K27" s="34">
        <v>11710000000</v>
      </c>
      <c r="L27" s="34">
        <v>12000000000</v>
      </c>
      <c r="M27" s="754" t="s">
        <v>1757</v>
      </c>
    </row>
    <row r="28" spans="1:13" s="755" customFormat="1">
      <c r="A28" s="803">
        <v>27</v>
      </c>
      <c r="B28" s="810" t="s">
        <v>131</v>
      </c>
      <c r="C28" s="34">
        <v>169447</v>
      </c>
      <c r="D28" s="34" t="s">
        <v>42</v>
      </c>
      <c r="E28" s="812" t="s">
        <v>2586</v>
      </c>
      <c r="F28" s="34" t="s">
        <v>30</v>
      </c>
      <c r="G28" s="34" t="s">
        <v>1510</v>
      </c>
      <c r="H28" s="34" t="s">
        <v>1522</v>
      </c>
      <c r="I28" s="762">
        <v>2021.07</v>
      </c>
      <c r="J28" s="34"/>
      <c r="K28" s="34"/>
      <c r="L28" s="34"/>
      <c r="M28" s="754" t="s">
        <v>1757</v>
      </c>
    </row>
    <row r="29" spans="1:13" s="755" customFormat="1">
      <c r="A29" s="803">
        <v>28</v>
      </c>
      <c r="B29" s="810" t="s">
        <v>131</v>
      </c>
      <c r="C29" s="802" t="s">
        <v>2557</v>
      </c>
      <c r="D29" s="34" t="s">
        <v>1523</v>
      </c>
      <c r="E29" s="812" t="s">
        <v>2587</v>
      </c>
      <c r="F29" s="34" t="s">
        <v>49</v>
      </c>
      <c r="G29" s="34" t="s">
        <v>1524</v>
      </c>
      <c r="H29" s="34" t="s">
        <v>1525</v>
      </c>
      <c r="I29" s="34">
        <v>2012.08</v>
      </c>
      <c r="J29" s="34">
        <v>1387.76</v>
      </c>
      <c r="K29" s="34">
        <v>8009000000</v>
      </c>
      <c r="L29" s="34">
        <v>5771000000</v>
      </c>
      <c r="M29" s="754" t="s">
        <v>1757</v>
      </c>
    </row>
    <row r="30" spans="1:13" s="755" customFormat="1">
      <c r="A30" s="803">
        <v>29</v>
      </c>
      <c r="B30" s="809" t="s">
        <v>131</v>
      </c>
      <c r="C30" s="801" t="s">
        <v>2558</v>
      </c>
      <c r="D30" s="793" t="s">
        <v>1523</v>
      </c>
      <c r="E30" s="812" t="s">
        <v>2588</v>
      </c>
      <c r="F30" s="780" t="s">
        <v>30</v>
      </c>
      <c r="G30" s="34" t="s">
        <v>1524</v>
      </c>
      <c r="H30" s="34" t="s">
        <v>1526</v>
      </c>
      <c r="I30" s="762">
        <v>2009.1</v>
      </c>
      <c r="J30" s="512">
        <v>1631.22</v>
      </c>
      <c r="K30" s="513">
        <v>15440000000</v>
      </c>
      <c r="L30" s="513">
        <v>9465000000</v>
      </c>
      <c r="M30" s="754" t="s">
        <v>816</v>
      </c>
    </row>
    <row r="31" spans="1:13" s="755" customFormat="1">
      <c r="A31" s="803">
        <v>30</v>
      </c>
      <c r="B31" s="809" t="s">
        <v>131</v>
      </c>
      <c r="C31" s="793">
        <v>162120</v>
      </c>
      <c r="D31" s="793" t="s">
        <v>1515</v>
      </c>
      <c r="E31" s="812" t="s">
        <v>2589</v>
      </c>
      <c r="F31" s="780" t="s">
        <v>31</v>
      </c>
      <c r="G31" s="34" t="s">
        <v>1527</v>
      </c>
      <c r="H31" s="34" t="s">
        <v>1528</v>
      </c>
      <c r="I31" s="762">
        <v>2021.12</v>
      </c>
      <c r="J31" s="512"/>
      <c r="K31" s="513">
        <v>39809997952</v>
      </c>
      <c r="L31" s="513"/>
      <c r="M31" s="754" t="s">
        <v>816</v>
      </c>
    </row>
    <row r="32" spans="1:13" s="755" customFormat="1">
      <c r="A32" s="803">
        <v>31</v>
      </c>
      <c r="B32" s="809" t="s">
        <v>131</v>
      </c>
      <c r="C32" s="801" t="s">
        <v>2559</v>
      </c>
      <c r="D32" s="793" t="s">
        <v>1515</v>
      </c>
      <c r="E32" s="812" t="s">
        <v>2590</v>
      </c>
      <c r="F32" s="780" t="s">
        <v>31</v>
      </c>
      <c r="G32" s="34" t="s">
        <v>1529</v>
      </c>
      <c r="H32" s="34" t="s">
        <v>1533</v>
      </c>
      <c r="I32" s="762">
        <v>2021.07</v>
      </c>
      <c r="J32" s="512"/>
      <c r="K32" s="513"/>
      <c r="L32" s="513"/>
      <c r="M32" s="754" t="s">
        <v>816</v>
      </c>
    </row>
    <row r="33" spans="1:13" s="755" customFormat="1">
      <c r="A33" s="1068">
        <v>32</v>
      </c>
      <c r="B33" s="1069" t="s">
        <v>131</v>
      </c>
      <c r="C33" s="1070">
        <v>169446</v>
      </c>
      <c r="D33" s="1070" t="s">
        <v>1515</v>
      </c>
      <c r="E33" s="1071" t="s">
        <v>2591</v>
      </c>
      <c r="F33" s="1072" t="s">
        <v>2991</v>
      </c>
      <c r="G33" s="476" t="s">
        <v>1529</v>
      </c>
      <c r="H33" s="476" t="s">
        <v>1534</v>
      </c>
      <c r="I33" s="1073">
        <v>2021.07</v>
      </c>
      <c r="J33" s="1074"/>
      <c r="K33" s="1075"/>
      <c r="L33" s="1075"/>
      <c r="M33" s="754" t="s">
        <v>816</v>
      </c>
    </row>
    <row r="34" spans="1:13" s="755" customFormat="1">
      <c r="A34" s="803">
        <v>33</v>
      </c>
      <c r="B34" s="809" t="s">
        <v>131</v>
      </c>
      <c r="C34" s="793">
        <v>157800</v>
      </c>
      <c r="D34" s="793" t="s">
        <v>37</v>
      </c>
      <c r="E34" s="812" t="s">
        <v>2592</v>
      </c>
      <c r="F34" s="780" t="s">
        <v>31</v>
      </c>
      <c r="G34" s="34" t="s">
        <v>1543</v>
      </c>
      <c r="H34" s="34" t="s">
        <v>1544</v>
      </c>
      <c r="I34" s="762" t="s">
        <v>1545</v>
      </c>
      <c r="J34" s="512">
        <v>1000</v>
      </c>
      <c r="K34" s="513"/>
      <c r="L34" s="513">
        <v>4000000000</v>
      </c>
      <c r="M34" s="754" t="s">
        <v>816</v>
      </c>
    </row>
    <row r="35" spans="1:13" s="755" customFormat="1">
      <c r="A35" s="803">
        <v>34</v>
      </c>
      <c r="B35" s="809" t="s">
        <v>2073</v>
      </c>
      <c r="C35" s="801" t="s">
        <v>2560</v>
      </c>
      <c r="D35" s="793" t="s">
        <v>2074</v>
      </c>
      <c r="E35" s="793" t="s">
        <v>2078</v>
      </c>
      <c r="F35" s="780" t="s">
        <v>2075</v>
      </c>
      <c r="G35" s="34" t="s">
        <v>2076</v>
      </c>
      <c r="H35" s="34" t="s">
        <v>2077</v>
      </c>
      <c r="I35" s="762">
        <v>2024.07</v>
      </c>
      <c r="J35" s="512"/>
      <c r="K35" s="513"/>
      <c r="L35" s="513"/>
      <c r="M35" s="754"/>
    </row>
    <row r="36" spans="1:13" s="358" customFormat="1">
      <c r="A36" s="803">
        <v>35</v>
      </c>
      <c r="B36" s="809" t="s">
        <v>131</v>
      </c>
      <c r="C36" s="801" t="s">
        <v>2561</v>
      </c>
      <c r="D36" s="793" t="s">
        <v>2432</v>
      </c>
      <c r="E36" s="793" t="s">
        <v>2437</v>
      </c>
      <c r="F36" s="780" t="s">
        <v>2433</v>
      </c>
      <c r="G36" s="34" t="s">
        <v>2436</v>
      </c>
      <c r="H36" s="34" t="s">
        <v>2434</v>
      </c>
      <c r="I36" s="762" t="s">
        <v>2435</v>
      </c>
      <c r="J36" s="512">
        <v>1000</v>
      </c>
      <c r="K36" s="513"/>
      <c r="L36" s="513"/>
      <c r="M36" s="754"/>
    </row>
    <row r="37" spans="1:13" s="358" customFormat="1">
      <c r="A37" s="803">
        <v>36</v>
      </c>
      <c r="B37" s="809" t="s">
        <v>131</v>
      </c>
      <c r="C37" s="801" t="s">
        <v>2562</v>
      </c>
      <c r="D37" s="793" t="s">
        <v>19</v>
      </c>
      <c r="E37" s="793" t="s">
        <v>2503</v>
      </c>
      <c r="F37" s="780" t="s">
        <v>28</v>
      </c>
      <c r="G37" s="34" t="s">
        <v>2504</v>
      </c>
      <c r="H37" s="34" t="s">
        <v>2505</v>
      </c>
      <c r="I37" s="762" t="s">
        <v>2506</v>
      </c>
      <c r="J37" s="512">
        <v>1000</v>
      </c>
      <c r="K37" s="513"/>
      <c r="L37" s="513"/>
      <c r="M37" s="754"/>
    </row>
    <row r="38" spans="1:13" s="358" customFormat="1">
      <c r="A38" s="803">
        <v>37</v>
      </c>
      <c r="B38" s="809" t="s">
        <v>131</v>
      </c>
      <c r="C38" s="801" t="s">
        <v>2684</v>
      </c>
      <c r="D38" s="793" t="s">
        <v>19</v>
      </c>
      <c r="E38" s="793" t="s">
        <v>2685</v>
      </c>
      <c r="F38" s="780" t="s">
        <v>58</v>
      </c>
      <c r="G38" s="34" t="s">
        <v>2504</v>
      </c>
      <c r="H38" s="34" t="s">
        <v>2686</v>
      </c>
      <c r="I38" s="762">
        <v>2025.06</v>
      </c>
      <c r="J38" s="512">
        <v>1000</v>
      </c>
      <c r="K38" s="513"/>
      <c r="L38" s="513"/>
      <c r="M38" s="754"/>
    </row>
    <row r="39" spans="1:13" s="358" customFormat="1">
      <c r="A39" s="803">
        <v>38</v>
      </c>
      <c r="B39" s="809" t="s">
        <v>131</v>
      </c>
      <c r="C39" s="801" t="s">
        <v>2916</v>
      </c>
      <c r="D39" s="793" t="s">
        <v>19</v>
      </c>
      <c r="E39" s="793" t="s">
        <v>2919</v>
      </c>
      <c r="F39" s="780" t="s">
        <v>58</v>
      </c>
      <c r="G39" s="34" t="s">
        <v>2504</v>
      </c>
      <c r="H39" s="34" t="s">
        <v>2918</v>
      </c>
      <c r="I39" s="762">
        <v>2025.11</v>
      </c>
      <c r="J39" s="512">
        <v>1000</v>
      </c>
      <c r="K39" s="513"/>
      <c r="L39" s="513"/>
      <c r="M39" s="754"/>
    </row>
    <row r="40" spans="1:13" s="358" customFormat="1">
      <c r="A40" s="803">
        <v>39</v>
      </c>
      <c r="B40" s="809" t="s">
        <v>131</v>
      </c>
      <c r="C40" s="801" t="s">
        <v>2917</v>
      </c>
      <c r="D40" s="793" t="s">
        <v>19</v>
      </c>
      <c r="E40" s="793" t="s">
        <v>2920</v>
      </c>
      <c r="F40" s="780" t="s">
        <v>58</v>
      </c>
      <c r="G40" s="34" t="s">
        <v>2504</v>
      </c>
      <c r="H40" s="34" t="s">
        <v>3000</v>
      </c>
      <c r="I40" s="762">
        <v>2025.11</v>
      </c>
      <c r="J40" s="512">
        <v>1000</v>
      </c>
      <c r="K40" s="513"/>
      <c r="L40" s="513"/>
      <c r="M40" s="754"/>
    </row>
    <row r="41" spans="1:13" s="358" customFormat="1">
      <c r="A41" s="1078">
        <v>40</v>
      </c>
      <c r="B41" s="809" t="s">
        <v>131</v>
      </c>
      <c r="C41" s="1079">
        <v>111984</v>
      </c>
      <c r="D41" s="1080" t="s">
        <v>19</v>
      </c>
      <c r="E41" s="1080" t="s">
        <v>3033</v>
      </c>
      <c r="F41" s="1081" t="s">
        <v>27</v>
      </c>
      <c r="G41" s="1082" t="s">
        <v>2504</v>
      </c>
      <c r="H41" s="34" t="s">
        <v>3032</v>
      </c>
      <c r="I41" s="1083">
        <v>2025.11</v>
      </c>
      <c r="J41" s="1084">
        <v>1000</v>
      </c>
      <c r="K41" s="1085"/>
      <c r="L41" s="1085"/>
      <c r="M41" s="754"/>
    </row>
    <row r="42" spans="1:13" s="358" customFormat="1">
      <c r="A42" s="803">
        <v>41</v>
      </c>
      <c r="B42" s="809" t="s">
        <v>131</v>
      </c>
      <c r="C42" s="801" t="s">
        <v>3008</v>
      </c>
      <c r="D42" s="793" t="s">
        <v>19</v>
      </c>
      <c r="E42" s="793" t="s">
        <v>2995</v>
      </c>
      <c r="F42" s="780" t="s">
        <v>73</v>
      </c>
      <c r="G42" s="34" t="s">
        <v>2996</v>
      </c>
      <c r="H42" s="34" t="s">
        <v>2997</v>
      </c>
      <c r="I42" s="762">
        <v>2026.01</v>
      </c>
      <c r="J42" s="512"/>
      <c r="K42" s="513"/>
      <c r="L42" s="513"/>
      <c r="M42" s="754"/>
    </row>
    <row r="43" spans="1:13" s="358" customFormat="1">
      <c r="A43" s="803">
        <v>42</v>
      </c>
      <c r="B43" s="809" t="s">
        <v>131</v>
      </c>
      <c r="C43" s="1079" t="s">
        <v>3034</v>
      </c>
      <c r="D43" s="793" t="s">
        <v>19</v>
      </c>
      <c r="E43" s="1080" t="s">
        <v>3086</v>
      </c>
      <c r="F43" s="1081" t="s">
        <v>27</v>
      </c>
      <c r="G43" s="1082" t="s">
        <v>3035</v>
      </c>
      <c r="H43" s="34" t="s">
        <v>3036</v>
      </c>
      <c r="I43" s="1083">
        <v>2026.03</v>
      </c>
      <c r="J43" s="1084">
        <v>1000</v>
      </c>
      <c r="K43" s="1085"/>
      <c r="L43" s="1085"/>
      <c r="M43" s="754"/>
    </row>
    <row r="44" spans="1:13" s="358" customFormat="1">
      <c r="A44" s="803">
        <v>43</v>
      </c>
      <c r="B44" s="809" t="s">
        <v>131</v>
      </c>
      <c r="C44" s="801" t="s">
        <v>3039</v>
      </c>
      <c r="D44" s="793" t="s">
        <v>19</v>
      </c>
      <c r="E44" s="793" t="s">
        <v>3087</v>
      </c>
      <c r="F44" s="780" t="s">
        <v>73</v>
      </c>
      <c r="G44" s="34" t="s">
        <v>3037</v>
      </c>
      <c r="H44" s="34" t="s">
        <v>3038</v>
      </c>
      <c r="I44" s="762">
        <v>2026.03</v>
      </c>
      <c r="J44" s="512"/>
      <c r="K44" s="513"/>
      <c r="L44" s="513"/>
      <c r="M44" s="754"/>
    </row>
    <row r="46" spans="1:13">
      <c r="B46" s="368" t="s">
        <v>2563</v>
      </c>
    </row>
    <row r="47" spans="1:13">
      <c r="A47" s="196">
        <v>1</v>
      </c>
      <c r="B47" s="778" t="s">
        <v>131</v>
      </c>
      <c r="C47" s="778">
        <v>2883</v>
      </c>
      <c r="D47" s="778" t="s">
        <v>42</v>
      </c>
      <c r="E47" s="778"/>
      <c r="F47" s="778" t="s">
        <v>49</v>
      </c>
      <c r="G47" s="34" t="s">
        <v>1507</v>
      </c>
      <c r="H47" s="34" t="s">
        <v>146</v>
      </c>
      <c r="I47" s="752">
        <v>2020.06</v>
      </c>
      <c r="J47" s="512">
        <v>1033.26</v>
      </c>
      <c r="K47" s="512">
        <v>516.63</v>
      </c>
      <c r="L47" s="512">
        <v>500</v>
      </c>
      <c r="M47" s="513" t="s">
        <v>816</v>
      </c>
    </row>
    <row r="48" spans="1:13">
      <c r="A48" s="196">
        <v>2</v>
      </c>
      <c r="B48" s="778" t="s">
        <v>131</v>
      </c>
      <c r="C48" s="778">
        <v>2884</v>
      </c>
      <c r="D48" s="778" t="s">
        <v>42</v>
      </c>
      <c r="E48" s="778"/>
      <c r="F48" s="778" t="s">
        <v>49</v>
      </c>
      <c r="G48" s="34" t="s">
        <v>1507</v>
      </c>
      <c r="H48" s="780" t="s">
        <v>145</v>
      </c>
      <c r="I48" s="752">
        <v>2020.06</v>
      </c>
      <c r="J48" s="512">
        <v>1028.24</v>
      </c>
      <c r="K48" s="512">
        <v>819.79</v>
      </c>
      <c r="L48" s="512">
        <v>797.21</v>
      </c>
      <c r="M48" s="513" t="s">
        <v>816</v>
      </c>
    </row>
    <row r="49" spans="1:13">
      <c r="A49" s="196">
        <v>3</v>
      </c>
      <c r="B49" s="778" t="s">
        <v>131</v>
      </c>
      <c r="C49" s="778">
        <v>2885</v>
      </c>
      <c r="D49" s="778" t="s">
        <v>42</v>
      </c>
      <c r="E49" s="778"/>
      <c r="F49" s="780" t="s">
        <v>23</v>
      </c>
      <c r="G49" s="34" t="s">
        <v>1507</v>
      </c>
      <c r="H49" s="34" t="s">
        <v>145</v>
      </c>
      <c r="I49" s="752">
        <v>2020.06</v>
      </c>
      <c r="J49" s="512">
        <v>1010.45</v>
      </c>
      <c r="K49" s="512">
        <v>1009.24</v>
      </c>
      <c r="L49" s="512">
        <v>998.8</v>
      </c>
      <c r="M49" s="513" t="s">
        <v>816</v>
      </c>
    </row>
    <row r="50" spans="1:13">
      <c r="A50" s="196">
        <v>4</v>
      </c>
      <c r="B50" s="778" t="s">
        <v>131</v>
      </c>
      <c r="C50" s="778">
        <v>2900</v>
      </c>
      <c r="D50" s="778" t="s">
        <v>42</v>
      </c>
      <c r="E50" s="778"/>
      <c r="F50" s="780" t="s">
        <v>84</v>
      </c>
      <c r="G50" s="34" t="s">
        <v>1507</v>
      </c>
      <c r="H50" s="34" t="s">
        <v>144</v>
      </c>
      <c r="I50" s="752">
        <v>2020.06</v>
      </c>
      <c r="J50" s="512">
        <v>1105.6300000000001</v>
      </c>
      <c r="K50" s="512">
        <v>221.13</v>
      </c>
      <c r="L50" s="512">
        <v>200</v>
      </c>
      <c r="M50" s="513" t="s">
        <v>816</v>
      </c>
    </row>
    <row r="51" spans="1:13">
      <c r="A51" s="196">
        <v>5</v>
      </c>
      <c r="B51" s="778" t="s">
        <v>131</v>
      </c>
      <c r="C51" s="778">
        <v>200020</v>
      </c>
      <c r="D51" s="778" t="s">
        <v>37</v>
      </c>
      <c r="E51" s="778"/>
      <c r="F51" s="778" t="s">
        <v>31</v>
      </c>
      <c r="G51" s="34" t="s">
        <v>1507</v>
      </c>
      <c r="H51" s="780" t="s">
        <v>142</v>
      </c>
      <c r="I51" s="752">
        <v>2015.03</v>
      </c>
      <c r="J51" s="512">
        <v>1391.37</v>
      </c>
      <c r="K51" s="512">
        <v>20.14</v>
      </c>
      <c r="L51" s="512">
        <v>14.47</v>
      </c>
      <c r="M51" s="513" t="s">
        <v>816</v>
      </c>
    </row>
    <row r="52" spans="1:13">
      <c r="A52" s="196">
        <v>6</v>
      </c>
      <c r="B52" s="778" t="s">
        <v>131</v>
      </c>
      <c r="C52" s="778">
        <v>200130</v>
      </c>
      <c r="D52" s="778" t="s">
        <v>37</v>
      </c>
      <c r="E52" s="778"/>
      <c r="F52" s="778" t="s">
        <v>23</v>
      </c>
      <c r="G52" s="34" t="s">
        <v>1507</v>
      </c>
      <c r="H52" s="780" t="s">
        <v>140</v>
      </c>
      <c r="I52" s="752">
        <v>2007.09</v>
      </c>
      <c r="J52" s="512" t="s">
        <v>590</v>
      </c>
      <c r="K52" s="512" t="s">
        <v>590</v>
      </c>
      <c r="L52" s="512" t="s">
        <v>590</v>
      </c>
      <c r="M52" s="513" t="s">
        <v>816</v>
      </c>
    </row>
    <row r="53" spans="1:13">
      <c r="A53" s="196">
        <v>7</v>
      </c>
      <c r="B53" s="778" t="s">
        <v>131</v>
      </c>
      <c r="C53" s="778">
        <v>200290</v>
      </c>
      <c r="D53" s="778" t="s">
        <v>37</v>
      </c>
      <c r="E53" s="778"/>
      <c r="F53" s="780" t="s">
        <v>23</v>
      </c>
      <c r="G53" s="34" t="s">
        <v>1507</v>
      </c>
      <c r="H53" s="34" t="s">
        <v>137</v>
      </c>
      <c r="I53" s="752">
        <v>2007.09</v>
      </c>
      <c r="J53" s="512" t="s">
        <v>590</v>
      </c>
      <c r="K53" s="512" t="s">
        <v>590</v>
      </c>
      <c r="L53" s="512" t="s">
        <v>590</v>
      </c>
      <c r="M53" s="513" t="s">
        <v>816</v>
      </c>
    </row>
    <row r="54" spans="1:13">
      <c r="A54" s="196">
        <v>8</v>
      </c>
      <c r="B54" s="778" t="s">
        <v>131</v>
      </c>
      <c r="C54" s="778">
        <v>165109</v>
      </c>
      <c r="D54" s="778" t="s">
        <v>37</v>
      </c>
      <c r="E54" s="778"/>
      <c r="F54" s="780" t="s">
        <v>30</v>
      </c>
      <c r="G54" s="34" t="s">
        <v>323</v>
      </c>
      <c r="H54" s="34" t="s">
        <v>322</v>
      </c>
      <c r="I54" s="752">
        <v>2017.12</v>
      </c>
      <c r="J54" s="512">
        <v>1097.21</v>
      </c>
      <c r="K54" s="513">
        <v>12823944857</v>
      </c>
      <c r="L54" s="513">
        <v>12708085125</v>
      </c>
      <c r="M54" s="513" t="s">
        <v>816</v>
      </c>
    </row>
    <row r="55" spans="1:13">
      <c r="A55" s="196">
        <v>9</v>
      </c>
      <c r="B55" s="793" t="s">
        <v>131</v>
      </c>
      <c r="C55" s="793">
        <v>2835</v>
      </c>
      <c r="D55" s="793"/>
      <c r="E55" s="793"/>
      <c r="F55" s="780" t="s">
        <v>241</v>
      </c>
      <c r="G55" s="34" t="s">
        <v>1536</v>
      </c>
      <c r="H55" s="34" t="s">
        <v>1538</v>
      </c>
      <c r="I55" s="762">
        <v>2020.1</v>
      </c>
      <c r="J55" s="512" t="s">
        <v>590</v>
      </c>
      <c r="K55" s="513" t="s">
        <v>590</v>
      </c>
      <c r="L55" s="513" t="s">
        <v>590</v>
      </c>
      <c r="M55" s="513" t="s">
        <v>816</v>
      </c>
    </row>
    <row r="56" spans="1:13">
      <c r="A56" s="196">
        <v>10</v>
      </c>
      <c r="B56" s="793" t="s">
        <v>131</v>
      </c>
      <c r="C56" s="793">
        <v>2834</v>
      </c>
      <c r="D56" s="793"/>
      <c r="E56" s="793"/>
      <c r="F56" s="780" t="s">
        <v>241</v>
      </c>
      <c r="G56" s="34" t="s">
        <v>1536</v>
      </c>
      <c r="H56" s="34" t="s">
        <v>1539</v>
      </c>
      <c r="I56" s="762">
        <v>2019.1</v>
      </c>
      <c r="J56" s="512" t="s">
        <v>590</v>
      </c>
      <c r="K56" s="513" t="s">
        <v>590</v>
      </c>
      <c r="L56" s="513" t="s">
        <v>590</v>
      </c>
      <c r="M56" s="513" t="s">
        <v>816</v>
      </c>
    </row>
    <row r="57" spans="1:13">
      <c r="A57" s="196">
        <v>11</v>
      </c>
      <c r="B57" s="793" t="s">
        <v>131</v>
      </c>
      <c r="C57" s="793">
        <v>2882</v>
      </c>
      <c r="D57" s="793"/>
      <c r="E57" s="793"/>
      <c r="F57" s="780" t="s">
        <v>23</v>
      </c>
      <c r="G57" s="34" t="s">
        <v>1536</v>
      </c>
      <c r="H57" s="34" t="s">
        <v>1540</v>
      </c>
      <c r="I57" s="762">
        <v>2019.11</v>
      </c>
      <c r="J57" s="512" t="s">
        <v>590</v>
      </c>
      <c r="K57" s="513" t="s">
        <v>590</v>
      </c>
      <c r="L57" s="513" t="s">
        <v>590</v>
      </c>
      <c r="M57" s="513" t="s">
        <v>816</v>
      </c>
    </row>
    <row r="58" spans="1:13">
      <c r="A58" s="196">
        <v>12</v>
      </c>
      <c r="B58" s="793" t="s">
        <v>131</v>
      </c>
      <c r="C58" s="793">
        <v>169445</v>
      </c>
      <c r="D58" s="793" t="s">
        <v>42</v>
      </c>
      <c r="E58" s="793"/>
      <c r="F58" s="780" t="s">
        <v>30</v>
      </c>
      <c r="G58" s="34" t="s">
        <v>1510</v>
      </c>
      <c r="H58" s="34" t="s">
        <v>1513</v>
      </c>
      <c r="I58" s="762">
        <v>2021.04</v>
      </c>
      <c r="J58" s="512"/>
      <c r="K58" s="513"/>
      <c r="L58" s="513"/>
      <c r="M58" s="513" t="s">
        <v>816</v>
      </c>
    </row>
    <row r="59" spans="1:13">
      <c r="A59" s="196">
        <v>13</v>
      </c>
      <c r="B59" s="793" t="s">
        <v>131</v>
      </c>
      <c r="C59" s="793">
        <v>111981</v>
      </c>
      <c r="D59" s="793" t="s">
        <v>1515</v>
      </c>
      <c r="E59" s="793"/>
      <c r="F59" s="780" t="s">
        <v>83</v>
      </c>
      <c r="G59" s="34" t="s">
        <v>1516</v>
      </c>
      <c r="H59" s="34" t="s">
        <v>1517</v>
      </c>
      <c r="I59" s="752">
        <v>2021.05</v>
      </c>
      <c r="J59" s="512"/>
      <c r="K59" s="513"/>
      <c r="L59" s="513"/>
      <c r="M59" s="513" t="s">
        <v>816</v>
      </c>
    </row>
    <row r="60" spans="1:13">
      <c r="A60" s="196">
        <v>14</v>
      </c>
      <c r="B60" s="34" t="s">
        <v>131</v>
      </c>
      <c r="C60" s="34">
        <v>116810</v>
      </c>
      <c r="D60" s="34" t="s">
        <v>42</v>
      </c>
      <c r="E60" s="34"/>
      <c r="F60" s="34" t="s">
        <v>49</v>
      </c>
      <c r="G60" s="34" t="s">
        <v>1519</v>
      </c>
      <c r="H60" s="34" t="s">
        <v>1520</v>
      </c>
      <c r="I60" s="34">
        <v>2011.04</v>
      </c>
      <c r="J60" s="34"/>
      <c r="K60" s="34"/>
      <c r="L60" s="34"/>
      <c r="M60" s="513" t="s">
        <v>816</v>
      </c>
    </row>
    <row r="61" spans="1:13">
      <c r="A61" s="196">
        <v>15</v>
      </c>
      <c r="B61" s="794" t="s">
        <v>131</v>
      </c>
      <c r="C61" s="794">
        <v>112221</v>
      </c>
      <c r="D61" s="794" t="s">
        <v>42</v>
      </c>
      <c r="E61" s="794" t="s">
        <v>34</v>
      </c>
      <c r="F61" s="794" t="s">
        <v>83</v>
      </c>
      <c r="G61" s="795" t="s">
        <v>1510</v>
      </c>
      <c r="H61" s="795" t="s">
        <v>1511</v>
      </c>
      <c r="I61" s="796">
        <v>2021.03</v>
      </c>
      <c r="J61" s="797"/>
      <c r="K61" s="798"/>
      <c r="L61" s="798"/>
      <c r="M61" s="513" t="s">
        <v>816</v>
      </c>
    </row>
    <row r="62" spans="1:13">
      <c r="A62" s="196">
        <v>16</v>
      </c>
      <c r="B62" s="799"/>
      <c r="C62" s="799">
        <v>162121</v>
      </c>
      <c r="D62" s="799" t="s">
        <v>1515</v>
      </c>
      <c r="E62" s="799" t="s">
        <v>34</v>
      </c>
      <c r="F62" s="800" t="s">
        <v>31</v>
      </c>
      <c r="G62" s="763" t="s">
        <v>1529</v>
      </c>
      <c r="H62" s="763" t="s">
        <v>1531</v>
      </c>
      <c r="I62" s="764">
        <v>2022.04</v>
      </c>
      <c r="J62" s="765"/>
      <c r="K62" s="766"/>
      <c r="L62" s="766"/>
      <c r="M62" s="766" t="s">
        <v>1532</v>
      </c>
    </row>
    <row r="63" spans="1:13">
      <c r="A63" s="196">
        <v>17</v>
      </c>
      <c r="B63" s="799"/>
      <c r="C63" s="799">
        <v>113304</v>
      </c>
      <c r="D63" s="799" t="s">
        <v>1515</v>
      </c>
      <c r="E63" s="799" t="s">
        <v>34</v>
      </c>
      <c r="F63" s="800" t="s">
        <v>83</v>
      </c>
      <c r="G63" s="763" t="s">
        <v>1527</v>
      </c>
      <c r="H63" s="763" t="s">
        <v>1535</v>
      </c>
      <c r="I63" s="764">
        <v>2022.06</v>
      </c>
      <c r="J63" s="765"/>
      <c r="K63" s="766"/>
      <c r="L63" s="766"/>
      <c r="M63" s="766"/>
    </row>
    <row r="64" spans="1:13">
      <c r="A64" s="196">
        <v>18</v>
      </c>
      <c r="B64" s="799" t="s">
        <v>131</v>
      </c>
      <c r="C64" s="799">
        <v>168130</v>
      </c>
      <c r="D64" s="799"/>
      <c r="E64" s="799" t="s">
        <v>34</v>
      </c>
      <c r="F64" s="800" t="s">
        <v>49</v>
      </c>
      <c r="G64" s="763" t="s">
        <v>1536</v>
      </c>
      <c r="H64" s="763" t="s">
        <v>1542</v>
      </c>
      <c r="I64" s="764"/>
      <c r="J64" s="765" t="s">
        <v>590</v>
      </c>
      <c r="K64" s="766" t="s">
        <v>590</v>
      </c>
      <c r="L64" s="766" t="s">
        <v>590</v>
      </c>
      <c r="M64" s="766" t="s">
        <v>591</v>
      </c>
    </row>
  </sheetData>
  <phoneticPr fontId="2" type="noConversion"/>
  <pageMargins left="0.25" right="0.25" top="0.75" bottom="0.75" header="0.3" footer="0.3"/>
  <pageSetup paperSize="9" scale="51" fitToHeight="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1">
    <tabColor theme="9" tint="0.59999389629810485"/>
  </sheetPr>
  <dimension ref="A1:J6"/>
  <sheetViews>
    <sheetView workbookViewId="0">
      <selection activeCell="F2" sqref="F2:F3"/>
    </sheetView>
  </sheetViews>
  <sheetFormatPr defaultRowHeight="16.5"/>
  <cols>
    <col min="4" max="4" width="15.125" bestFit="1" customWidth="1"/>
    <col min="6" max="6" width="77.125" bestFit="1" customWidth="1"/>
    <col min="7" max="7" width="11.125" bestFit="1" customWidth="1"/>
  </cols>
  <sheetData>
    <row r="1" spans="1:10">
      <c r="A1" s="972" t="s">
        <v>2090</v>
      </c>
      <c r="B1" s="972" t="s">
        <v>2091</v>
      </c>
      <c r="C1" s="972" t="s">
        <v>2092</v>
      </c>
      <c r="D1" s="972" t="s">
        <v>2093</v>
      </c>
      <c r="E1" s="972" t="s">
        <v>2094</v>
      </c>
      <c r="F1" s="972" t="s">
        <v>2095</v>
      </c>
      <c r="G1" s="972" t="s">
        <v>2096</v>
      </c>
      <c r="H1" s="972" t="s">
        <v>2097</v>
      </c>
      <c r="I1" s="972" t="s">
        <v>2098</v>
      </c>
      <c r="J1" s="972" t="s">
        <v>2099</v>
      </c>
    </row>
    <row r="2" spans="1:10">
      <c r="A2" s="38" t="s">
        <v>2108</v>
      </c>
      <c r="B2" s="38" t="s">
        <v>2100</v>
      </c>
      <c r="C2" s="38" t="s">
        <v>33</v>
      </c>
      <c r="D2" s="38" t="s">
        <v>2104</v>
      </c>
      <c r="E2" s="38" t="s">
        <v>149</v>
      </c>
      <c r="F2" s="38" t="s">
        <v>2109</v>
      </c>
      <c r="G2" s="477">
        <v>39709</v>
      </c>
      <c r="H2" s="237"/>
      <c r="I2" s="237"/>
      <c r="J2" s="237"/>
    </row>
    <row r="3" spans="1:10">
      <c r="A3" s="38" t="s">
        <v>2108</v>
      </c>
      <c r="B3" s="38" t="s">
        <v>2101</v>
      </c>
      <c r="C3" s="38" t="s">
        <v>33</v>
      </c>
      <c r="D3" s="38" t="s">
        <v>2105</v>
      </c>
      <c r="E3" s="38" t="s">
        <v>149</v>
      </c>
      <c r="F3" s="38" t="s">
        <v>2112</v>
      </c>
      <c r="G3" s="477">
        <v>39709</v>
      </c>
      <c r="H3" s="237"/>
      <c r="I3" s="237"/>
      <c r="J3" s="237"/>
    </row>
    <row r="4" spans="1:10">
      <c r="A4" s="38" t="s">
        <v>2108</v>
      </c>
      <c r="B4" s="38" t="s">
        <v>2102</v>
      </c>
      <c r="C4" s="38" t="s">
        <v>33</v>
      </c>
      <c r="D4" s="38" t="s">
        <v>2106</v>
      </c>
      <c r="E4" s="38" t="s">
        <v>149</v>
      </c>
      <c r="F4" s="38" t="s">
        <v>2110</v>
      </c>
      <c r="G4" s="477">
        <v>40050</v>
      </c>
      <c r="H4" s="237"/>
      <c r="I4" s="237"/>
      <c r="J4" s="237"/>
    </row>
    <row r="5" spans="1:10">
      <c r="A5" s="38" t="s">
        <v>2108</v>
      </c>
      <c r="B5" s="38" t="s">
        <v>2103</v>
      </c>
      <c r="C5" s="38" t="s">
        <v>33</v>
      </c>
      <c r="D5" s="38" t="s">
        <v>2107</v>
      </c>
      <c r="E5" s="38" t="s">
        <v>149</v>
      </c>
      <c r="F5" s="38" t="s">
        <v>2111</v>
      </c>
      <c r="G5" s="477">
        <v>42184</v>
      </c>
      <c r="H5" s="237"/>
      <c r="I5" s="237"/>
      <c r="J5" s="237"/>
    </row>
    <row r="6" spans="1:10">
      <c r="A6" s="38" t="s">
        <v>2438</v>
      </c>
      <c r="B6" s="237">
        <v>216012</v>
      </c>
      <c r="C6" s="38" t="s">
        <v>2432</v>
      </c>
      <c r="D6" s="38" t="s">
        <v>2441</v>
      </c>
      <c r="E6" s="38" t="s">
        <v>2439</v>
      </c>
      <c r="F6" s="38" t="s">
        <v>2440</v>
      </c>
      <c r="G6" s="477">
        <v>45597</v>
      </c>
      <c r="H6" s="237">
        <v>1000.85</v>
      </c>
      <c r="I6" s="237"/>
      <c r="J6" s="23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>
    <tabColor theme="9" tint="0.59999389629810485"/>
  </sheetPr>
  <dimension ref="A1:L13"/>
  <sheetViews>
    <sheetView workbookViewId="0">
      <selection activeCell="A10" sqref="A10"/>
    </sheetView>
  </sheetViews>
  <sheetFormatPr defaultRowHeight="16.5"/>
  <cols>
    <col min="1" max="1" width="9" style="813"/>
    <col min="2" max="2" width="19.25" style="813" bestFit="1" customWidth="1"/>
    <col min="3" max="3" width="10.25" style="813" bestFit="1" customWidth="1"/>
    <col min="4" max="4" width="11.5" style="813" bestFit="1" customWidth="1"/>
    <col min="5" max="5" width="17.375" style="813" bestFit="1" customWidth="1"/>
    <col min="6" max="6" width="10.5" style="813" customWidth="1"/>
    <col min="7" max="7" width="62.375" style="813" bestFit="1" customWidth="1"/>
    <col min="8" max="8" width="10.25" style="813" customWidth="1"/>
    <col min="9" max="9" width="10.375" style="813" customWidth="1"/>
    <col min="10" max="10" width="19.375" style="813" bestFit="1" customWidth="1"/>
    <col min="11" max="11" width="19.375" style="813" customWidth="1"/>
    <col min="12" max="12" width="29.375" style="813" bestFit="1" customWidth="1"/>
    <col min="13" max="16384" width="9" style="813"/>
  </cols>
  <sheetData>
    <row r="1" spans="1:12" ht="17.25">
      <c r="A1" s="978" t="s">
        <v>2537</v>
      </c>
      <c r="B1" s="978" t="s">
        <v>0</v>
      </c>
      <c r="C1" s="978" t="s">
        <v>1</v>
      </c>
      <c r="D1" s="978" t="s">
        <v>17</v>
      </c>
      <c r="E1" s="978" t="s">
        <v>1862</v>
      </c>
      <c r="F1" s="978" t="s">
        <v>3</v>
      </c>
      <c r="G1" s="978" t="s">
        <v>5</v>
      </c>
      <c r="H1" s="979" t="s">
        <v>18</v>
      </c>
      <c r="I1" s="980" t="s">
        <v>7</v>
      </c>
      <c r="J1" s="981" t="s">
        <v>8</v>
      </c>
      <c r="K1" s="981" t="s">
        <v>9</v>
      </c>
      <c r="L1" s="981" t="s">
        <v>65</v>
      </c>
    </row>
    <row r="2" spans="1:12" s="818" customFormat="1">
      <c r="A2" s="814">
        <v>1</v>
      </c>
      <c r="B2" s="814" t="s">
        <v>2347</v>
      </c>
      <c r="C2" s="814">
        <v>71100</v>
      </c>
      <c r="D2" s="814" t="s">
        <v>33</v>
      </c>
      <c r="E2" s="814" t="s">
        <v>1925</v>
      </c>
      <c r="F2" s="814" t="s">
        <v>31</v>
      </c>
      <c r="G2" s="815" t="s">
        <v>785</v>
      </c>
      <c r="H2" s="814">
        <v>2015.04</v>
      </c>
      <c r="I2" s="816">
        <v>1157.17</v>
      </c>
      <c r="J2" s="817">
        <v>1482576870</v>
      </c>
      <c r="K2" s="817">
        <v>1281203900</v>
      </c>
      <c r="L2" s="814" t="s">
        <v>13</v>
      </c>
    </row>
    <row r="3" spans="1:12" s="818" customFormat="1">
      <c r="A3" s="814">
        <v>2</v>
      </c>
      <c r="B3" s="814" t="s">
        <v>2347</v>
      </c>
      <c r="C3" s="814">
        <v>62201</v>
      </c>
      <c r="D3" s="814" t="s">
        <v>33</v>
      </c>
      <c r="E3" s="814" t="s">
        <v>1924</v>
      </c>
      <c r="F3" s="814" t="s">
        <v>31</v>
      </c>
      <c r="G3" s="815" t="s">
        <v>786</v>
      </c>
      <c r="H3" s="814">
        <v>2007.02</v>
      </c>
      <c r="I3" s="816">
        <v>1166.53</v>
      </c>
      <c r="J3" s="817">
        <v>67388338</v>
      </c>
      <c r="K3" s="817">
        <v>57768427</v>
      </c>
      <c r="L3" s="814" t="s">
        <v>13</v>
      </c>
    </row>
    <row r="4" spans="1:12">
      <c r="A4" s="814">
        <v>3</v>
      </c>
      <c r="B4" s="819" t="s">
        <v>2346</v>
      </c>
      <c r="C4" s="819">
        <v>71000</v>
      </c>
      <c r="D4" s="819" t="s">
        <v>33</v>
      </c>
      <c r="E4" s="982" t="s">
        <v>1925</v>
      </c>
      <c r="F4" s="819" t="s">
        <v>31</v>
      </c>
      <c r="G4" s="820" t="s">
        <v>1477</v>
      </c>
      <c r="H4" s="819">
        <v>2015.02</v>
      </c>
      <c r="I4" s="819"/>
      <c r="J4" s="819"/>
      <c r="K4" s="819"/>
      <c r="L4" s="819"/>
    </row>
    <row r="8" spans="1:12">
      <c r="B8" s="813" t="s">
        <v>2703</v>
      </c>
    </row>
    <row r="9" spans="1:12" ht="17.25">
      <c r="A9" s="977" t="s">
        <v>2778</v>
      </c>
      <c r="B9" s="973" t="s">
        <v>0</v>
      </c>
      <c r="C9" s="973" t="s">
        <v>1</v>
      </c>
      <c r="D9" s="973" t="s">
        <v>17</v>
      </c>
      <c r="E9" s="973" t="s">
        <v>1862</v>
      </c>
      <c r="F9" s="973" t="s">
        <v>3</v>
      </c>
      <c r="G9" s="973" t="s">
        <v>5</v>
      </c>
      <c r="H9" s="974" t="s">
        <v>18</v>
      </c>
      <c r="I9" s="975" t="s">
        <v>7</v>
      </c>
      <c r="J9" s="976" t="s">
        <v>8</v>
      </c>
      <c r="K9" s="976" t="s">
        <v>9</v>
      </c>
      <c r="L9" s="976" t="s">
        <v>65</v>
      </c>
    </row>
    <row r="10" spans="1:12">
      <c r="A10" s="977">
        <v>1</v>
      </c>
      <c r="B10" s="819" t="s">
        <v>2346</v>
      </c>
      <c r="C10" s="819">
        <v>71300</v>
      </c>
      <c r="D10" s="819" t="s">
        <v>33</v>
      </c>
      <c r="E10" s="819"/>
      <c r="F10" s="819" t="s">
        <v>31</v>
      </c>
      <c r="G10" s="820" t="s">
        <v>787</v>
      </c>
      <c r="H10" s="819">
        <v>2015.04</v>
      </c>
      <c r="I10" s="819"/>
      <c r="J10" s="819"/>
      <c r="K10" s="819"/>
      <c r="L10" s="819"/>
    </row>
    <row r="12" spans="1:12">
      <c r="A12" s="813" t="s">
        <v>2947</v>
      </c>
    </row>
    <row r="13" spans="1:12">
      <c r="A13" s="814">
        <v>3</v>
      </c>
      <c r="B13" s="819" t="s">
        <v>2346</v>
      </c>
      <c r="C13" s="819">
        <v>63110</v>
      </c>
      <c r="D13" s="819" t="s">
        <v>33</v>
      </c>
      <c r="E13" s="982" t="s">
        <v>2704</v>
      </c>
      <c r="F13" s="819" t="s">
        <v>30</v>
      </c>
      <c r="G13" s="820" t="s">
        <v>784</v>
      </c>
      <c r="H13" s="819">
        <v>2011.01</v>
      </c>
      <c r="I13" s="821">
        <v>273.67</v>
      </c>
      <c r="J13" s="822">
        <v>905000000</v>
      </c>
      <c r="K13" s="822">
        <v>33069000000</v>
      </c>
      <c r="L13" s="819" t="s">
        <v>32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59999389629810485"/>
  </sheetPr>
  <dimension ref="A1:O9"/>
  <sheetViews>
    <sheetView workbookViewId="0">
      <selection activeCell="J19" sqref="J19"/>
    </sheetView>
  </sheetViews>
  <sheetFormatPr defaultRowHeight="16.5"/>
  <cols>
    <col min="1" max="1" width="13.25" bestFit="1" customWidth="1"/>
    <col min="2" max="2" width="13.25" customWidth="1"/>
    <col min="3" max="3" width="12.5" bestFit="1" customWidth="1"/>
    <col min="5" max="5" width="11" bestFit="1" customWidth="1"/>
    <col min="6" max="6" width="15.875" bestFit="1" customWidth="1"/>
    <col min="7" max="7" width="11" customWidth="1"/>
    <col min="8" max="9" width="15.125" bestFit="1" customWidth="1"/>
    <col min="10" max="10" width="58.75" bestFit="1" customWidth="1"/>
    <col min="11" max="11" width="11" bestFit="1" customWidth="1"/>
    <col min="12" max="12" width="11.125" bestFit="1" customWidth="1"/>
    <col min="13" max="14" width="19.125" bestFit="1" customWidth="1"/>
    <col min="15" max="15" width="15.5" customWidth="1"/>
  </cols>
  <sheetData>
    <row r="1" spans="1:15">
      <c r="A1" s="983" t="s">
        <v>2537</v>
      </c>
      <c r="B1" s="983" t="s">
        <v>2536</v>
      </c>
      <c r="C1" s="983" t="s">
        <v>0</v>
      </c>
      <c r="D1" s="983" t="s">
        <v>1</v>
      </c>
      <c r="E1" s="983" t="s">
        <v>17</v>
      </c>
      <c r="F1" s="983" t="s">
        <v>1826</v>
      </c>
      <c r="G1" s="983" t="s">
        <v>3</v>
      </c>
      <c r="H1" s="983" t="s">
        <v>317</v>
      </c>
      <c r="I1" s="983" t="s">
        <v>4</v>
      </c>
      <c r="J1" s="983" t="s">
        <v>1325</v>
      </c>
      <c r="K1" s="984" t="s">
        <v>1553</v>
      </c>
      <c r="L1" s="985" t="s">
        <v>7</v>
      </c>
      <c r="M1" s="986" t="s">
        <v>8</v>
      </c>
      <c r="N1" s="986" t="s">
        <v>9</v>
      </c>
      <c r="O1" s="986" t="s">
        <v>316</v>
      </c>
    </row>
    <row r="2" spans="1:15">
      <c r="A2" s="193">
        <v>1</v>
      </c>
      <c r="B2" s="193" t="s">
        <v>2538</v>
      </c>
      <c r="C2" s="484" t="s">
        <v>2539</v>
      </c>
      <c r="D2" s="484">
        <v>80062</v>
      </c>
      <c r="E2" s="484" t="s">
        <v>19</v>
      </c>
      <c r="F2" s="61"/>
      <c r="G2" s="484" t="s">
        <v>27</v>
      </c>
      <c r="H2" s="61" t="s">
        <v>2540</v>
      </c>
      <c r="I2" s="484" t="s">
        <v>2541</v>
      </c>
      <c r="J2" s="487" t="s">
        <v>2542</v>
      </c>
      <c r="K2" s="484"/>
      <c r="L2" s="488">
        <v>1070</v>
      </c>
      <c r="M2" s="489"/>
      <c r="N2" s="489"/>
      <c r="O2" s="484"/>
    </row>
    <row r="3" spans="1:15">
      <c r="A3" s="193">
        <v>2</v>
      </c>
      <c r="B3" s="193" t="s">
        <v>2538</v>
      </c>
      <c r="C3" s="484" t="s">
        <v>2539</v>
      </c>
      <c r="D3" s="484">
        <v>83647</v>
      </c>
      <c r="E3" s="484" t="s">
        <v>19</v>
      </c>
      <c r="F3" s="61"/>
      <c r="G3" s="484" t="s">
        <v>29</v>
      </c>
      <c r="H3" s="61" t="s">
        <v>2540</v>
      </c>
      <c r="I3" s="484" t="s">
        <v>2541</v>
      </c>
      <c r="J3" s="487" t="s">
        <v>2785</v>
      </c>
      <c r="K3" s="484"/>
      <c r="L3" s="488"/>
      <c r="M3" s="489"/>
      <c r="N3" s="489"/>
    </row>
    <row r="4" spans="1:15">
      <c r="A4" s="193">
        <v>3</v>
      </c>
      <c r="B4" s="193" t="s">
        <v>2538</v>
      </c>
      <c r="C4" s="484" t="s">
        <v>2539</v>
      </c>
      <c r="D4" s="484">
        <v>83659</v>
      </c>
      <c r="E4" s="484" t="s">
        <v>3012</v>
      </c>
      <c r="F4" s="61"/>
      <c r="G4" s="484" t="s">
        <v>27</v>
      </c>
      <c r="H4" s="61"/>
      <c r="I4" s="484" t="s">
        <v>3013</v>
      </c>
      <c r="J4" s="487" t="s">
        <v>3014</v>
      </c>
      <c r="K4" s="484"/>
      <c r="L4" s="488"/>
      <c r="M4" s="489"/>
      <c r="N4" s="489"/>
    </row>
    <row r="5" spans="1:15">
      <c r="A5" s="193"/>
      <c r="B5" s="193" t="s">
        <v>2538</v>
      </c>
      <c r="C5" s="484" t="s">
        <v>2539</v>
      </c>
      <c r="D5" s="484">
        <v>83662</v>
      </c>
      <c r="E5" s="484" t="s">
        <v>19</v>
      </c>
      <c r="F5" s="61"/>
      <c r="G5" s="484" t="s">
        <v>27</v>
      </c>
      <c r="H5" s="61"/>
      <c r="I5" s="484" t="s">
        <v>3013</v>
      </c>
      <c r="J5" s="487" t="s">
        <v>3057</v>
      </c>
      <c r="K5" s="484"/>
      <c r="L5" s="488"/>
      <c r="M5" s="489"/>
      <c r="N5" s="489"/>
    </row>
    <row r="6" spans="1:15">
      <c r="A6" s="193">
        <v>4</v>
      </c>
      <c r="B6" s="193" t="s">
        <v>10</v>
      </c>
      <c r="C6" s="484" t="s">
        <v>2539</v>
      </c>
      <c r="D6" s="484">
        <v>79832</v>
      </c>
      <c r="E6" s="484" t="s">
        <v>19</v>
      </c>
      <c r="F6" s="61" t="s">
        <v>2795</v>
      </c>
      <c r="G6" s="484" t="s">
        <v>2793</v>
      </c>
      <c r="H6" s="61" t="s">
        <v>2540</v>
      </c>
      <c r="I6" s="484" t="s">
        <v>2541</v>
      </c>
      <c r="J6" s="487" t="s">
        <v>2791</v>
      </c>
      <c r="K6" s="484">
        <v>2021.04</v>
      </c>
      <c r="L6" s="488"/>
      <c r="M6" s="489"/>
      <c r="N6" s="489"/>
    </row>
    <row r="7" spans="1:15">
      <c r="A7" s="193">
        <v>5</v>
      </c>
      <c r="B7" s="193" t="s">
        <v>10</v>
      </c>
      <c r="C7" s="484" t="s">
        <v>2539</v>
      </c>
      <c r="D7" s="484">
        <v>79831</v>
      </c>
      <c r="E7" s="484" t="s">
        <v>19</v>
      </c>
      <c r="F7" s="61" t="s">
        <v>2794</v>
      </c>
      <c r="G7" s="484" t="s">
        <v>2793</v>
      </c>
      <c r="H7" s="61" t="s">
        <v>2540</v>
      </c>
      <c r="I7" s="484" t="s">
        <v>2541</v>
      </c>
      <c r="J7" s="487" t="s">
        <v>2792</v>
      </c>
      <c r="K7" s="484">
        <v>2021.04</v>
      </c>
      <c r="L7" s="488"/>
      <c r="M7" s="489"/>
      <c r="N7" s="489"/>
    </row>
    <row r="8" spans="1:15" ht="15.75" customHeight="1">
      <c r="A8" s="193">
        <v>6</v>
      </c>
      <c r="B8" s="193" t="s">
        <v>10</v>
      </c>
      <c r="C8" s="484" t="s">
        <v>2539</v>
      </c>
      <c r="D8" s="484">
        <v>83652</v>
      </c>
      <c r="E8" s="484" t="s">
        <v>19</v>
      </c>
      <c r="F8" s="61" t="s">
        <v>2890</v>
      </c>
      <c r="G8" s="484" t="s">
        <v>2869</v>
      </c>
      <c r="H8" s="61" t="s">
        <v>2540</v>
      </c>
      <c r="I8" s="484" t="s">
        <v>2541</v>
      </c>
      <c r="J8" s="487" t="s">
        <v>2868</v>
      </c>
      <c r="K8" s="484">
        <v>2025.09</v>
      </c>
      <c r="L8" s="488"/>
      <c r="M8" s="489"/>
      <c r="N8" s="489"/>
    </row>
    <row r="9" spans="1:15" ht="15.75" customHeight="1">
      <c r="A9" s="193">
        <v>7</v>
      </c>
      <c r="B9" s="193" t="s">
        <v>10</v>
      </c>
      <c r="C9" s="484" t="s">
        <v>2539</v>
      </c>
      <c r="D9" s="484">
        <v>79480</v>
      </c>
      <c r="E9" s="484" t="s">
        <v>33</v>
      </c>
      <c r="F9" s="61" t="s">
        <v>2896</v>
      </c>
      <c r="G9" s="484" t="s">
        <v>149</v>
      </c>
      <c r="H9" s="61" t="s">
        <v>2540</v>
      </c>
      <c r="I9" s="484" t="s">
        <v>2541</v>
      </c>
      <c r="J9" s="487" t="s">
        <v>2897</v>
      </c>
      <c r="K9" s="484">
        <v>2019.01</v>
      </c>
      <c r="L9" s="488"/>
      <c r="M9" s="489"/>
      <c r="N9" s="48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>
    <tabColor theme="9" tint="0.59999389629810485"/>
  </sheetPr>
  <dimension ref="B1:L26"/>
  <sheetViews>
    <sheetView workbookViewId="0">
      <selection activeCell="F14" sqref="F14"/>
    </sheetView>
  </sheetViews>
  <sheetFormatPr defaultRowHeight="16.5"/>
  <cols>
    <col min="2" max="2" width="12.25" customWidth="1"/>
    <col min="3" max="3" width="10.125" customWidth="1"/>
    <col min="4" max="4" width="11.5" bestFit="1" customWidth="1"/>
    <col min="5" max="5" width="17.25" bestFit="1" customWidth="1"/>
    <col min="6" max="6" width="9.5" bestFit="1" customWidth="1"/>
    <col min="7" max="7" width="12.875" customWidth="1"/>
    <col min="8" max="8" width="64.875" bestFit="1" customWidth="1"/>
    <col min="9" max="10" width="11.625" bestFit="1" customWidth="1"/>
    <col min="11" max="12" width="19.375" bestFit="1" customWidth="1"/>
  </cols>
  <sheetData>
    <row r="1" spans="2:12">
      <c r="B1" s="988" t="s">
        <v>0</v>
      </c>
      <c r="C1" s="988" t="s">
        <v>1</v>
      </c>
      <c r="D1" s="988" t="s">
        <v>17</v>
      </c>
      <c r="E1" s="988" t="s">
        <v>1826</v>
      </c>
      <c r="F1" s="988" t="s">
        <v>3</v>
      </c>
      <c r="G1" s="988" t="s">
        <v>2603</v>
      </c>
      <c r="H1" s="988" t="s">
        <v>879</v>
      </c>
      <c r="I1" s="988" t="s">
        <v>2604</v>
      </c>
      <c r="J1" s="989" t="s">
        <v>7</v>
      </c>
      <c r="K1" s="990" t="s">
        <v>2605</v>
      </c>
      <c r="L1" s="991" t="s">
        <v>9</v>
      </c>
    </row>
    <row r="2" spans="2:12" s="366" customFormat="1">
      <c r="B2" s="519" t="s">
        <v>113</v>
      </c>
      <c r="C2" s="519">
        <v>402012</v>
      </c>
      <c r="D2" s="519" t="s">
        <v>19</v>
      </c>
      <c r="E2" s="49" t="s">
        <v>1984</v>
      </c>
      <c r="F2" s="519" t="s">
        <v>84</v>
      </c>
      <c r="G2" s="823" t="s">
        <v>1589</v>
      </c>
      <c r="H2" s="823" t="s">
        <v>124</v>
      </c>
      <c r="I2" s="824">
        <v>41547</v>
      </c>
      <c r="J2" s="825">
        <v>1001.81</v>
      </c>
      <c r="K2" s="525">
        <v>61261351841</v>
      </c>
      <c r="L2" s="525">
        <v>61150500595</v>
      </c>
    </row>
    <row r="3" spans="2:12" s="366" customFormat="1">
      <c r="B3" s="519" t="s">
        <v>113</v>
      </c>
      <c r="C3" s="519">
        <v>402023</v>
      </c>
      <c r="D3" s="519" t="s">
        <v>19</v>
      </c>
      <c r="E3" s="49" t="s">
        <v>1985</v>
      </c>
      <c r="F3" s="519" t="s">
        <v>125</v>
      </c>
      <c r="G3" s="823" t="s">
        <v>1774</v>
      </c>
      <c r="H3" s="826" t="s">
        <v>1623</v>
      </c>
      <c r="I3" s="824">
        <v>42391</v>
      </c>
      <c r="J3" s="825">
        <v>945.85</v>
      </c>
      <c r="K3" s="525">
        <v>19929777304</v>
      </c>
      <c r="L3" s="525">
        <v>21070684472</v>
      </c>
    </row>
    <row r="4" spans="2:12" s="366" customFormat="1">
      <c r="B4" s="519" t="s">
        <v>113</v>
      </c>
      <c r="C4" s="519">
        <v>402036</v>
      </c>
      <c r="D4" s="519" t="s">
        <v>19</v>
      </c>
      <c r="E4" s="49" t="s">
        <v>1986</v>
      </c>
      <c r="F4" s="824" t="s">
        <v>125</v>
      </c>
      <c r="G4" s="823" t="s">
        <v>2780</v>
      </c>
      <c r="H4" s="827" t="s">
        <v>1624</v>
      </c>
      <c r="I4" s="824">
        <v>43073</v>
      </c>
      <c r="J4" s="825">
        <v>1029.83</v>
      </c>
      <c r="K4" s="525">
        <v>38803706567</v>
      </c>
      <c r="L4" s="525">
        <v>33600000000</v>
      </c>
    </row>
    <row r="5" spans="2:12" s="366" customFormat="1">
      <c r="B5" s="519" t="s">
        <v>113</v>
      </c>
      <c r="C5" s="519">
        <v>402037</v>
      </c>
      <c r="D5" s="519" t="s">
        <v>19</v>
      </c>
      <c r="E5" s="49" t="s">
        <v>1987</v>
      </c>
      <c r="F5" s="824" t="s">
        <v>125</v>
      </c>
      <c r="G5" s="823" t="s">
        <v>2780</v>
      </c>
      <c r="H5" s="827" t="s">
        <v>1625</v>
      </c>
      <c r="I5" s="824">
        <v>43073</v>
      </c>
      <c r="J5" s="825">
        <v>974.08</v>
      </c>
      <c r="K5" s="525">
        <v>7407511985</v>
      </c>
      <c r="L5" s="525">
        <v>6000000000</v>
      </c>
    </row>
    <row r="6" spans="2:12" s="41" customFormat="1">
      <c r="B6" s="43" t="s">
        <v>113</v>
      </c>
      <c r="C6" s="225">
        <v>402054</v>
      </c>
      <c r="D6" s="225" t="s">
        <v>19</v>
      </c>
      <c r="E6" s="987" t="s">
        <v>2602</v>
      </c>
      <c r="F6" s="225" t="s">
        <v>125</v>
      </c>
      <c r="G6" s="538" t="s">
        <v>123</v>
      </c>
      <c r="H6" s="542" t="s">
        <v>130</v>
      </c>
      <c r="I6" s="46">
        <v>2019.01</v>
      </c>
      <c r="J6" s="45" t="s">
        <v>21</v>
      </c>
      <c r="K6" s="44" t="s">
        <v>21</v>
      </c>
      <c r="L6" s="44" t="s">
        <v>21</v>
      </c>
    </row>
    <row r="7" spans="2:12" s="366" customFormat="1">
      <c r="B7" s="519" t="s">
        <v>113</v>
      </c>
      <c r="C7" s="520">
        <v>402033</v>
      </c>
      <c r="D7" s="520" t="s">
        <v>19</v>
      </c>
      <c r="E7" s="49" t="s">
        <v>1988</v>
      </c>
      <c r="F7" s="520" t="s">
        <v>808</v>
      </c>
      <c r="G7" s="823" t="s">
        <v>123</v>
      </c>
      <c r="H7" s="827" t="s">
        <v>1626</v>
      </c>
      <c r="I7" s="523" t="s">
        <v>1590</v>
      </c>
      <c r="J7" s="524">
        <v>790.55</v>
      </c>
      <c r="K7" s="525">
        <v>15152637033</v>
      </c>
      <c r="L7" s="525">
        <v>20300000000</v>
      </c>
    </row>
    <row r="8" spans="2:12" s="41" customFormat="1">
      <c r="B8" s="43" t="s">
        <v>113</v>
      </c>
      <c r="C8" s="225">
        <v>161130</v>
      </c>
      <c r="D8" s="225" t="s">
        <v>815</v>
      </c>
      <c r="E8" s="49" t="s">
        <v>1989</v>
      </c>
      <c r="F8" s="225" t="s">
        <v>27</v>
      </c>
      <c r="G8" s="538"/>
      <c r="H8" s="542" t="s">
        <v>1307</v>
      </c>
      <c r="I8" s="46">
        <v>2020.09</v>
      </c>
      <c r="J8" s="45">
        <v>1174.93</v>
      </c>
      <c r="K8" s="44">
        <v>3572000000</v>
      </c>
      <c r="L8" s="44">
        <v>3111000000</v>
      </c>
    </row>
    <row r="9" spans="2:12" s="366" customFormat="1" ht="18" customHeight="1">
      <c r="B9" s="519" t="s">
        <v>113</v>
      </c>
      <c r="C9" s="520">
        <v>402021</v>
      </c>
      <c r="D9" s="520" t="s">
        <v>19</v>
      </c>
      <c r="E9" s="49" t="s">
        <v>1990</v>
      </c>
      <c r="F9" s="520" t="s">
        <v>1390</v>
      </c>
      <c r="G9" s="823" t="s">
        <v>2780</v>
      </c>
      <c r="H9" s="827" t="s">
        <v>1627</v>
      </c>
      <c r="I9" s="824">
        <v>42244</v>
      </c>
      <c r="J9" s="524">
        <v>938.34</v>
      </c>
      <c r="K9" s="525">
        <v>32051195969</v>
      </c>
      <c r="L9" s="525">
        <v>102200000000</v>
      </c>
    </row>
    <row r="10" spans="2:12" s="366" customFormat="1">
      <c r="B10" s="519" t="s">
        <v>113</v>
      </c>
      <c r="C10" s="520">
        <v>302033</v>
      </c>
      <c r="D10" s="520" t="s">
        <v>19</v>
      </c>
      <c r="E10" s="49" t="s">
        <v>1991</v>
      </c>
      <c r="F10" s="520" t="s">
        <v>1506</v>
      </c>
      <c r="G10" s="823" t="s">
        <v>1774</v>
      </c>
      <c r="H10" s="827" t="s">
        <v>1628</v>
      </c>
      <c r="I10" s="824">
        <v>42535</v>
      </c>
      <c r="J10" s="524">
        <v>949.46</v>
      </c>
      <c r="K10" s="525">
        <v>66893207958</v>
      </c>
      <c r="L10" s="525">
        <v>70453590194</v>
      </c>
    </row>
    <row r="11" spans="2:12">
      <c r="B11" s="519" t="s">
        <v>113</v>
      </c>
      <c r="C11" s="519">
        <v>162017</v>
      </c>
      <c r="D11" s="519" t="s">
        <v>19</v>
      </c>
      <c r="E11" s="49" t="s">
        <v>1982</v>
      </c>
      <c r="F11" s="519" t="s">
        <v>84</v>
      </c>
      <c r="G11" s="823" t="s">
        <v>114</v>
      </c>
      <c r="H11" s="826" t="s">
        <v>117</v>
      </c>
      <c r="I11" s="824">
        <v>40470</v>
      </c>
      <c r="J11" s="825">
        <v>876.95</v>
      </c>
      <c r="K11" s="525">
        <v>43659015</v>
      </c>
      <c r="L11" s="525">
        <v>307288523</v>
      </c>
    </row>
    <row r="12" spans="2:12">
      <c r="B12" s="519" t="s">
        <v>113</v>
      </c>
      <c r="C12" s="519">
        <v>162023</v>
      </c>
      <c r="D12" s="519" t="s">
        <v>19</v>
      </c>
      <c r="E12" s="49" t="s">
        <v>1983</v>
      </c>
      <c r="F12" s="824" t="s">
        <v>83</v>
      </c>
      <c r="G12" s="823" t="s">
        <v>114</v>
      </c>
      <c r="H12" s="827" t="s">
        <v>119</v>
      </c>
      <c r="I12" s="824">
        <v>40519</v>
      </c>
      <c r="J12" s="825">
        <v>681.58</v>
      </c>
      <c r="K12" s="525">
        <v>163102602</v>
      </c>
      <c r="L12" s="525">
        <v>24496205779</v>
      </c>
    </row>
    <row r="17" spans="2:12" s="41" customFormat="1">
      <c r="B17" s="829" t="s">
        <v>113</v>
      </c>
      <c r="C17" s="829">
        <v>162013</v>
      </c>
      <c r="D17" s="829" t="s">
        <v>19</v>
      </c>
      <c r="E17" s="829" t="s">
        <v>1883</v>
      </c>
      <c r="F17" s="829" t="s">
        <v>84</v>
      </c>
      <c r="G17" s="830" t="s">
        <v>114</v>
      </c>
      <c r="H17" s="830" t="s">
        <v>115</v>
      </c>
      <c r="I17" s="831">
        <v>40451</v>
      </c>
      <c r="J17" s="832">
        <v>1472.69</v>
      </c>
      <c r="K17" s="822">
        <v>173886920</v>
      </c>
      <c r="L17" s="822">
        <v>118073978</v>
      </c>
    </row>
    <row r="18" spans="2:12" s="41" customFormat="1">
      <c r="B18" s="829" t="s">
        <v>113</v>
      </c>
      <c r="C18" s="829">
        <v>162014</v>
      </c>
      <c r="D18" s="829" t="s">
        <v>19</v>
      </c>
      <c r="E18" s="828" t="s">
        <v>1883</v>
      </c>
      <c r="F18" s="829" t="s">
        <v>84</v>
      </c>
      <c r="G18" s="830" t="s">
        <v>114</v>
      </c>
      <c r="H18" s="830" t="s">
        <v>116</v>
      </c>
      <c r="I18" s="831">
        <v>40458</v>
      </c>
      <c r="J18" s="832">
        <v>1391.61</v>
      </c>
      <c r="K18" s="822">
        <v>47409571</v>
      </c>
      <c r="L18" s="822">
        <v>34068064</v>
      </c>
    </row>
    <row r="19" spans="2:12" s="41" customFormat="1">
      <c r="B19" s="829" t="s">
        <v>113</v>
      </c>
      <c r="C19" s="829">
        <v>162021</v>
      </c>
      <c r="D19" s="829" t="s">
        <v>19</v>
      </c>
      <c r="E19" s="828" t="s">
        <v>1883</v>
      </c>
      <c r="F19" s="833" t="s">
        <v>84</v>
      </c>
      <c r="G19" s="830" t="s">
        <v>114</v>
      </c>
      <c r="H19" s="834" t="s">
        <v>118</v>
      </c>
      <c r="I19" s="831">
        <v>40493</v>
      </c>
      <c r="J19" s="832">
        <v>1347.13</v>
      </c>
      <c r="K19" s="822">
        <v>391488368</v>
      </c>
      <c r="L19" s="822">
        <v>290609790</v>
      </c>
    </row>
    <row r="20" spans="2:12" s="41" customFormat="1">
      <c r="B20" s="829" t="s">
        <v>113</v>
      </c>
      <c r="C20" s="829">
        <v>162026</v>
      </c>
      <c r="D20" s="829" t="s">
        <v>19</v>
      </c>
      <c r="E20" s="828" t="s">
        <v>1883</v>
      </c>
      <c r="F20" s="833" t="s">
        <v>83</v>
      </c>
      <c r="G20" s="830" t="s">
        <v>114</v>
      </c>
      <c r="H20" s="834" t="s">
        <v>120</v>
      </c>
      <c r="I20" s="831">
        <v>40624</v>
      </c>
      <c r="J20" s="832">
        <v>1216.51</v>
      </c>
      <c r="K20" s="822">
        <v>307977451</v>
      </c>
      <c r="L20" s="822">
        <v>253165440</v>
      </c>
    </row>
    <row r="21" spans="2:12" s="41" customFormat="1">
      <c r="B21" s="829" t="s">
        <v>113</v>
      </c>
      <c r="C21" s="829">
        <v>302012</v>
      </c>
      <c r="D21" s="829" t="s">
        <v>19</v>
      </c>
      <c r="E21" s="828" t="s">
        <v>1883</v>
      </c>
      <c r="F21" s="829" t="s">
        <v>84</v>
      </c>
      <c r="G21" s="830" t="s">
        <v>121</v>
      </c>
      <c r="H21" s="835" t="s">
        <v>122</v>
      </c>
      <c r="I21" s="831">
        <v>41260</v>
      </c>
      <c r="J21" s="832">
        <v>963.02</v>
      </c>
      <c r="K21" s="822">
        <v>5706</v>
      </c>
      <c r="L21" s="822">
        <v>5925</v>
      </c>
    </row>
    <row r="22" spans="2:12" s="41" customFormat="1">
      <c r="B22" s="829" t="s">
        <v>113</v>
      </c>
      <c r="C22" s="829">
        <v>402029</v>
      </c>
      <c r="D22" s="829" t="s">
        <v>19</v>
      </c>
      <c r="E22" s="828" t="s">
        <v>1883</v>
      </c>
      <c r="F22" s="833" t="s">
        <v>125</v>
      </c>
      <c r="G22" s="830" t="s">
        <v>123</v>
      </c>
      <c r="H22" s="834" t="s">
        <v>126</v>
      </c>
      <c r="I22" s="831">
        <v>42811</v>
      </c>
      <c r="J22" s="832">
        <v>975.41</v>
      </c>
      <c r="K22" s="822">
        <v>1238000000</v>
      </c>
      <c r="L22" s="822">
        <v>1269000000</v>
      </c>
    </row>
    <row r="23" spans="2:12" s="41" customFormat="1">
      <c r="B23" s="829" t="s">
        <v>113</v>
      </c>
      <c r="C23" s="829">
        <v>402046</v>
      </c>
      <c r="D23" s="829" t="s">
        <v>19</v>
      </c>
      <c r="E23" s="828" t="s">
        <v>1883</v>
      </c>
      <c r="F23" s="833" t="s">
        <v>125</v>
      </c>
      <c r="G23" s="830" t="s">
        <v>123</v>
      </c>
      <c r="H23" s="834" t="s">
        <v>127</v>
      </c>
      <c r="I23" s="831">
        <v>43278</v>
      </c>
      <c r="J23" s="832">
        <v>998.87</v>
      </c>
      <c r="K23" s="822">
        <v>21790972613</v>
      </c>
      <c r="L23" s="822">
        <v>21815590879</v>
      </c>
    </row>
    <row r="24" spans="2:12" s="41" customFormat="1">
      <c r="B24" s="829" t="s">
        <v>113</v>
      </c>
      <c r="C24" s="829">
        <v>402028</v>
      </c>
      <c r="D24" s="829" t="s">
        <v>19</v>
      </c>
      <c r="E24" s="828" t="s">
        <v>1883</v>
      </c>
      <c r="F24" s="833" t="s">
        <v>125</v>
      </c>
      <c r="G24" s="830" t="s">
        <v>123</v>
      </c>
      <c r="H24" s="834" t="s">
        <v>128</v>
      </c>
      <c r="I24" s="836">
        <v>2017.03</v>
      </c>
      <c r="J24" s="837" t="s">
        <v>21</v>
      </c>
      <c r="K24" s="822" t="s">
        <v>21</v>
      </c>
      <c r="L24" s="822" t="s">
        <v>21</v>
      </c>
    </row>
    <row r="25" spans="2:12" s="41" customFormat="1">
      <c r="B25" s="829" t="s">
        <v>113</v>
      </c>
      <c r="C25" s="838">
        <v>402035</v>
      </c>
      <c r="D25" s="838" t="s">
        <v>19</v>
      </c>
      <c r="E25" s="828" t="s">
        <v>1883</v>
      </c>
      <c r="F25" s="838" t="s">
        <v>125</v>
      </c>
      <c r="G25" s="830" t="s">
        <v>123</v>
      </c>
      <c r="H25" s="835" t="s">
        <v>129</v>
      </c>
      <c r="I25" s="836">
        <v>2017.11</v>
      </c>
      <c r="J25" s="837" t="s">
        <v>21</v>
      </c>
      <c r="K25" s="822" t="s">
        <v>21</v>
      </c>
      <c r="L25" s="822" t="s">
        <v>21</v>
      </c>
    </row>
    <row r="26" spans="2:12" s="41" customFormat="1">
      <c r="B26" s="829" t="s">
        <v>113</v>
      </c>
      <c r="C26" s="838">
        <v>402026</v>
      </c>
      <c r="D26" s="838" t="s">
        <v>19</v>
      </c>
      <c r="E26" s="828" t="s">
        <v>1883</v>
      </c>
      <c r="F26" s="838" t="s">
        <v>1389</v>
      </c>
      <c r="G26" s="830" t="s">
        <v>1388</v>
      </c>
      <c r="H26" s="834" t="s">
        <v>1394</v>
      </c>
      <c r="I26" s="831">
        <v>42703</v>
      </c>
      <c r="J26" s="837">
        <v>976.8</v>
      </c>
      <c r="K26" s="822">
        <v>54302557410</v>
      </c>
      <c r="L26" s="822">
        <v>72900000000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0">
    <tabColor theme="9" tint="0.59999389629810485"/>
  </sheetPr>
  <dimension ref="A1:L48"/>
  <sheetViews>
    <sheetView workbookViewId="0">
      <selection activeCell="G11" sqref="G11"/>
    </sheetView>
  </sheetViews>
  <sheetFormatPr defaultRowHeight="16.5"/>
  <cols>
    <col min="1" max="1" width="9" style="368"/>
    <col min="2" max="2" width="9.5" style="368" bestFit="1" customWidth="1"/>
    <col min="3" max="3" width="13.875" style="368" bestFit="1" customWidth="1"/>
    <col min="4" max="4" width="11.5" style="368" bestFit="1" customWidth="1"/>
    <col min="5" max="5" width="17.375" style="368" bestFit="1" customWidth="1"/>
    <col min="6" max="6" width="9.5" style="368" bestFit="1" customWidth="1"/>
    <col min="7" max="7" width="66.75" style="368" customWidth="1"/>
    <col min="8" max="8" width="11.625" style="368" bestFit="1" customWidth="1"/>
    <col min="9" max="9" width="14.375" style="368" bestFit="1" customWidth="1"/>
    <col min="10" max="11" width="22" style="368" bestFit="1" customWidth="1"/>
    <col min="12" max="12" width="29.375" style="368" bestFit="1" customWidth="1"/>
    <col min="13" max="16384" width="9" style="368"/>
  </cols>
  <sheetData>
    <row r="1" spans="1:12">
      <c r="A1" s="983" t="s">
        <v>2699</v>
      </c>
      <c r="B1" s="983" t="s">
        <v>0</v>
      </c>
      <c r="C1" s="983" t="s">
        <v>1</v>
      </c>
      <c r="D1" s="983" t="s">
        <v>17</v>
      </c>
      <c r="E1" s="983" t="s">
        <v>1862</v>
      </c>
      <c r="F1" s="983" t="s">
        <v>3</v>
      </c>
      <c r="G1" s="983" t="s">
        <v>5</v>
      </c>
      <c r="H1" s="984" t="s">
        <v>18</v>
      </c>
      <c r="I1" s="985" t="s">
        <v>7</v>
      </c>
      <c r="J1" s="986" t="s">
        <v>8</v>
      </c>
      <c r="K1" s="986" t="s">
        <v>9</v>
      </c>
      <c r="L1" s="986" t="s">
        <v>65</v>
      </c>
    </row>
    <row r="2" spans="1:12" s="359" customFormat="1">
      <c r="A2" s="839">
        <v>1</v>
      </c>
      <c r="B2" s="365" t="s">
        <v>79</v>
      </c>
      <c r="C2" s="365">
        <v>66301</v>
      </c>
      <c r="D2" s="365" t="s">
        <v>42</v>
      </c>
      <c r="E2" s="365" t="s">
        <v>1996</v>
      </c>
      <c r="F2" s="365" t="s">
        <v>23</v>
      </c>
      <c r="G2" s="845" t="s">
        <v>1453</v>
      </c>
      <c r="H2" s="841">
        <v>2017.04</v>
      </c>
      <c r="I2" s="842">
        <v>1075.92</v>
      </c>
      <c r="J2" s="843">
        <v>152166576107</v>
      </c>
      <c r="K2" s="843">
        <v>141429299991</v>
      </c>
      <c r="L2" s="843" t="s">
        <v>13</v>
      </c>
    </row>
    <row r="3" spans="1:12" s="359" customFormat="1">
      <c r="A3" s="839">
        <v>2</v>
      </c>
      <c r="B3" s="365" t="s">
        <v>79</v>
      </c>
      <c r="C3" s="365">
        <v>66391</v>
      </c>
      <c r="D3" s="839" t="s">
        <v>42</v>
      </c>
      <c r="E3" s="365" t="s">
        <v>2613</v>
      </c>
      <c r="F3" s="839" t="s">
        <v>23</v>
      </c>
      <c r="G3" s="844" t="s">
        <v>1455</v>
      </c>
      <c r="H3" s="841">
        <v>2019.01</v>
      </c>
      <c r="I3" s="842">
        <v>914.54</v>
      </c>
      <c r="J3" s="843">
        <v>13693426039</v>
      </c>
      <c r="K3" s="843">
        <v>14973072743</v>
      </c>
      <c r="L3" s="843" t="s">
        <v>32</v>
      </c>
    </row>
    <row r="4" spans="1:12" s="359" customFormat="1">
      <c r="A4" s="839">
        <v>3</v>
      </c>
      <c r="B4" s="365" t="s">
        <v>79</v>
      </c>
      <c r="C4" s="365">
        <v>28033</v>
      </c>
      <c r="D4" s="365" t="s">
        <v>42</v>
      </c>
      <c r="E4" s="365" t="s">
        <v>2610</v>
      </c>
      <c r="F4" s="839" t="s">
        <v>28</v>
      </c>
      <c r="G4" s="840" t="s">
        <v>1467</v>
      </c>
      <c r="H4" s="841">
        <v>2018.09</v>
      </c>
      <c r="I4" s="842">
        <v>1061.06</v>
      </c>
      <c r="J4" s="843">
        <v>17975619818</v>
      </c>
      <c r="K4" s="843">
        <v>16941201076</v>
      </c>
      <c r="L4" s="843" t="s">
        <v>13</v>
      </c>
    </row>
    <row r="5" spans="1:12" s="359" customFormat="1">
      <c r="A5" s="839">
        <v>4</v>
      </c>
      <c r="B5" s="365" t="s">
        <v>79</v>
      </c>
      <c r="C5" s="365">
        <v>28024</v>
      </c>
      <c r="D5" s="365" t="s">
        <v>42</v>
      </c>
      <c r="E5" s="365" t="s">
        <v>1997</v>
      </c>
      <c r="F5" s="839" t="s">
        <v>23</v>
      </c>
      <c r="G5" s="840" t="s">
        <v>1468</v>
      </c>
      <c r="H5" s="841">
        <v>2017.02</v>
      </c>
      <c r="I5" s="842">
        <v>1002.99</v>
      </c>
      <c r="J5" s="843">
        <v>307398417877</v>
      </c>
      <c r="K5" s="843">
        <v>306483302921</v>
      </c>
      <c r="L5" s="843" t="s">
        <v>13</v>
      </c>
    </row>
    <row r="6" spans="1:12">
      <c r="A6" s="839">
        <v>5</v>
      </c>
      <c r="B6" s="365" t="s">
        <v>79</v>
      </c>
      <c r="C6" s="365">
        <v>28025</v>
      </c>
      <c r="D6" s="365" t="s">
        <v>42</v>
      </c>
      <c r="E6" s="365" t="s">
        <v>2851</v>
      </c>
      <c r="F6" s="839" t="s">
        <v>23</v>
      </c>
      <c r="G6" s="844" t="s">
        <v>1469</v>
      </c>
      <c r="H6" s="841">
        <v>2016.11</v>
      </c>
      <c r="I6" s="842">
        <v>972.17</v>
      </c>
      <c r="J6" s="843">
        <v>98428000000</v>
      </c>
      <c r="K6" s="843" t="s">
        <v>1558</v>
      </c>
      <c r="L6" s="843" t="s">
        <v>32</v>
      </c>
    </row>
    <row r="7" spans="1:12" s="359" customFormat="1">
      <c r="A7" s="839">
        <v>6</v>
      </c>
      <c r="B7" s="365" t="s">
        <v>79</v>
      </c>
      <c r="C7" s="365">
        <v>67101</v>
      </c>
      <c r="D7" s="365" t="s">
        <v>42</v>
      </c>
      <c r="E7" s="365" t="s">
        <v>1915</v>
      </c>
      <c r="F7" s="839" t="s">
        <v>23</v>
      </c>
      <c r="G7" s="844" t="s">
        <v>1454</v>
      </c>
      <c r="H7" s="841">
        <v>2017.02</v>
      </c>
      <c r="I7" s="842">
        <v>961.6</v>
      </c>
      <c r="J7" s="843">
        <v>42320023926</v>
      </c>
      <c r="K7" s="843">
        <v>44010125387</v>
      </c>
      <c r="L7" s="843" t="s">
        <v>13</v>
      </c>
    </row>
    <row r="8" spans="1:12" s="359" customFormat="1">
      <c r="A8" s="839">
        <v>7</v>
      </c>
      <c r="B8" s="365" t="s">
        <v>79</v>
      </c>
      <c r="C8" s="365">
        <v>66431</v>
      </c>
      <c r="D8" s="839" t="s">
        <v>42</v>
      </c>
      <c r="E8" s="365" t="s">
        <v>1998</v>
      </c>
      <c r="F8" s="839" t="s">
        <v>23</v>
      </c>
      <c r="G8" s="840" t="s">
        <v>1402</v>
      </c>
      <c r="H8" s="841">
        <v>2019.09</v>
      </c>
      <c r="I8" s="842">
        <v>959.74</v>
      </c>
      <c r="J8" s="843">
        <v>134437170744</v>
      </c>
      <c r="K8" s="843">
        <v>140077346060</v>
      </c>
      <c r="L8" s="843" t="s">
        <v>13</v>
      </c>
    </row>
    <row r="9" spans="1:12">
      <c r="A9" s="839">
        <v>8</v>
      </c>
      <c r="B9" s="35" t="s">
        <v>79</v>
      </c>
      <c r="C9" s="35">
        <v>28041</v>
      </c>
      <c r="D9" s="57" t="s">
        <v>42</v>
      </c>
      <c r="E9" s="365" t="s">
        <v>2612</v>
      </c>
      <c r="F9" s="57" t="s">
        <v>23</v>
      </c>
      <c r="G9" s="850" t="s">
        <v>1458</v>
      </c>
      <c r="H9" s="762">
        <v>2020.05</v>
      </c>
      <c r="I9" s="851">
        <v>1008.69</v>
      </c>
      <c r="J9" s="513">
        <v>24534023264</v>
      </c>
      <c r="K9" s="513">
        <v>24322774855</v>
      </c>
      <c r="L9" s="513" t="s">
        <v>32</v>
      </c>
    </row>
    <row r="10" spans="1:12">
      <c r="A10" s="839">
        <v>9</v>
      </c>
      <c r="B10" s="365" t="s">
        <v>79</v>
      </c>
      <c r="C10" s="365">
        <v>66492</v>
      </c>
      <c r="D10" s="839" t="s">
        <v>42</v>
      </c>
      <c r="E10" s="365" t="s">
        <v>1999</v>
      </c>
      <c r="F10" s="839" t="s">
        <v>83</v>
      </c>
      <c r="G10" s="844" t="s">
        <v>1459</v>
      </c>
      <c r="H10" s="841">
        <v>2020.12</v>
      </c>
      <c r="I10" s="842">
        <v>880.15</v>
      </c>
      <c r="J10" s="843">
        <v>63774762356</v>
      </c>
      <c r="K10" s="843">
        <v>72459164350</v>
      </c>
      <c r="L10" s="843" t="s">
        <v>13</v>
      </c>
    </row>
    <row r="11" spans="1:12">
      <c r="A11" s="839">
        <v>10</v>
      </c>
      <c r="B11" s="365" t="s">
        <v>79</v>
      </c>
      <c r="C11" s="365">
        <v>28019</v>
      </c>
      <c r="D11" s="839" t="s">
        <v>42</v>
      </c>
      <c r="E11" s="365" t="s">
        <v>2000</v>
      </c>
      <c r="F11" s="839" t="s">
        <v>84</v>
      </c>
      <c r="G11" s="844" t="s">
        <v>1460</v>
      </c>
      <c r="H11" s="841">
        <v>2015.09</v>
      </c>
      <c r="I11" s="849">
        <v>949.22</v>
      </c>
      <c r="J11" s="843">
        <v>212580735766</v>
      </c>
      <c r="K11" s="843">
        <v>223952560238</v>
      </c>
      <c r="L11" s="843" t="s">
        <v>13</v>
      </c>
    </row>
    <row r="12" spans="1:12" s="359" customFormat="1">
      <c r="A12" s="839">
        <v>11</v>
      </c>
      <c r="B12" s="365" t="s">
        <v>79</v>
      </c>
      <c r="C12" s="365">
        <v>66361</v>
      </c>
      <c r="D12" s="846" t="s">
        <v>42</v>
      </c>
      <c r="E12" s="365" t="s">
        <v>2001</v>
      </c>
      <c r="F12" s="847" t="s">
        <v>84</v>
      </c>
      <c r="G12" s="848" t="s">
        <v>1466</v>
      </c>
      <c r="H12" s="841">
        <v>2018.04</v>
      </c>
      <c r="I12" s="849">
        <v>777.99</v>
      </c>
      <c r="J12" s="843">
        <v>16291743229</v>
      </c>
      <c r="K12" s="843">
        <v>20940691126</v>
      </c>
      <c r="L12" s="843" t="s">
        <v>13</v>
      </c>
    </row>
    <row r="13" spans="1:12">
      <c r="A13" s="839">
        <v>12</v>
      </c>
      <c r="B13" s="365" t="s">
        <v>79</v>
      </c>
      <c r="C13" s="365">
        <v>66441</v>
      </c>
      <c r="D13" s="846" t="s">
        <v>42</v>
      </c>
      <c r="E13" s="365" t="s">
        <v>2044</v>
      </c>
      <c r="F13" s="847" t="s">
        <v>23</v>
      </c>
      <c r="G13" s="848" t="s">
        <v>2045</v>
      </c>
      <c r="H13" s="841">
        <v>2020.01</v>
      </c>
      <c r="I13" s="849" t="s">
        <v>21</v>
      </c>
      <c r="J13" s="843" t="s">
        <v>21</v>
      </c>
      <c r="K13" s="843" t="s">
        <v>21</v>
      </c>
      <c r="L13" s="843" t="s">
        <v>32</v>
      </c>
    </row>
    <row r="14" spans="1:12">
      <c r="A14" s="839">
        <v>13</v>
      </c>
      <c r="B14" s="35" t="s">
        <v>79</v>
      </c>
      <c r="C14" s="35">
        <v>66481</v>
      </c>
      <c r="D14" s="35" t="s">
        <v>42</v>
      </c>
      <c r="E14" s="365" t="s">
        <v>2616</v>
      </c>
      <c r="F14" s="56" t="s">
        <v>49</v>
      </c>
      <c r="G14" s="850" t="s">
        <v>87</v>
      </c>
      <c r="H14" s="762">
        <v>2020.06</v>
      </c>
      <c r="I14" s="512" t="s">
        <v>21</v>
      </c>
      <c r="J14" s="513" t="s">
        <v>21</v>
      </c>
      <c r="K14" s="513" t="s">
        <v>21</v>
      </c>
      <c r="L14" s="513" t="s">
        <v>32</v>
      </c>
    </row>
    <row r="15" spans="1:12">
      <c r="A15" s="839">
        <v>14</v>
      </c>
      <c r="B15" s="35" t="s">
        <v>79</v>
      </c>
      <c r="C15" s="35">
        <v>66482</v>
      </c>
      <c r="D15" s="35" t="s">
        <v>42</v>
      </c>
      <c r="E15" s="365" t="s">
        <v>2617</v>
      </c>
      <c r="F15" s="56" t="s">
        <v>49</v>
      </c>
      <c r="G15" s="850" t="s">
        <v>88</v>
      </c>
      <c r="H15" s="762">
        <v>2020.06</v>
      </c>
      <c r="I15" s="512" t="s">
        <v>21</v>
      </c>
      <c r="J15" s="513" t="s">
        <v>21</v>
      </c>
      <c r="K15" s="513" t="s">
        <v>21</v>
      </c>
      <c r="L15" s="513" t="s">
        <v>32</v>
      </c>
    </row>
    <row r="16" spans="1:12">
      <c r="A16" s="839">
        <v>15</v>
      </c>
      <c r="B16" s="35" t="s">
        <v>79</v>
      </c>
      <c r="C16" s="35">
        <v>66491</v>
      </c>
      <c r="D16" s="35" t="s">
        <v>42</v>
      </c>
      <c r="E16" s="365" t="s">
        <v>2618</v>
      </c>
      <c r="F16" s="56" t="s">
        <v>83</v>
      </c>
      <c r="G16" s="850" t="s">
        <v>89</v>
      </c>
      <c r="H16" s="762">
        <v>2020.11</v>
      </c>
      <c r="I16" s="512" t="s">
        <v>21</v>
      </c>
      <c r="J16" s="513" t="s">
        <v>21</v>
      </c>
      <c r="K16" s="513" t="s">
        <v>21</v>
      </c>
      <c r="L16" s="513" t="s">
        <v>32</v>
      </c>
    </row>
    <row r="17" spans="1:12" ht="15.75" customHeight="1">
      <c r="A17" s="839">
        <v>16</v>
      </c>
      <c r="B17" s="35" t="s">
        <v>79</v>
      </c>
      <c r="C17" s="35">
        <v>66451</v>
      </c>
      <c r="D17" s="35" t="s">
        <v>42</v>
      </c>
      <c r="E17" s="365" t="s">
        <v>2615</v>
      </c>
      <c r="F17" s="56" t="s">
        <v>809</v>
      </c>
      <c r="G17" s="850" t="s">
        <v>85</v>
      </c>
      <c r="H17" s="762">
        <v>2020.02</v>
      </c>
      <c r="I17" s="512">
        <v>988.03</v>
      </c>
      <c r="J17" s="513">
        <v>12891968661</v>
      </c>
      <c r="K17" s="513">
        <v>13266419941</v>
      </c>
      <c r="L17" s="513" t="s">
        <v>32</v>
      </c>
    </row>
    <row r="18" spans="1:12">
      <c r="A18" s="839">
        <v>17</v>
      </c>
      <c r="B18" s="35" t="s">
        <v>79</v>
      </c>
      <c r="C18" s="35">
        <v>67201</v>
      </c>
      <c r="D18" s="57" t="s">
        <v>42</v>
      </c>
      <c r="E18" s="365" t="s">
        <v>2002</v>
      </c>
      <c r="F18" s="57" t="s">
        <v>831</v>
      </c>
      <c r="G18" s="850" t="s">
        <v>830</v>
      </c>
      <c r="H18" s="762">
        <v>2021.09</v>
      </c>
      <c r="I18" s="512"/>
      <c r="J18" s="513"/>
      <c r="K18" s="513"/>
      <c r="L18" s="513"/>
    </row>
    <row r="19" spans="1:12">
      <c r="A19" s="839">
        <v>18</v>
      </c>
      <c r="B19" s="35" t="s">
        <v>79</v>
      </c>
      <c r="C19" s="35">
        <v>66501</v>
      </c>
      <c r="D19" s="35" t="s">
        <v>42</v>
      </c>
      <c r="E19" s="365" t="s">
        <v>2619</v>
      </c>
      <c r="F19" s="56" t="s">
        <v>1399</v>
      </c>
      <c r="G19" s="850" t="s">
        <v>1400</v>
      </c>
      <c r="H19" s="762">
        <v>2023.03</v>
      </c>
      <c r="I19" s="512">
        <v>1000</v>
      </c>
      <c r="J19" s="513"/>
      <c r="K19" s="513" t="s">
        <v>1401</v>
      </c>
      <c r="L19" s="513"/>
    </row>
    <row r="20" spans="1:12" ht="15.75" customHeight="1">
      <c r="A20" s="839">
        <v>19</v>
      </c>
      <c r="B20" s="35" t="s">
        <v>79</v>
      </c>
      <c r="C20" s="35">
        <v>66511</v>
      </c>
      <c r="D20" s="57" t="s">
        <v>42</v>
      </c>
      <c r="E20" s="365" t="s">
        <v>2620</v>
      </c>
      <c r="F20" s="57" t="s">
        <v>355</v>
      </c>
      <c r="G20" s="850" t="s">
        <v>1814</v>
      </c>
      <c r="H20" s="762">
        <v>2023.12</v>
      </c>
      <c r="I20" s="512"/>
      <c r="J20" s="513"/>
      <c r="K20" s="513"/>
      <c r="L20" s="513"/>
    </row>
    <row r="21" spans="1:12" ht="15.75" customHeight="1">
      <c r="A21" s="839">
        <v>20</v>
      </c>
      <c r="B21" s="35" t="s">
        <v>79</v>
      </c>
      <c r="C21" s="35">
        <v>66422</v>
      </c>
      <c r="D21" s="57" t="s">
        <v>42</v>
      </c>
      <c r="E21" s="365" t="s">
        <v>2614</v>
      </c>
      <c r="F21" s="57" t="s">
        <v>2122</v>
      </c>
      <c r="G21" s="850" t="s">
        <v>2121</v>
      </c>
      <c r="H21" s="762">
        <v>2024.08</v>
      </c>
      <c r="I21" s="512">
        <v>1000</v>
      </c>
      <c r="J21" s="513"/>
      <c r="K21" s="513"/>
      <c r="L21" s="513"/>
    </row>
    <row r="22" spans="1:12" ht="15.75" customHeight="1">
      <c r="A22" s="839">
        <v>21</v>
      </c>
      <c r="B22" s="35" t="s">
        <v>79</v>
      </c>
      <c r="C22" s="35">
        <v>66551</v>
      </c>
      <c r="D22" s="57" t="s">
        <v>42</v>
      </c>
      <c r="E22" s="365" t="s">
        <v>2119</v>
      </c>
      <c r="F22" s="57" t="s">
        <v>73</v>
      </c>
      <c r="G22" s="850" t="s">
        <v>2120</v>
      </c>
      <c r="H22" s="762">
        <v>2024.07</v>
      </c>
      <c r="I22" s="512">
        <v>1000</v>
      </c>
      <c r="J22" s="513"/>
      <c r="K22" s="513"/>
      <c r="L22" s="513"/>
    </row>
    <row r="23" spans="1:12">
      <c r="A23" s="839">
        <v>22</v>
      </c>
      <c r="B23" s="35" t="s">
        <v>79</v>
      </c>
      <c r="C23" s="35">
        <v>66591</v>
      </c>
      <c r="D23" s="57" t="s">
        <v>42</v>
      </c>
      <c r="E23" s="365" t="s">
        <v>2264</v>
      </c>
      <c r="F23" s="57" t="s">
        <v>73</v>
      </c>
      <c r="G23" s="850" t="s">
        <v>2263</v>
      </c>
      <c r="H23" s="762">
        <v>2025.01</v>
      </c>
      <c r="I23" s="512"/>
      <c r="J23" s="513"/>
      <c r="K23" s="513"/>
      <c r="L23" s="513"/>
    </row>
    <row r="24" spans="1:12">
      <c r="A24" s="839">
        <v>23</v>
      </c>
      <c r="B24" s="35" t="s">
        <v>79</v>
      </c>
      <c r="C24" s="35">
        <v>66621</v>
      </c>
      <c r="D24" s="57" t="s">
        <v>42</v>
      </c>
      <c r="E24" s="365" t="s">
        <v>2696</v>
      </c>
      <c r="F24" s="57" t="s">
        <v>73</v>
      </c>
      <c r="G24" s="850" t="s">
        <v>2702</v>
      </c>
      <c r="H24" s="762">
        <v>2025.04</v>
      </c>
      <c r="I24" s="512">
        <v>995</v>
      </c>
      <c r="J24" s="513"/>
      <c r="K24" s="513"/>
      <c r="L24" s="513"/>
    </row>
    <row r="25" spans="1:12">
      <c r="A25" s="839">
        <v>24</v>
      </c>
      <c r="B25" s="35" t="s">
        <v>79</v>
      </c>
      <c r="C25" s="35">
        <v>66581</v>
      </c>
      <c r="D25" s="57" t="s">
        <v>42</v>
      </c>
      <c r="E25" s="365" t="s">
        <v>2700</v>
      </c>
      <c r="F25" s="57" t="s">
        <v>73</v>
      </c>
      <c r="G25" s="850" t="s">
        <v>2701</v>
      </c>
      <c r="H25" s="762">
        <v>2025.02</v>
      </c>
      <c r="I25" s="512">
        <v>1005</v>
      </c>
      <c r="J25" s="513"/>
      <c r="K25" s="513"/>
      <c r="L25" s="513"/>
    </row>
    <row r="26" spans="1:12">
      <c r="A26" s="839">
        <v>25</v>
      </c>
      <c r="B26" s="35" t="s">
        <v>79</v>
      </c>
      <c r="C26" s="35">
        <v>66622</v>
      </c>
      <c r="D26" s="57" t="s">
        <v>42</v>
      </c>
      <c r="E26" s="365" t="s">
        <v>2924</v>
      </c>
      <c r="F26" s="57" t="s">
        <v>73</v>
      </c>
      <c r="G26" s="850" t="s">
        <v>2925</v>
      </c>
      <c r="H26" s="762">
        <v>2025.11</v>
      </c>
      <c r="I26" s="512">
        <v>1000</v>
      </c>
      <c r="J26" s="513"/>
      <c r="K26" s="513"/>
      <c r="L26" s="513"/>
    </row>
    <row r="27" spans="1:12">
      <c r="A27" s="839">
        <v>26</v>
      </c>
      <c r="B27" s="35" t="s">
        <v>79</v>
      </c>
      <c r="C27" s="35">
        <v>66721</v>
      </c>
      <c r="D27" s="57" t="s">
        <v>42</v>
      </c>
      <c r="E27" s="365" t="s">
        <v>3099</v>
      </c>
      <c r="F27" s="57" t="s">
        <v>73</v>
      </c>
      <c r="G27" s="850" t="s">
        <v>3050</v>
      </c>
      <c r="H27" s="762"/>
      <c r="I27" s="512"/>
      <c r="J27" s="513"/>
      <c r="K27" s="513"/>
      <c r="L27" s="513"/>
    </row>
    <row r="28" spans="1:12">
      <c r="A28" s="839">
        <v>27</v>
      </c>
      <c r="B28" s="35" t="s">
        <v>79</v>
      </c>
      <c r="C28" s="35">
        <v>66712</v>
      </c>
      <c r="D28" s="57" t="s">
        <v>42</v>
      </c>
      <c r="E28" s="365" t="s">
        <v>3051</v>
      </c>
      <c r="F28" s="57" t="s">
        <v>73</v>
      </c>
      <c r="G28" s="850" t="s">
        <v>3052</v>
      </c>
      <c r="H28" s="762"/>
      <c r="I28" s="512"/>
      <c r="J28" s="513"/>
      <c r="K28" s="513"/>
      <c r="L28" s="513"/>
    </row>
    <row r="29" spans="1:12">
      <c r="A29" s="886"/>
      <c r="B29" s="499"/>
      <c r="C29" s="499"/>
      <c r="D29" s="501"/>
      <c r="E29" s="887"/>
      <c r="F29" s="501"/>
      <c r="G29" s="888"/>
      <c r="H29" s="889"/>
      <c r="I29" s="890"/>
      <c r="J29" s="891"/>
      <c r="K29" s="891"/>
      <c r="L29" s="891"/>
    </row>
    <row r="30" spans="1:12">
      <c r="A30" s="886"/>
      <c r="B30" s="499"/>
      <c r="C30" s="499"/>
      <c r="D30" s="501"/>
      <c r="E30" s="887"/>
      <c r="F30" s="501"/>
      <c r="G30" s="888"/>
      <c r="H30" s="889"/>
      <c r="I30" s="890"/>
      <c r="J30" s="891"/>
      <c r="K30" s="891"/>
      <c r="L30" s="891"/>
    </row>
    <row r="31" spans="1:12">
      <c r="A31" s="886"/>
      <c r="B31" s="499"/>
      <c r="C31" s="499"/>
      <c r="D31" s="501"/>
      <c r="E31" s="887"/>
      <c r="F31" s="501"/>
      <c r="G31" s="888"/>
      <c r="H31" s="889"/>
      <c r="I31" s="890"/>
      <c r="J31" s="891"/>
      <c r="K31" s="891"/>
      <c r="L31" s="891"/>
    </row>
    <row r="32" spans="1:12">
      <c r="A32" s="886"/>
      <c r="B32" s="499"/>
      <c r="C32" s="499"/>
      <c r="D32" s="501"/>
      <c r="E32" s="887"/>
      <c r="F32" s="501"/>
      <c r="G32" s="888"/>
      <c r="H32" s="889"/>
      <c r="I32" s="890"/>
      <c r="J32" s="891"/>
      <c r="K32" s="891"/>
      <c r="L32" s="891"/>
    </row>
    <row r="33" spans="1:12">
      <c r="A33" s="886"/>
      <c r="B33" s="499"/>
      <c r="C33" s="499"/>
      <c r="D33" s="501"/>
      <c r="E33" s="887"/>
      <c r="F33" s="501"/>
      <c r="G33" s="888"/>
      <c r="H33" s="889"/>
      <c r="I33" s="890"/>
      <c r="J33" s="891"/>
      <c r="K33" s="891"/>
      <c r="L33" s="891"/>
    </row>
    <row r="34" spans="1:12">
      <c r="A34" s="886"/>
      <c r="B34" s="499"/>
      <c r="C34" s="499"/>
      <c r="D34" s="501"/>
      <c r="E34" s="887"/>
      <c r="F34" s="501"/>
      <c r="G34" s="888"/>
      <c r="H34" s="889"/>
      <c r="I34" s="890"/>
      <c r="J34" s="891"/>
      <c r="K34" s="891"/>
      <c r="L34" s="891"/>
    </row>
    <row r="35" spans="1:12">
      <c r="A35" s="886"/>
      <c r="B35" s="499"/>
      <c r="C35" s="499"/>
      <c r="D35" s="501"/>
      <c r="E35" s="887"/>
      <c r="F35" s="501"/>
      <c r="G35" s="888"/>
      <c r="H35" s="889"/>
      <c r="I35" s="890"/>
      <c r="J35" s="891"/>
      <c r="K35" s="891"/>
      <c r="L35" s="891"/>
    </row>
    <row r="36" spans="1:12">
      <c r="A36" s="886"/>
      <c r="B36" s="499"/>
      <c r="C36" s="499"/>
      <c r="D36" s="501"/>
      <c r="E36" s="887"/>
      <c r="F36" s="501"/>
      <c r="G36" s="888"/>
      <c r="H36" s="889"/>
      <c r="I36" s="890"/>
      <c r="J36" s="891"/>
      <c r="K36" s="891"/>
      <c r="L36" s="891"/>
    </row>
    <row r="37" spans="1:12">
      <c r="A37" s="886"/>
      <c r="B37" s="499"/>
      <c r="C37" s="499"/>
      <c r="D37" s="501"/>
      <c r="E37" s="887"/>
      <c r="F37" s="501"/>
      <c r="G37" s="888"/>
      <c r="H37" s="889"/>
      <c r="I37" s="890"/>
      <c r="J37" s="891"/>
      <c r="K37" s="891"/>
      <c r="L37" s="891"/>
    </row>
    <row r="40" spans="1:12" s="359" customFormat="1">
      <c r="B40" s="8" t="s">
        <v>79</v>
      </c>
      <c r="C40" s="5">
        <v>28032</v>
      </c>
      <c r="D40" s="5" t="s">
        <v>42</v>
      </c>
      <c r="E40" s="365" t="s">
        <v>1883</v>
      </c>
      <c r="F40" s="7" t="s">
        <v>23</v>
      </c>
      <c r="G40" s="21" t="s">
        <v>1461</v>
      </c>
      <c r="H40" s="15">
        <v>2019.09</v>
      </c>
      <c r="I40" s="9" t="s">
        <v>21</v>
      </c>
      <c r="J40" s="10" t="s">
        <v>21</v>
      </c>
      <c r="K40" s="10" t="s">
        <v>21</v>
      </c>
      <c r="L40" s="11" t="s">
        <v>32</v>
      </c>
    </row>
    <row r="41" spans="1:12" s="359" customFormat="1" ht="17.25" customHeight="1">
      <c r="B41" s="8" t="s">
        <v>79</v>
      </c>
      <c r="C41" s="5">
        <v>30202</v>
      </c>
      <c r="D41" s="4" t="s">
        <v>42</v>
      </c>
      <c r="E41" s="365" t="s">
        <v>1883</v>
      </c>
      <c r="F41" s="7" t="s">
        <v>23</v>
      </c>
      <c r="G41" s="21" t="s">
        <v>1463</v>
      </c>
      <c r="H41" s="15">
        <v>2019.1</v>
      </c>
      <c r="I41" s="9" t="s">
        <v>21</v>
      </c>
      <c r="J41" s="10" t="s">
        <v>21</v>
      </c>
      <c r="K41" s="10" t="s">
        <v>21</v>
      </c>
      <c r="L41" s="11" t="s">
        <v>32</v>
      </c>
    </row>
    <row r="42" spans="1:12">
      <c r="B42" s="8" t="s">
        <v>79</v>
      </c>
      <c r="C42" s="5">
        <v>36601</v>
      </c>
      <c r="D42" s="5" t="s">
        <v>42</v>
      </c>
      <c r="E42" s="365" t="s">
        <v>1883</v>
      </c>
      <c r="F42" s="7" t="s">
        <v>58</v>
      </c>
      <c r="G42" s="21" t="s">
        <v>1427</v>
      </c>
      <c r="H42" s="15">
        <v>2023.05</v>
      </c>
      <c r="I42" s="9">
        <v>1000</v>
      </c>
      <c r="J42" s="10" t="s">
        <v>1428</v>
      </c>
      <c r="K42" s="10" t="s">
        <v>1401</v>
      </c>
      <c r="L42" s="11"/>
    </row>
    <row r="43" spans="1:12" s="359" customFormat="1" ht="17.25" customHeight="1">
      <c r="B43" s="8" t="s">
        <v>79</v>
      </c>
      <c r="C43" s="5">
        <v>66001</v>
      </c>
      <c r="D43" s="4" t="s">
        <v>42</v>
      </c>
      <c r="E43" s="365" t="s">
        <v>1883</v>
      </c>
      <c r="F43" s="7" t="s">
        <v>23</v>
      </c>
      <c r="G43" s="21" t="s">
        <v>1464</v>
      </c>
      <c r="H43" s="15">
        <v>2019.1</v>
      </c>
      <c r="I43" s="9" t="s">
        <v>21</v>
      </c>
      <c r="J43" s="10" t="s">
        <v>21</v>
      </c>
      <c r="K43" s="10" t="s">
        <v>21</v>
      </c>
      <c r="L43" s="11" t="s">
        <v>32</v>
      </c>
    </row>
    <row r="44" spans="1:12">
      <c r="B44" s="5" t="s">
        <v>79</v>
      </c>
      <c r="C44" s="5">
        <v>66311</v>
      </c>
      <c r="D44" s="5" t="s">
        <v>42</v>
      </c>
      <c r="E44" s="365" t="s">
        <v>1883</v>
      </c>
      <c r="F44" s="7" t="s">
        <v>23</v>
      </c>
      <c r="G44" s="21" t="s">
        <v>1465</v>
      </c>
      <c r="H44" s="15">
        <v>2017.07</v>
      </c>
      <c r="I44" s="9" t="s">
        <v>21</v>
      </c>
      <c r="J44" s="10" t="s">
        <v>21</v>
      </c>
      <c r="K44" s="10" t="s">
        <v>21</v>
      </c>
      <c r="L44" s="11" t="s">
        <v>32</v>
      </c>
    </row>
    <row r="45" spans="1:12">
      <c r="B45" s="5" t="s">
        <v>79</v>
      </c>
      <c r="C45" s="5">
        <v>66381</v>
      </c>
      <c r="D45" s="5" t="s">
        <v>42</v>
      </c>
      <c r="E45" s="365" t="s">
        <v>1883</v>
      </c>
      <c r="F45" s="4" t="s">
        <v>23</v>
      </c>
      <c r="G45" s="21" t="s">
        <v>1457</v>
      </c>
      <c r="H45" s="15">
        <v>2019.1</v>
      </c>
      <c r="I45" s="23">
        <v>1004.25</v>
      </c>
      <c r="J45" s="10">
        <v>29690104607</v>
      </c>
      <c r="K45" s="10">
        <v>29564478308</v>
      </c>
      <c r="L45" s="11" t="s">
        <v>32</v>
      </c>
    </row>
    <row r="46" spans="1:12">
      <c r="B46" s="5" t="s">
        <v>79</v>
      </c>
      <c r="C46" s="5">
        <v>66471</v>
      </c>
      <c r="D46" s="5" t="s">
        <v>42</v>
      </c>
      <c r="E46" s="365" t="s">
        <v>1883</v>
      </c>
      <c r="F46" s="7" t="s">
        <v>49</v>
      </c>
      <c r="G46" s="21" t="s">
        <v>86</v>
      </c>
      <c r="H46" s="15">
        <v>2019.1</v>
      </c>
      <c r="I46" s="9" t="s">
        <v>21</v>
      </c>
      <c r="J46" s="10" t="s">
        <v>21</v>
      </c>
      <c r="K46" s="10" t="s">
        <v>21</v>
      </c>
      <c r="L46" s="11" t="s">
        <v>32</v>
      </c>
    </row>
    <row r="47" spans="1:12">
      <c r="A47" s="839"/>
      <c r="B47" s="35" t="s">
        <v>79</v>
      </c>
      <c r="C47" s="35">
        <v>28036</v>
      </c>
      <c r="D47" s="35" t="s">
        <v>42</v>
      </c>
      <c r="E47" s="365" t="s">
        <v>2611</v>
      </c>
      <c r="F47" s="57" t="s">
        <v>23</v>
      </c>
      <c r="G47" s="850" t="s">
        <v>1456</v>
      </c>
      <c r="H47" s="762">
        <v>2019.1</v>
      </c>
      <c r="I47" s="851">
        <v>1006.75</v>
      </c>
      <c r="J47" s="513">
        <v>4766721307</v>
      </c>
      <c r="K47" s="513">
        <v>4734783238</v>
      </c>
      <c r="L47" s="513" t="s">
        <v>32</v>
      </c>
    </row>
    <row r="48" spans="1:12" s="359" customFormat="1">
      <c r="A48" s="839"/>
      <c r="B48" s="35" t="s">
        <v>79</v>
      </c>
      <c r="C48" s="35">
        <v>28035</v>
      </c>
      <c r="D48" s="57" t="s">
        <v>42</v>
      </c>
      <c r="E48" s="365" t="s">
        <v>2609</v>
      </c>
      <c r="F48" s="56" t="s">
        <v>23</v>
      </c>
      <c r="G48" s="495" t="s">
        <v>1462</v>
      </c>
      <c r="H48" s="762">
        <v>2019.1</v>
      </c>
      <c r="I48" s="512" t="s">
        <v>21</v>
      </c>
      <c r="J48" s="513" t="s">
        <v>21</v>
      </c>
      <c r="K48" s="513" t="s">
        <v>21</v>
      </c>
      <c r="L48" s="513" t="s">
        <v>32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4">
    <tabColor theme="9" tint="0.59999389629810485"/>
  </sheetPr>
  <dimension ref="A1:M44"/>
  <sheetViews>
    <sheetView topLeftCell="A16" zoomScale="85" zoomScaleNormal="85" workbookViewId="0">
      <selection activeCell="A44" sqref="A44:XFD44"/>
    </sheetView>
  </sheetViews>
  <sheetFormatPr defaultRowHeight="16.5"/>
  <cols>
    <col min="1" max="1" width="9" style="358"/>
    <col min="2" max="2" width="9.5" style="358" bestFit="1" customWidth="1"/>
    <col min="3" max="3" width="13.875" style="358" bestFit="1" customWidth="1"/>
    <col min="4" max="4" width="11.5" style="358" bestFit="1" customWidth="1"/>
    <col min="5" max="5" width="23.25" style="358" customWidth="1"/>
    <col min="6" max="6" width="15.25" style="358" customWidth="1"/>
    <col min="7" max="7" width="71.375" style="358" customWidth="1"/>
    <col min="8" max="8" width="11.625" style="358" bestFit="1" customWidth="1"/>
    <col min="9" max="9" width="14.375" style="358" bestFit="1" customWidth="1"/>
    <col min="10" max="11" width="22" style="358" bestFit="1" customWidth="1"/>
    <col min="12" max="12" width="11.875" style="358" customWidth="1"/>
    <col min="13" max="13" width="29.375" style="358" bestFit="1" customWidth="1"/>
    <col min="14" max="16384" width="9" style="358"/>
  </cols>
  <sheetData>
    <row r="1" spans="1:13" s="721" customFormat="1">
      <c r="A1" s="983" t="s">
        <v>2778</v>
      </c>
      <c r="B1" s="1009" t="s">
        <v>0</v>
      </c>
      <c r="C1" s="994" t="s">
        <v>1</v>
      </c>
      <c r="D1" s="994" t="s">
        <v>17</v>
      </c>
      <c r="E1" s="994" t="s">
        <v>2003</v>
      </c>
      <c r="F1" s="994" t="s">
        <v>3</v>
      </c>
      <c r="G1" s="994" t="s">
        <v>5</v>
      </c>
      <c r="H1" s="995" t="s">
        <v>18</v>
      </c>
      <c r="I1" s="996" t="s">
        <v>7</v>
      </c>
      <c r="J1" s="997" t="s">
        <v>8</v>
      </c>
      <c r="K1" s="998" t="s">
        <v>9</v>
      </c>
      <c r="L1" s="998" t="s">
        <v>2054</v>
      </c>
      <c r="M1" s="998" t="s">
        <v>65</v>
      </c>
    </row>
    <row r="2" spans="1:13">
      <c r="A2" s="34">
        <v>1</v>
      </c>
      <c r="B2" s="1010" t="s">
        <v>1403</v>
      </c>
      <c r="C2" s="57" t="s">
        <v>1405</v>
      </c>
      <c r="D2" s="57" t="s">
        <v>1406</v>
      </c>
      <c r="E2" s="57" t="s">
        <v>2626</v>
      </c>
      <c r="F2" s="57" t="s">
        <v>1412</v>
      </c>
      <c r="G2" s="495" t="s">
        <v>1407</v>
      </c>
      <c r="H2" s="762" t="s">
        <v>1418</v>
      </c>
      <c r="I2" s="999"/>
      <c r="J2" s="513">
        <v>51892240365</v>
      </c>
      <c r="K2" s="513"/>
      <c r="L2" s="513"/>
      <c r="M2" s="513"/>
    </row>
    <row r="3" spans="1:13">
      <c r="A3" s="34">
        <v>2</v>
      </c>
      <c r="B3" s="1010" t="s">
        <v>1403</v>
      </c>
      <c r="C3" s="57" t="s">
        <v>1408</v>
      </c>
      <c r="D3" s="57" t="s">
        <v>1406</v>
      </c>
      <c r="E3" s="1000" t="s">
        <v>2627</v>
      </c>
      <c r="F3" s="57" t="s">
        <v>1413</v>
      </c>
      <c r="G3" s="495" t="s">
        <v>1414</v>
      </c>
      <c r="H3" s="762" t="s">
        <v>1419</v>
      </c>
      <c r="I3" s="999"/>
      <c r="J3" s="513">
        <v>28413957321</v>
      </c>
      <c r="K3" s="513"/>
      <c r="L3" s="513"/>
      <c r="M3" s="513"/>
    </row>
    <row r="4" spans="1:13" s="366" customFormat="1">
      <c r="A4" s="34">
        <v>3</v>
      </c>
      <c r="B4" s="1011" t="s">
        <v>1403</v>
      </c>
      <c r="C4" s="839" t="s">
        <v>1409</v>
      </c>
      <c r="D4" s="839" t="s">
        <v>1406</v>
      </c>
      <c r="E4" s="57" t="s">
        <v>2005</v>
      </c>
      <c r="F4" s="839" t="s">
        <v>1412</v>
      </c>
      <c r="G4" s="840" t="s">
        <v>1415</v>
      </c>
      <c r="H4" s="841" t="s">
        <v>1421</v>
      </c>
      <c r="I4" s="1001">
        <v>1085.78</v>
      </c>
      <c r="J4" s="843">
        <v>117187547681</v>
      </c>
      <c r="K4" s="843">
        <v>107929565849</v>
      </c>
      <c r="L4" s="843"/>
      <c r="M4" s="843" t="s">
        <v>1569</v>
      </c>
    </row>
    <row r="5" spans="1:13" s="366" customFormat="1">
      <c r="A5" s="34">
        <v>4</v>
      </c>
      <c r="B5" s="1011" t="s">
        <v>1403</v>
      </c>
      <c r="C5" s="839" t="s">
        <v>1410</v>
      </c>
      <c r="D5" s="839" t="s">
        <v>1406</v>
      </c>
      <c r="E5" s="57" t="s">
        <v>2006</v>
      </c>
      <c r="F5" s="839" t="s">
        <v>1412</v>
      </c>
      <c r="G5" s="840" t="s">
        <v>1416</v>
      </c>
      <c r="H5" s="841" t="s">
        <v>1421</v>
      </c>
      <c r="I5" s="1001">
        <v>1181.3900000000001</v>
      </c>
      <c r="J5" s="843">
        <v>23732579034</v>
      </c>
      <c r="K5" s="843">
        <v>20088768543</v>
      </c>
      <c r="L5" s="843"/>
      <c r="M5" s="843" t="s">
        <v>1569</v>
      </c>
    </row>
    <row r="6" spans="1:13" s="366" customFormat="1">
      <c r="A6" s="34">
        <v>5</v>
      </c>
      <c r="B6" s="1011" t="s">
        <v>1403</v>
      </c>
      <c r="C6" s="1002" t="s">
        <v>1411</v>
      </c>
      <c r="D6" s="839" t="s">
        <v>1406</v>
      </c>
      <c r="E6" s="57" t="s">
        <v>2007</v>
      </c>
      <c r="F6" s="839" t="s">
        <v>1412</v>
      </c>
      <c r="G6" s="840" t="s">
        <v>1417</v>
      </c>
      <c r="H6" s="841" t="s">
        <v>1570</v>
      </c>
      <c r="I6" s="1001">
        <v>1051.57</v>
      </c>
      <c r="J6" s="843">
        <v>54628486001</v>
      </c>
      <c r="K6" s="843">
        <v>51949475884</v>
      </c>
      <c r="L6" s="843"/>
      <c r="M6" s="843" t="s">
        <v>1569</v>
      </c>
    </row>
    <row r="7" spans="1:13" s="721" customFormat="1">
      <c r="A7" s="34">
        <v>6</v>
      </c>
      <c r="B7" s="1010" t="s">
        <v>1403</v>
      </c>
      <c r="C7" s="1002" t="s">
        <v>1446</v>
      </c>
      <c r="D7" s="57" t="s">
        <v>19</v>
      </c>
      <c r="E7" s="57" t="s">
        <v>2008</v>
      </c>
      <c r="F7" s="839" t="s">
        <v>58</v>
      </c>
      <c r="G7" s="840" t="s">
        <v>1447</v>
      </c>
      <c r="H7" s="841" t="s">
        <v>1448</v>
      </c>
      <c r="I7" s="999">
        <v>1011.08</v>
      </c>
      <c r="J7" s="513">
        <v>7736011644</v>
      </c>
      <c r="K7" s="513">
        <v>7651240442</v>
      </c>
      <c r="L7" s="513"/>
      <c r="M7" s="843" t="s">
        <v>13</v>
      </c>
    </row>
    <row r="8" spans="1:13">
      <c r="A8" s="34">
        <v>7</v>
      </c>
      <c r="B8" s="1010" t="s">
        <v>1403</v>
      </c>
      <c r="C8" s="1003" t="s">
        <v>1483</v>
      </c>
      <c r="D8" s="57" t="s">
        <v>19</v>
      </c>
      <c r="E8" s="1000" t="s">
        <v>2628</v>
      </c>
      <c r="F8" s="57" t="s">
        <v>73</v>
      </c>
      <c r="G8" s="1004" t="s">
        <v>1485</v>
      </c>
      <c r="H8" s="762" t="s">
        <v>1487</v>
      </c>
      <c r="I8" s="999">
        <v>1000</v>
      </c>
      <c r="J8" s="513"/>
      <c r="K8" s="513"/>
      <c r="L8" s="513"/>
      <c r="M8" s="513"/>
    </row>
    <row r="9" spans="1:13" s="366" customFormat="1">
      <c r="A9" s="34">
        <v>8</v>
      </c>
      <c r="B9" s="1011" t="s">
        <v>1403</v>
      </c>
      <c r="C9" s="1002" t="s">
        <v>1484</v>
      </c>
      <c r="D9" s="839" t="s">
        <v>19</v>
      </c>
      <c r="E9" s="57" t="s">
        <v>2009</v>
      </c>
      <c r="F9" s="839" t="s">
        <v>73</v>
      </c>
      <c r="G9" s="840" t="s">
        <v>1486</v>
      </c>
      <c r="H9" s="841" t="s">
        <v>1487</v>
      </c>
      <c r="I9" s="1001">
        <v>1003.83</v>
      </c>
      <c r="J9" s="843">
        <v>37724737678</v>
      </c>
      <c r="K9" s="843">
        <v>37580987594</v>
      </c>
      <c r="L9" s="843"/>
      <c r="M9" s="843" t="s">
        <v>1569</v>
      </c>
    </row>
    <row r="10" spans="1:13">
      <c r="A10" s="34">
        <v>9</v>
      </c>
      <c r="B10" s="1010" t="s">
        <v>1403</v>
      </c>
      <c r="C10" s="1003" t="s">
        <v>1489</v>
      </c>
      <c r="D10" s="57" t="s">
        <v>19</v>
      </c>
      <c r="E10" s="1000" t="s">
        <v>2629</v>
      </c>
      <c r="F10" s="57" t="s">
        <v>73</v>
      </c>
      <c r="G10" s="1004" t="s">
        <v>1488</v>
      </c>
      <c r="H10" s="762" t="s">
        <v>1487</v>
      </c>
      <c r="I10" s="999">
        <v>1000</v>
      </c>
      <c r="J10" s="513"/>
      <c r="K10" s="513"/>
      <c r="L10" s="513"/>
      <c r="M10" s="513"/>
    </row>
    <row r="11" spans="1:13">
      <c r="A11" s="34">
        <v>10</v>
      </c>
      <c r="B11" s="1010" t="s">
        <v>1403</v>
      </c>
      <c r="C11" s="1003" t="s">
        <v>2114</v>
      </c>
      <c r="D11" s="57" t="s">
        <v>19</v>
      </c>
      <c r="E11" s="57" t="s">
        <v>2630</v>
      </c>
      <c r="F11" s="57" t="s">
        <v>58</v>
      </c>
      <c r="G11" s="1004" t="s">
        <v>2049</v>
      </c>
      <c r="H11" s="762"/>
      <c r="I11" s="999">
        <v>1000</v>
      </c>
      <c r="J11" s="513"/>
      <c r="K11" s="513"/>
      <c r="L11" s="513" t="s">
        <v>2050</v>
      </c>
      <c r="M11" s="513"/>
    </row>
    <row r="12" spans="1:13">
      <c r="A12" s="34">
        <v>11</v>
      </c>
      <c r="B12" s="1010" t="s">
        <v>1403</v>
      </c>
      <c r="C12" s="1003" t="s">
        <v>2115</v>
      </c>
      <c r="D12" s="57" t="s">
        <v>19</v>
      </c>
      <c r="E12" s="57" t="s">
        <v>2853</v>
      </c>
      <c r="F12" s="57" t="s">
        <v>58</v>
      </c>
      <c r="G12" s="1004" t="s">
        <v>2051</v>
      </c>
      <c r="H12" s="762"/>
      <c r="I12" s="999">
        <v>1000</v>
      </c>
      <c r="J12" s="513"/>
      <c r="K12" s="513"/>
      <c r="L12" s="513" t="s">
        <v>2050</v>
      </c>
      <c r="M12" s="513"/>
    </row>
    <row r="13" spans="1:13">
      <c r="A13" s="34">
        <v>12</v>
      </c>
      <c r="B13" s="1010" t="s">
        <v>1403</v>
      </c>
      <c r="C13" s="1003" t="s">
        <v>2116</v>
      </c>
      <c r="D13" s="57" t="s">
        <v>19</v>
      </c>
      <c r="E13" s="1000" t="s">
        <v>2631</v>
      </c>
      <c r="F13" s="57" t="s">
        <v>58</v>
      </c>
      <c r="G13" s="1004" t="s">
        <v>2052</v>
      </c>
      <c r="H13" s="762"/>
      <c r="I13" s="999">
        <v>1000</v>
      </c>
      <c r="J13" s="513"/>
      <c r="K13" s="513"/>
      <c r="L13" s="513" t="s">
        <v>2050</v>
      </c>
      <c r="M13" s="513"/>
    </row>
    <row r="14" spans="1:13">
      <c r="A14" s="34">
        <v>13</v>
      </c>
      <c r="B14" s="1010" t="s">
        <v>1403</v>
      </c>
      <c r="C14" s="1003" t="s">
        <v>1771</v>
      </c>
      <c r="D14" s="57" t="s">
        <v>19</v>
      </c>
      <c r="E14" s="57" t="s">
        <v>2632</v>
      </c>
      <c r="F14" s="57" t="s">
        <v>58</v>
      </c>
      <c r="G14" s="1004" t="s">
        <v>1748</v>
      </c>
      <c r="H14" s="762" t="s">
        <v>1777</v>
      </c>
      <c r="I14" s="999">
        <v>1000</v>
      </c>
      <c r="J14" s="513"/>
      <c r="K14" s="513"/>
      <c r="L14" s="513"/>
      <c r="M14" s="513"/>
    </row>
    <row r="15" spans="1:13" s="721" customFormat="1">
      <c r="A15" s="34">
        <v>14</v>
      </c>
      <c r="B15" s="1010" t="s">
        <v>1403</v>
      </c>
      <c r="C15" s="1003" t="s">
        <v>1770</v>
      </c>
      <c r="D15" s="57" t="s">
        <v>19</v>
      </c>
      <c r="E15" s="57" t="s">
        <v>2016</v>
      </c>
      <c r="F15" s="57" t="s">
        <v>58</v>
      </c>
      <c r="G15" s="840" t="s">
        <v>1749</v>
      </c>
      <c r="H15" s="841" t="s">
        <v>1777</v>
      </c>
      <c r="I15" s="999">
        <v>1000</v>
      </c>
      <c r="J15" s="513"/>
      <c r="K15" s="513"/>
      <c r="L15" s="513"/>
      <c r="M15" s="843" t="s">
        <v>13</v>
      </c>
    </row>
    <row r="16" spans="1:13">
      <c r="A16" s="34">
        <v>15</v>
      </c>
      <c r="B16" s="1010" t="s">
        <v>1403</v>
      </c>
      <c r="C16" s="1003" t="s">
        <v>1769</v>
      </c>
      <c r="D16" s="57" t="s">
        <v>19</v>
      </c>
      <c r="E16" s="57" t="s">
        <v>2633</v>
      </c>
      <c r="F16" s="57" t="s">
        <v>58</v>
      </c>
      <c r="G16" s="1004" t="s">
        <v>1750</v>
      </c>
      <c r="H16" s="762" t="s">
        <v>1777</v>
      </c>
      <c r="I16" s="999">
        <v>1000</v>
      </c>
      <c r="J16" s="513"/>
      <c r="K16" s="513"/>
      <c r="L16" s="513"/>
      <c r="M16" s="513"/>
    </row>
    <row r="17" spans="1:13" s="721" customFormat="1">
      <c r="A17" s="34">
        <v>16</v>
      </c>
      <c r="B17" s="1010" t="s">
        <v>1403</v>
      </c>
      <c r="C17" s="1003" t="s">
        <v>1794</v>
      </c>
      <c r="D17" s="57" t="s">
        <v>19</v>
      </c>
      <c r="E17" s="57" t="s">
        <v>2046</v>
      </c>
      <c r="F17" s="57" t="s">
        <v>58</v>
      </c>
      <c r="G17" s="840" t="s">
        <v>1791</v>
      </c>
      <c r="H17" s="841" t="s">
        <v>1792</v>
      </c>
      <c r="I17" s="999">
        <v>1000</v>
      </c>
      <c r="J17" s="513"/>
      <c r="K17" s="513"/>
      <c r="L17" s="513" t="s">
        <v>2050</v>
      </c>
      <c r="M17" s="843"/>
    </row>
    <row r="18" spans="1:13" s="721" customFormat="1">
      <c r="A18" s="34">
        <v>17</v>
      </c>
      <c r="B18" s="1010" t="s">
        <v>1403</v>
      </c>
      <c r="C18" s="1003" t="s">
        <v>1799</v>
      </c>
      <c r="D18" s="57" t="s">
        <v>19</v>
      </c>
      <c r="E18" s="57" t="s">
        <v>2017</v>
      </c>
      <c r="F18" s="57" t="s">
        <v>58</v>
      </c>
      <c r="G18" s="1004" t="s">
        <v>1751</v>
      </c>
      <c r="H18" s="762" t="s">
        <v>1800</v>
      </c>
      <c r="I18" s="999">
        <v>1000</v>
      </c>
      <c r="J18" s="513"/>
      <c r="K18" s="513"/>
      <c r="L18" s="513"/>
      <c r="M18" s="513"/>
    </row>
    <row r="19" spans="1:13" s="721" customFormat="1">
      <c r="A19" s="34">
        <v>18</v>
      </c>
      <c r="B19" s="1010" t="s">
        <v>1403</v>
      </c>
      <c r="C19" s="1003" t="s">
        <v>2019</v>
      </c>
      <c r="D19" s="57" t="s">
        <v>19</v>
      </c>
      <c r="E19" s="57" t="s">
        <v>2067</v>
      </c>
      <c r="F19" s="57" t="s">
        <v>2127</v>
      </c>
      <c r="G19" s="1004" t="s">
        <v>2018</v>
      </c>
      <c r="H19" s="762"/>
      <c r="I19" s="999">
        <v>1000</v>
      </c>
      <c r="J19" s="513"/>
      <c r="K19" s="513"/>
      <c r="L19" s="513"/>
      <c r="M19" s="513"/>
    </row>
    <row r="20" spans="1:13" s="721" customFormat="1">
      <c r="A20" s="34">
        <v>19</v>
      </c>
      <c r="B20" s="1010" t="s">
        <v>1403</v>
      </c>
      <c r="C20" s="1003" t="s">
        <v>2029</v>
      </c>
      <c r="D20" s="57" t="s">
        <v>19</v>
      </c>
      <c r="E20" s="57" t="s">
        <v>2030</v>
      </c>
      <c r="F20" s="57" t="s">
        <v>58</v>
      </c>
      <c r="G20" s="1004" t="s">
        <v>2026</v>
      </c>
      <c r="H20" s="762">
        <v>2024.05</v>
      </c>
      <c r="I20" s="999">
        <v>1000</v>
      </c>
      <c r="J20" s="513"/>
      <c r="K20" s="513"/>
      <c r="L20" s="513"/>
      <c r="M20" s="513"/>
    </row>
    <row r="21" spans="1:13">
      <c r="A21" s="34">
        <v>20</v>
      </c>
      <c r="B21" s="1010" t="s">
        <v>1403</v>
      </c>
      <c r="C21" s="1003" t="s">
        <v>2117</v>
      </c>
      <c r="D21" s="57" t="s">
        <v>19</v>
      </c>
      <c r="E21" s="1000" t="s">
        <v>2634</v>
      </c>
      <c r="F21" s="57" t="s">
        <v>58</v>
      </c>
      <c r="G21" s="1005" t="s">
        <v>2053</v>
      </c>
      <c r="H21" s="762"/>
      <c r="I21" s="999">
        <v>1000</v>
      </c>
      <c r="J21" s="513"/>
      <c r="K21" s="513"/>
      <c r="L21" s="513" t="s">
        <v>2050</v>
      </c>
      <c r="M21" s="513"/>
    </row>
    <row r="22" spans="1:13">
      <c r="A22" s="34">
        <v>21</v>
      </c>
      <c r="B22" s="1010" t="s">
        <v>1403</v>
      </c>
      <c r="C22" s="1003" t="s">
        <v>2124</v>
      </c>
      <c r="D22" s="57" t="s">
        <v>19</v>
      </c>
      <c r="E22" s="57" t="s">
        <v>2125</v>
      </c>
      <c r="F22" s="57" t="s">
        <v>2127</v>
      </c>
      <c r="G22" s="1004" t="s">
        <v>2126</v>
      </c>
      <c r="H22" s="762">
        <v>2024.07</v>
      </c>
      <c r="I22" s="999">
        <v>1000</v>
      </c>
      <c r="J22" s="513"/>
      <c r="K22" s="513"/>
      <c r="L22" s="513"/>
      <c r="M22" s="513"/>
    </row>
    <row r="23" spans="1:13">
      <c r="A23" s="34">
        <v>22</v>
      </c>
      <c r="B23" s="1010" t="s">
        <v>1403</v>
      </c>
      <c r="C23" s="1003" t="s">
        <v>2171</v>
      </c>
      <c r="D23" s="57" t="s">
        <v>19</v>
      </c>
      <c r="E23" s="57" t="s">
        <v>2172</v>
      </c>
      <c r="F23" s="57" t="s">
        <v>2182</v>
      </c>
      <c r="G23" s="1004" t="s">
        <v>2173</v>
      </c>
      <c r="H23" s="762">
        <v>2024.07</v>
      </c>
      <c r="I23" s="999"/>
      <c r="J23" s="513"/>
      <c r="K23" s="513"/>
      <c r="L23" s="513"/>
      <c r="M23" s="513"/>
    </row>
    <row r="24" spans="1:13">
      <c r="A24" s="34">
        <v>23</v>
      </c>
      <c r="B24" s="1010" t="s">
        <v>1403</v>
      </c>
      <c r="C24" s="1003" t="s">
        <v>2184</v>
      </c>
      <c r="D24" s="57" t="s">
        <v>19</v>
      </c>
      <c r="E24" s="57" t="s">
        <v>2186</v>
      </c>
      <c r="F24" s="57" t="s">
        <v>2127</v>
      </c>
      <c r="G24" s="1004" t="s">
        <v>2185</v>
      </c>
      <c r="H24" s="762">
        <v>2024.08</v>
      </c>
      <c r="I24" s="999"/>
      <c r="J24" s="513"/>
      <c r="K24" s="513"/>
      <c r="L24" s="513"/>
      <c r="M24" s="513"/>
    </row>
    <row r="25" spans="1:13">
      <c r="A25" s="34">
        <v>24</v>
      </c>
      <c r="B25" s="805" t="s">
        <v>1403</v>
      </c>
      <c r="C25" s="1006" t="s">
        <v>2217</v>
      </c>
      <c r="D25" s="778" t="s">
        <v>19</v>
      </c>
      <c r="E25" s="778" t="s">
        <v>2218</v>
      </c>
      <c r="F25" s="778" t="s">
        <v>58</v>
      </c>
      <c r="G25" s="1007" t="s">
        <v>2219</v>
      </c>
      <c r="H25" s="762" t="s">
        <v>2222</v>
      </c>
      <c r="I25" s="999"/>
      <c r="J25" s="513"/>
      <c r="K25" s="513"/>
      <c r="L25" s="513"/>
      <c r="M25" s="513"/>
    </row>
    <row r="26" spans="1:13">
      <c r="A26" s="34">
        <v>25</v>
      </c>
      <c r="B26" s="805" t="s">
        <v>1403</v>
      </c>
      <c r="C26" s="1006" t="s">
        <v>2240</v>
      </c>
      <c r="D26" s="778" t="s">
        <v>19</v>
      </c>
      <c r="E26" s="778" t="s">
        <v>2237</v>
      </c>
      <c r="F26" s="778" t="s">
        <v>58</v>
      </c>
      <c r="G26" s="1007" t="s">
        <v>2238</v>
      </c>
      <c r="H26" s="762" t="s">
        <v>2239</v>
      </c>
      <c r="I26" s="999"/>
      <c r="J26" s="513"/>
      <c r="K26" s="513"/>
      <c r="L26" s="513"/>
      <c r="M26" s="513"/>
    </row>
    <row r="27" spans="1:13">
      <c r="A27" s="34">
        <v>26</v>
      </c>
      <c r="B27" s="805" t="s">
        <v>1403</v>
      </c>
      <c r="C27" s="1006" t="s">
        <v>2245</v>
      </c>
      <c r="D27" s="778" t="s">
        <v>19</v>
      </c>
      <c r="E27" s="778" t="s">
        <v>2246</v>
      </c>
      <c r="F27" s="778" t="s">
        <v>2247</v>
      </c>
      <c r="G27" s="1007" t="s">
        <v>2244</v>
      </c>
      <c r="H27" s="762" t="s">
        <v>2243</v>
      </c>
      <c r="I27" s="999"/>
      <c r="J27" s="513"/>
      <c r="K27" s="513"/>
      <c r="L27" s="513"/>
      <c r="M27" s="513"/>
    </row>
    <row r="28" spans="1:13">
      <c r="A28" s="34">
        <v>27</v>
      </c>
      <c r="B28" s="805" t="s">
        <v>1403</v>
      </c>
      <c r="C28" s="1006" t="s">
        <v>2250</v>
      </c>
      <c r="D28" s="778" t="s">
        <v>19</v>
      </c>
      <c r="E28" s="778" t="s">
        <v>2251</v>
      </c>
      <c r="F28" s="778" t="s">
        <v>58</v>
      </c>
      <c r="G28" s="1007" t="s">
        <v>2252</v>
      </c>
      <c r="H28" s="762">
        <v>2024.08</v>
      </c>
      <c r="I28" s="999"/>
      <c r="J28" s="513"/>
      <c r="K28" s="513"/>
      <c r="L28" s="513"/>
      <c r="M28" s="513"/>
    </row>
    <row r="29" spans="1:13">
      <c r="A29" s="34">
        <v>28</v>
      </c>
      <c r="B29" s="805" t="s">
        <v>1403</v>
      </c>
      <c r="C29" s="1006" t="s">
        <v>2270</v>
      </c>
      <c r="D29" s="778" t="s">
        <v>19</v>
      </c>
      <c r="E29" s="1000" t="s">
        <v>2635</v>
      </c>
      <c r="F29" s="778" t="s">
        <v>2272</v>
      </c>
      <c r="G29" s="1007" t="s">
        <v>2271</v>
      </c>
      <c r="H29" s="762">
        <v>2025.01</v>
      </c>
      <c r="I29" s="999"/>
      <c r="J29" s="513"/>
      <c r="K29" s="513"/>
      <c r="L29" s="513"/>
      <c r="M29" s="513"/>
    </row>
    <row r="30" spans="1:13">
      <c r="A30" s="34">
        <v>29</v>
      </c>
      <c r="B30" s="805" t="s">
        <v>1403</v>
      </c>
      <c r="C30" s="1006" t="s">
        <v>2466</v>
      </c>
      <c r="D30" s="778" t="s">
        <v>19</v>
      </c>
      <c r="E30" s="778" t="s">
        <v>2467</v>
      </c>
      <c r="F30" s="778" t="s">
        <v>58</v>
      </c>
      <c r="G30" s="1007" t="s">
        <v>2468</v>
      </c>
      <c r="H30" s="762">
        <v>2025.03</v>
      </c>
      <c r="I30" s="999"/>
      <c r="J30" s="513"/>
      <c r="K30" s="513"/>
      <c r="L30" s="513"/>
      <c r="M30" s="513"/>
    </row>
    <row r="31" spans="1:13">
      <c r="A31" s="34">
        <v>30</v>
      </c>
      <c r="B31" s="805" t="s">
        <v>1403</v>
      </c>
      <c r="C31" s="1006" t="s">
        <v>2508</v>
      </c>
      <c r="D31" s="778" t="s">
        <v>19</v>
      </c>
      <c r="E31" s="778" t="s">
        <v>2469</v>
      </c>
      <c r="F31" s="57" t="s">
        <v>2127</v>
      </c>
      <c r="G31" s="1007" t="s">
        <v>2470</v>
      </c>
      <c r="H31" s="762">
        <v>2025.03</v>
      </c>
      <c r="I31" s="999"/>
      <c r="J31" s="513"/>
      <c r="K31" s="513"/>
      <c r="L31" s="513"/>
      <c r="M31" s="513"/>
    </row>
    <row r="32" spans="1:13">
      <c r="A32" s="34">
        <v>31</v>
      </c>
      <c r="B32" s="805" t="s">
        <v>1403</v>
      </c>
      <c r="C32" s="1006" t="s">
        <v>2509</v>
      </c>
      <c r="D32" s="778" t="s">
        <v>19</v>
      </c>
      <c r="E32" s="778" t="s">
        <v>2510</v>
      </c>
      <c r="F32" s="57" t="s">
        <v>58</v>
      </c>
      <c r="G32" s="1007" t="s">
        <v>2625</v>
      </c>
      <c r="H32" s="762">
        <v>2025.04</v>
      </c>
      <c r="I32" s="999"/>
      <c r="J32" s="513"/>
      <c r="K32" s="513"/>
      <c r="L32" s="513"/>
      <c r="M32" s="513"/>
    </row>
    <row r="33" spans="1:13">
      <c r="A33" s="34">
        <v>32</v>
      </c>
      <c r="B33" s="805" t="s">
        <v>1403</v>
      </c>
      <c r="C33" s="1006" t="s">
        <v>2606</v>
      </c>
      <c r="D33" s="778" t="s">
        <v>19</v>
      </c>
      <c r="E33" s="778" t="s">
        <v>2607</v>
      </c>
      <c r="F33" s="57" t="s">
        <v>73</v>
      </c>
      <c r="G33" s="1007" t="s">
        <v>2608</v>
      </c>
      <c r="H33" s="762">
        <v>2025.05</v>
      </c>
      <c r="I33" s="999"/>
      <c r="J33" s="513"/>
      <c r="K33" s="513"/>
      <c r="L33" s="513"/>
      <c r="M33" s="513"/>
    </row>
    <row r="34" spans="1:13">
      <c r="A34" s="34">
        <v>33</v>
      </c>
      <c r="B34" s="805" t="s">
        <v>1403</v>
      </c>
      <c r="C34" s="1006" t="s">
        <v>2689</v>
      </c>
      <c r="D34" s="778" t="s">
        <v>19</v>
      </c>
      <c r="E34" s="778" t="s">
        <v>2690</v>
      </c>
      <c r="F34" s="57" t="s">
        <v>58</v>
      </c>
      <c r="G34" s="1007" t="s">
        <v>2692</v>
      </c>
      <c r="H34" s="762" t="s">
        <v>2693</v>
      </c>
      <c r="I34" s="999"/>
      <c r="J34" s="513"/>
      <c r="K34" s="513"/>
      <c r="L34" s="513"/>
      <c r="M34" s="513"/>
    </row>
    <row r="35" spans="1:13">
      <c r="A35" s="34">
        <v>34</v>
      </c>
      <c r="B35" s="805" t="s">
        <v>1403</v>
      </c>
      <c r="C35" s="1006" t="s">
        <v>2730</v>
      </c>
      <c r="D35" s="778" t="s">
        <v>19</v>
      </c>
      <c r="E35" s="778" t="s">
        <v>2691</v>
      </c>
      <c r="F35" s="57" t="s">
        <v>2127</v>
      </c>
      <c r="G35" s="1007" t="s">
        <v>2694</v>
      </c>
      <c r="H35" s="762" t="s">
        <v>2695</v>
      </c>
      <c r="I35" s="999"/>
      <c r="J35" s="513"/>
      <c r="K35" s="513"/>
      <c r="L35" s="513"/>
      <c r="M35" s="513"/>
    </row>
    <row r="36" spans="1:13">
      <c r="A36" s="34">
        <v>35</v>
      </c>
      <c r="B36" s="805" t="s">
        <v>1403</v>
      </c>
      <c r="C36" s="1006" t="s">
        <v>2738</v>
      </c>
      <c r="D36" s="778" t="s">
        <v>19</v>
      </c>
      <c r="E36" s="778" t="s">
        <v>2739</v>
      </c>
      <c r="F36" s="57" t="s">
        <v>58</v>
      </c>
      <c r="G36" s="1008" t="s">
        <v>2740</v>
      </c>
      <c r="H36" s="762" t="s">
        <v>2741</v>
      </c>
      <c r="I36" s="999"/>
      <c r="J36" s="513"/>
      <c r="K36" s="513"/>
      <c r="L36" s="513"/>
      <c r="M36" s="513"/>
    </row>
    <row r="37" spans="1:13">
      <c r="A37" s="34">
        <v>36</v>
      </c>
      <c r="B37" s="805" t="s">
        <v>1403</v>
      </c>
      <c r="C37" s="1006" t="s">
        <v>2886</v>
      </c>
      <c r="D37" s="778" t="s">
        <v>19</v>
      </c>
      <c r="E37" s="778" t="s">
        <v>2888</v>
      </c>
      <c r="F37" s="57" t="s">
        <v>2127</v>
      </c>
      <c r="G37" s="1008" t="s">
        <v>2887</v>
      </c>
      <c r="H37" s="762" t="s">
        <v>2889</v>
      </c>
      <c r="I37" s="999"/>
      <c r="J37" s="513"/>
      <c r="K37" s="513"/>
      <c r="L37" s="513"/>
      <c r="M37" s="513"/>
    </row>
    <row r="38" spans="1:13">
      <c r="A38" s="34">
        <v>37</v>
      </c>
      <c r="B38" s="57" t="s">
        <v>1403</v>
      </c>
      <c r="C38" s="1003" t="s">
        <v>2021</v>
      </c>
      <c r="D38" s="57" t="s">
        <v>19</v>
      </c>
      <c r="E38" s="57" t="s">
        <v>2944</v>
      </c>
      <c r="F38" s="57" t="s">
        <v>58</v>
      </c>
      <c r="G38" s="1004" t="s">
        <v>2020</v>
      </c>
      <c r="H38" s="762"/>
      <c r="I38" s="999">
        <v>1000</v>
      </c>
      <c r="J38" s="513"/>
      <c r="K38" s="513"/>
      <c r="L38" s="513"/>
      <c r="M38" s="513"/>
    </row>
    <row r="39" spans="1:13">
      <c r="A39" s="34">
        <v>38</v>
      </c>
      <c r="B39" s="57" t="s">
        <v>1403</v>
      </c>
      <c r="C39" s="1003" t="s">
        <v>3004</v>
      </c>
      <c r="D39" s="57" t="s">
        <v>19</v>
      </c>
      <c r="E39" s="57" t="s">
        <v>3005</v>
      </c>
      <c r="F39" s="57" t="s">
        <v>58</v>
      </c>
      <c r="G39" s="1004" t="s">
        <v>3006</v>
      </c>
      <c r="H39" s="762"/>
      <c r="I39" s="999">
        <v>1000</v>
      </c>
      <c r="J39" s="513"/>
      <c r="K39" s="513"/>
      <c r="L39" s="513"/>
      <c r="M39" s="513"/>
    </row>
    <row r="40" spans="1:13">
      <c r="A40" s="34">
        <v>39</v>
      </c>
      <c r="B40" s="57" t="s">
        <v>1403</v>
      </c>
      <c r="C40" s="1003" t="s">
        <v>3003</v>
      </c>
      <c r="D40" s="57" t="s">
        <v>19</v>
      </c>
      <c r="E40" s="57" t="s">
        <v>3002</v>
      </c>
      <c r="F40" s="57" t="s">
        <v>58</v>
      </c>
      <c r="G40" s="1004" t="s">
        <v>3001</v>
      </c>
      <c r="H40" s="762"/>
      <c r="I40" s="999">
        <v>1000</v>
      </c>
      <c r="J40" s="513"/>
      <c r="K40" s="513"/>
      <c r="L40" s="513"/>
      <c r="M40" s="513"/>
    </row>
    <row r="41" spans="1:13">
      <c r="A41" s="34">
        <v>40</v>
      </c>
      <c r="B41" s="57" t="s">
        <v>1403</v>
      </c>
      <c r="C41" s="1003" t="s">
        <v>3030</v>
      </c>
      <c r="D41" s="57" t="s">
        <v>19</v>
      </c>
      <c r="E41" s="57" t="s">
        <v>3031</v>
      </c>
      <c r="F41" s="57" t="s">
        <v>58</v>
      </c>
      <c r="G41" s="1004" t="s">
        <v>3045</v>
      </c>
      <c r="H41" s="762">
        <v>2025.05</v>
      </c>
      <c r="I41" s="999">
        <v>1000</v>
      </c>
      <c r="J41" s="513"/>
      <c r="K41" s="513"/>
      <c r="L41" s="513"/>
      <c r="M41" s="513"/>
    </row>
    <row r="42" spans="1:13">
      <c r="A42" s="34">
        <v>41</v>
      </c>
      <c r="B42" s="57" t="s">
        <v>1403</v>
      </c>
      <c r="C42" s="1003" t="s">
        <v>3046</v>
      </c>
      <c r="D42" s="57" t="s">
        <v>19</v>
      </c>
      <c r="E42" s="57"/>
      <c r="F42" s="57" t="s">
        <v>73</v>
      </c>
      <c r="G42" s="1004" t="s">
        <v>3047</v>
      </c>
      <c r="H42" s="762">
        <v>2026.04</v>
      </c>
      <c r="I42" s="999">
        <v>10</v>
      </c>
      <c r="J42" s="513"/>
      <c r="K42" s="513"/>
      <c r="L42" s="513"/>
      <c r="M42" s="513"/>
    </row>
    <row r="43" spans="1:13">
      <c r="A43" s="34">
        <v>42</v>
      </c>
      <c r="B43" s="57" t="s">
        <v>1403</v>
      </c>
      <c r="C43" s="1003" t="s">
        <v>3088</v>
      </c>
      <c r="D43" s="57" t="s">
        <v>19</v>
      </c>
      <c r="E43" s="57"/>
      <c r="F43" s="57" t="s">
        <v>73</v>
      </c>
      <c r="G43" s="1004" t="s">
        <v>3089</v>
      </c>
      <c r="H43" s="762">
        <v>2026.05</v>
      </c>
      <c r="I43" s="999">
        <v>10</v>
      </c>
      <c r="J43" s="513"/>
      <c r="K43" s="513"/>
      <c r="L43" s="513"/>
      <c r="M43" s="513"/>
    </row>
    <row r="44" spans="1:13">
      <c r="A44" s="34">
        <v>42</v>
      </c>
      <c r="B44" s="57" t="s">
        <v>1403</v>
      </c>
      <c r="C44" s="1003" t="s">
        <v>3100</v>
      </c>
      <c r="D44" s="57" t="s">
        <v>19</v>
      </c>
      <c r="E44" s="57"/>
      <c r="F44" s="57" t="s">
        <v>58</v>
      </c>
      <c r="G44" s="1004" t="s">
        <v>3101</v>
      </c>
      <c r="H44" s="762">
        <v>2026.05</v>
      </c>
      <c r="I44" s="999">
        <v>10</v>
      </c>
      <c r="J44" s="513"/>
      <c r="K44" s="513"/>
      <c r="L44" s="513"/>
      <c r="M44" s="513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5">
    <tabColor theme="9" tint="0.59999389629810485"/>
  </sheetPr>
  <dimension ref="A1:L80"/>
  <sheetViews>
    <sheetView topLeftCell="B1" zoomScale="85" zoomScaleNormal="85" workbookViewId="0">
      <pane ySplit="1" topLeftCell="A31" activePane="bottomLeft" state="frozen"/>
      <selection activeCell="J194" sqref="J194"/>
      <selection pane="bottomLeft" activeCell="H57" sqref="H57"/>
    </sheetView>
  </sheetViews>
  <sheetFormatPr defaultRowHeight="16.5"/>
  <cols>
    <col min="1" max="1" width="9" style="888"/>
    <col min="2" max="2" width="16.125" style="1015" bestFit="1" customWidth="1"/>
    <col min="3" max="4" width="11.125" style="1015" customWidth="1"/>
    <col min="5" max="5" width="15.875" style="1016" bestFit="1" customWidth="1"/>
    <col min="6" max="6" width="10.625" style="1015" customWidth="1"/>
    <col min="7" max="7" width="16.75" style="1015" bestFit="1" customWidth="1"/>
    <col min="8" max="8" width="82.375" style="1015" bestFit="1" customWidth="1"/>
    <col min="9" max="9" width="12.125" style="1017" customWidth="1"/>
    <col min="10" max="10" width="11.875" style="1018" bestFit="1" customWidth="1"/>
    <col min="11" max="11" width="20.625" style="1019" bestFit="1" customWidth="1"/>
    <col min="12" max="12" width="20" style="1019" bestFit="1" customWidth="1"/>
    <col min="13" max="16384" width="9" style="888"/>
  </cols>
  <sheetData>
    <row r="1" spans="1:12" ht="24" customHeight="1">
      <c r="A1" s="1027" t="s">
        <v>2778</v>
      </c>
      <c r="B1" s="1020" t="s">
        <v>0</v>
      </c>
      <c r="C1" s="1020" t="s">
        <v>1</v>
      </c>
      <c r="D1" s="1020" t="s">
        <v>232</v>
      </c>
      <c r="E1" s="1020" t="s">
        <v>1862</v>
      </c>
      <c r="F1" s="1020" t="s">
        <v>3</v>
      </c>
      <c r="G1" s="1021" t="s">
        <v>4</v>
      </c>
      <c r="H1" s="1020" t="s">
        <v>5</v>
      </c>
      <c r="I1" s="1022" t="s">
        <v>6</v>
      </c>
      <c r="J1" s="1023" t="s">
        <v>7</v>
      </c>
      <c r="K1" s="1024" t="s">
        <v>8</v>
      </c>
      <c r="L1" s="1024" t="s">
        <v>9</v>
      </c>
    </row>
    <row r="2" spans="1:12" ht="18.75" customHeight="1">
      <c r="A2" s="34">
        <v>1</v>
      </c>
      <c r="B2" s="43" t="s">
        <v>266</v>
      </c>
      <c r="C2" s="225">
        <v>107602</v>
      </c>
      <c r="D2" s="43" t="s">
        <v>274</v>
      </c>
      <c r="E2" s="546" t="s">
        <v>2366</v>
      </c>
      <c r="F2" s="225" t="s">
        <v>49</v>
      </c>
      <c r="G2" s="538" t="s">
        <v>1609</v>
      </c>
      <c r="H2" s="542" t="s">
        <v>1653</v>
      </c>
      <c r="I2" s="46">
        <v>2015.1</v>
      </c>
      <c r="J2" s="45">
        <v>998.96</v>
      </c>
      <c r="K2" s="44"/>
      <c r="L2" s="44"/>
    </row>
    <row r="3" spans="1:12" s="1012" customFormat="1" ht="18.75" customHeight="1">
      <c r="A3" s="34">
        <v>2</v>
      </c>
      <c r="B3" s="43" t="s">
        <v>266</v>
      </c>
      <c r="C3" s="43">
        <v>107603</v>
      </c>
      <c r="D3" s="43" t="s">
        <v>274</v>
      </c>
      <c r="E3" s="546" t="s">
        <v>2369</v>
      </c>
      <c r="F3" s="43" t="s">
        <v>49</v>
      </c>
      <c r="G3" s="538" t="s">
        <v>1609</v>
      </c>
      <c r="H3" s="540" t="s">
        <v>1629</v>
      </c>
      <c r="I3" s="46">
        <v>2015.1</v>
      </c>
      <c r="J3" s="45">
        <v>989.25</v>
      </c>
      <c r="K3" s="44"/>
      <c r="L3" s="44"/>
    </row>
    <row r="4" spans="1:12" ht="18.75" customHeight="1">
      <c r="A4" s="34">
        <v>3</v>
      </c>
      <c r="B4" s="43" t="s">
        <v>266</v>
      </c>
      <c r="C4" s="43">
        <v>109972</v>
      </c>
      <c r="D4" s="43" t="s">
        <v>274</v>
      </c>
      <c r="E4" s="897" t="s">
        <v>2368</v>
      </c>
      <c r="F4" s="43" t="s">
        <v>277</v>
      </c>
      <c r="G4" s="538" t="s">
        <v>278</v>
      </c>
      <c r="H4" s="538" t="s">
        <v>279</v>
      </c>
      <c r="I4" s="46">
        <v>2015.08</v>
      </c>
      <c r="J4" s="45">
        <v>804.89</v>
      </c>
      <c r="K4" s="44">
        <v>175009617784</v>
      </c>
      <c r="L4" s="44">
        <v>217433361416</v>
      </c>
    </row>
    <row r="5" spans="1:12" ht="18.75" customHeight="1">
      <c r="A5" s="34">
        <v>4</v>
      </c>
      <c r="B5" s="43" t="s">
        <v>266</v>
      </c>
      <c r="C5" s="225">
        <v>119956</v>
      </c>
      <c r="D5" s="43" t="s">
        <v>274</v>
      </c>
      <c r="E5" s="897" t="s">
        <v>2387</v>
      </c>
      <c r="F5" s="225" t="s">
        <v>49</v>
      </c>
      <c r="G5" s="538" t="s">
        <v>1609</v>
      </c>
      <c r="H5" s="540" t="s">
        <v>1642</v>
      </c>
      <c r="I5" s="46">
        <v>2019.08</v>
      </c>
      <c r="J5" s="45">
        <v>995.42</v>
      </c>
      <c r="K5" s="44"/>
      <c r="L5" s="44"/>
    </row>
    <row r="6" spans="1:12" ht="18.75" customHeight="1">
      <c r="A6" s="34">
        <v>5</v>
      </c>
      <c r="B6" s="43" t="s">
        <v>266</v>
      </c>
      <c r="C6" s="43">
        <v>119962</v>
      </c>
      <c r="D6" s="43" t="s">
        <v>274</v>
      </c>
      <c r="E6" s="897" t="s">
        <v>2388</v>
      </c>
      <c r="F6" s="43" t="s">
        <v>277</v>
      </c>
      <c r="G6" s="538"/>
      <c r="H6" s="538" t="s">
        <v>290</v>
      </c>
      <c r="I6" s="539">
        <v>2019.09</v>
      </c>
      <c r="J6" s="45">
        <v>975.49</v>
      </c>
      <c r="K6" s="44">
        <v>66518094985</v>
      </c>
      <c r="L6" s="44">
        <v>68189202339</v>
      </c>
    </row>
    <row r="7" spans="1:12" s="1012" customFormat="1" ht="18.75" customHeight="1">
      <c r="A7" s="34">
        <v>6</v>
      </c>
      <c r="B7" s="43" t="s">
        <v>266</v>
      </c>
      <c r="C7" s="225">
        <v>203002</v>
      </c>
      <c r="D7" s="43" t="s">
        <v>33</v>
      </c>
      <c r="E7" s="546" t="s">
        <v>2361</v>
      </c>
      <c r="F7" s="43" t="s">
        <v>269</v>
      </c>
      <c r="G7" s="538"/>
      <c r="H7" s="538" t="s">
        <v>292</v>
      </c>
      <c r="I7" s="539">
        <v>2009.02</v>
      </c>
      <c r="J7" s="45">
        <v>1474.9</v>
      </c>
      <c r="K7" s="44">
        <v>225489000000</v>
      </c>
      <c r="L7" s="44">
        <v>152885000000</v>
      </c>
    </row>
    <row r="8" spans="1:12" s="1012" customFormat="1">
      <c r="A8" s="34">
        <v>7</v>
      </c>
      <c r="B8" s="43" t="s">
        <v>266</v>
      </c>
      <c r="C8" s="225">
        <v>209960</v>
      </c>
      <c r="D8" s="43" t="s">
        <v>33</v>
      </c>
      <c r="E8" s="546" t="s">
        <v>2364</v>
      </c>
      <c r="F8" s="43" t="s">
        <v>269</v>
      </c>
      <c r="G8" s="538"/>
      <c r="H8" s="538" t="s">
        <v>295</v>
      </c>
      <c r="I8" s="539">
        <v>2013.03</v>
      </c>
      <c r="J8" s="45">
        <v>1340.5</v>
      </c>
      <c r="K8" s="44">
        <v>7326000000</v>
      </c>
      <c r="L8" s="44">
        <v>5465000000</v>
      </c>
    </row>
    <row r="9" spans="1:12" s="1012" customFormat="1">
      <c r="A9" s="34">
        <v>8</v>
      </c>
      <c r="B9" s="43" t="s">
        <v>266</v>
      </c>
      <c r="C9" s="43">
        <v>219940</v>
      </c>
      <c r="D9" s="43" t="s">
        <v>274</v>
      </c>
      <c r="E9" s="897" t="s">
        <v>2394</v>
      </c>
      <c r="F9" s="43" t="s">
        <v>149</v>
      </c>
      <c r="G9" s="538"/>
      <c r="H9" s="538" t="s">
        <v>810</v>
      </c>
      <c r="I9" s="46">
        <v>2021.08</v>
      </c>
      <c r="J9" s="45">
        <v>950.07</v>
      </c>
      <c r="K9" s="44">
        <v>10510515962</v>
      </c>
      <c r="L9" s="44">
        <v>11062935557</v>
      </c>
    </row>
    <row r="10" spans="1:12">
      <c r="A10" s="34">
        <v>9</v>
      </c>
      <c r="B10" s="43" t="s">
        <v>266</v>
      </c>
      <c r="C10" s="43">
        <v>230964</v>
      </c>
      <c r="D10" s="43" t="s">
        <v>33</v>
      </c>
      <c r="E10" s="546" t="s">
        <v>2367</v>
      </c>
      <c r="F10" s="43" t="s">
        <v>269</v>
      </c>
      <c r="G10" s="538"/>
      <c r="H10" s="538" t="s">
        <v>291</v>
      </c>
      <c r="I10" s="46">
        <v>2015.06</v>
      </c>
      <c r="J10" s="45">
        <v>1688.68</v>
      </c>
      <c r="K10" s="44">
        <v>32292000000</v>
      </c>
      <c r="L10" s="44">
        <v>19122000000</v>
      </c>
    </row>
    <row r="11" spans="1:12" ht="15.75" customHeight="1">
      <c r="A11" s="34">
        <v>10</v>
      </c>
      <c r="B11" s="43" t="s">
        <v>266</v>
      </c>
      <c r="C11" s="225">
        <v>231902</v>
      </c>
      <c r="D11" s="43" t="s">
        <v>274</v>
      </c>
      <c r="E11" s="897" t="s">
        <v>2370</v>
      </c>
      <c r="F11" s="225" t="s">
        <v>49</v>
      </c>
      <c r="G11" s="538" t="s">
        <v>1609</v>
      </c>
      <c r="H11" s="542" t="s">
        <v>1756</v>
      </c>
      <c r="I11" s="46">
        <v>2016.11</v>
      </c>
      <c r="J11" s="44">
        <v>1024.5999999999999</v>
      </c>
      <c r="K11" s="44"/>
      <c r="L11" s="44"/>
    </row>
    <row r="12" spans="1:12">
      <c r="A12" s="34">
        <v>11</v>
      </c>
      <c r="B12" s="43" t="s">
        <v>266</v>
      </c>
      <c r="C12" s="43">
        <v>231904</v>
      </c>
      <c r="D12" s="43" t="s">
        <v>274</v>
      </c>
      <c r="E12" s="545" t="s">
        <v>1868</v>
      </c>
      <c r="F12" s="43" t="s">
        <v>287</v>
      </c>
      <c r="G12" s="538" t="s">
        <v>1592</v>
      </c>
      <c r="H12" s="526" t="s">
        <v>1593</v>
      </c>
      <c r="I12" s="1025" t="s">
        <v>1602</v>
      </c>
      <c r="J12" s="45">
        <v>1055.5</v>
      </c>
      <c r="K12" s="44"/>
      <c r="L12" s="44" t="s">
        <v>1594</v>
      </c>
    </row>
    <row r="13" spans="1:12">
      <c r="A13" s="34">
        <v>12</v>
      </c>
      <c r="B13" s="43" t="s">
        <v>266</v>
      </c>
      <c r="C13" s="225">
        <v>231911</v>
      </c>
      <c r="D13" s="43" t="s">
        <v>274</v>
      </c>
      <c r="E13" s="897" t="s">
        <v>2373</v>
      </c>
      <c r="F13" s="225" t="s">
        <v>1646</v>
      </c>
      <c r="G13" s="538" t="s">
        <v>1609</v>
      </c>
      <c r="H13" s="540" t="s">
        <v>1631</v>
      </c>
      <c r="I13" s="46">
        <v>2017.04</v>
      </c>
      <c r="J13" s="45">
        <v>934.78</v>
      </c>
      <c r="K13" s="44"/>
      <c r="L13" s="44"/>
    </row>
    <row r="14" spans="1:12">
      <c r="A14" s="34">
        <v>13</v>
      </c>
      <c r="B14" s="43" t="s">
        <v>266</v>
      </c>
      <c r="C14" s="225">
        <v>231912</v>
      </c>
      <c r="D14" s="43" t="s">
        <v>274</v>
      </c>
      <c r="E14" s="897" t="s">
        <v>2371</v>
      </c>
      <c r="F14" s="225" t="s">
        <v>49</v>
      </c>
      <c r="G14" s="538" t="s">
        <v>1609</v>
      </c>
      <c r="H14" s="542" t="s">
        <v>1656</v>
      </c>
      <c r="I14" s="46">
        <v>2017.03</v>
      </c>
      <c r="J14" s="45">
        <v>1023.19</v>
      </c>
      <c r="K14" s="44"/>
      <c r="L14" s="44"/>
    </row>
    <row r="15" spans="1:12">
      <c r="A15" s="34">
        <v>14</v>
      </c>
      <c r="B15" s="43" t="s">
        <v>266</v>
      </c>
      <c r="C15" s="225">
        <v>231913</v>
      </c>
      <c r="D15" s="43" t="s">
        <v>274</v>
      </c>
      <c r="E15" s="897" t="s">
        <v>2372</v>
      </c>
      <c r="F15" s="225" t="s">
        <v>49</v>
      </c>
      <c r="G15" s="538" t="s">
        <v>1609</v>
      </c>
      <c r="H15" s="542" t="s">
        <v>1657</v>
      </c>
      <c r="I15" s="46">
        <v>2017.03</v>
      </c>
      <c r="J15" s="45">
        <v>1006.84</v>
      </c>
      <c r="K15" s="44"/>
      <c r="L15" s="44"/>
    </row>
    <row r="16" spans="1:12" ht="17.25" customHeight="1">
      <c r="A16" s="34">
        <v>15</v>
      </c>
      <c r="B16" s="43" t="s">
        <v>266</v>
      </c>
      <c r="C16" s="225">
        <v>231914</v>
      </c>
      <c r="D16" s="43" t="s">
        <v>274</v>
      </c>
      <c r="E16" s="897" t="s">
        <v>2407</v>
      </c>
      <c r="F16" s="225" t="s">
        <v>49</v>
      </c>
      <c r="G16" s="538" t="s">
        <v>1609</v>
      </c>
      <c r="H16" s="542" t="s">
        <v>1655</v>
      </c>
      <c r="I16" s="46">
        <v>2017.04</v>
      </c>
      <c r="J16" s="45">
        <v>1736.23</v>
      </c>
      <c r="K16" s="44"/>
      <c r="L16" s="44"/>
    </row>
    <row r="17" spans="1:12" s="1012" customFormat="1">
      <c r="A17" s="34">
        <v>16</v>
      </c>
      <c r="B17" s="43" t="s">
        <v>266</v>
      </c>
      <c r="C17" s="225">
        <v>231933</v>
      </c>
      <c r="D17" s="43" t="s">
        <v>274</v>
      </c>
      <c r="E17" s="897" t="s">
        <v>2377</v>
      </c>
      <c r="F17" s="225" t="s">
        <v>1646</v>
      </c>
      <c r="G17" s="538" t="s">
        <v>1609</v>
      </c>
      <c r="H17" s="542" t="s">
        <v>1654</v>
      </c>
      <c r="I17" s="46">
        <v>2017.11</v>
      </c>
      <c r="J17" s="45">
        <v>985.12</v>
      </c>
      <c r="K17" s="44"/>
      <c r="L17" s="44"/>
    </row>
    <row r="18" spans="1:12">
      <c r="A18" s="34">
        <v>17</v>
      </c>
      <c r="B18" s="43" t="s">
        <v>266</v>
      </c>
      <c r="C18" s="225">
        <v>231934</v>
      </c>
      <c r="D18" s="43" t="s">
        <v>274</v>
      </c>
      <c r="E18" s="897" t="s">
        <v>2375</v>
      </c>
      <c r="F18" s="225" t="s">
        <v>1646</v>
      </c>
      <c r="G18" s="538" t="s">
        <v>1609</v>
      </c>
      <c r="H18" s="541" t="s">
        <v>1639</v>
      </c>
      <c r="I18" s="46">
        <v>2017.12</v>
      </c>
      <c r="J18" s="45">
        <v>1189.98</v>
      </c>
      <c r="K18" s="44"/>
      <c r="L18" s="44"/>
    </row>
    <row r="19" spans="1:12">
      <c r="A19" s="34">
        <v>18</v>
      </c>
      <c r="B19" s="43" t="s">
        <v>266</v>
      </c>
      <c r="C19" s="225">
        <v>231935</v>
      </c>
      <c r="D19" s="43" t="s">
        <v>274</v>
      </c>
      <c r="E19" s="897" t="s">
        <v>2376</v>
      </c>
      <c r="F19" s="225" t="s">
        <v>1646</v>
      </c>
      <c r="G19" s="538" t="s">
        <v>1609</v>
      </c>
      <c r="H19" s="540" t="s">
        <v>1645</v>
      </c>
      <c r="I19" s="46">
        <v>2017.12</v>
      </c>
      <c r="J19" s="45">
        <v>1190.04</v>
      </c>
      <c r="K19" s="44"/>
      <c r="L19" s="44"/>
    </row>
    <row r="20" spans="1:12">
      <c r="A20" s="34">
        <v>19</v>
      </c>
      <c r="B20" s="43" t="s">
        <v>266</v>
      </c>
      <c r="C20" s="43">
        <v>231937</v>
      </c>
      <c r="D20" s="43" t="s">
        <v>274</v>
      </c>
      <c r="E20" s="43" t="s">
        <v>1863</v>
      </c>
      <c r="F20" s="43" t="s">
        <v>277</v>
      </c>
      <c r="G20" s="538"/>
      <c r="H20" s="538" t="s">
        <v>283</v>
      </c>
      <c r="I20" s="539">
        <v>2017.1</v>
      </c>
      <c r="J20" s="45">
        <v>1537.03</v>
      </c>
      <c r="K20" s="44">
        <v>24391236890</v>
      </c>
      <c r="L20" s="44">
        <v>15869095470</v>
      </c>
    </row>
    <row r="21" spans="1:12">
      <c r="A21" s="34">
        <v>20</v>
      </c>
      <c r="B21" s="43" t="s">
        <v>266</v>
      </c>
      <c r="C21" s="43">
        <v>231939</v>
      </c>
      <c r="D21" s="43" t="s">
        <v>274</v>
      </c>
      <c r="E21" s="897" t="s">
        <v>2378</v>
      </c>
      <c r="F21" s="43" t="s">
        <v>277</v>
      </c>
      <c r="G21" s="538"/>
      <c r="H21" s="538" t="s">
        <v>284</v>
      </c>
      <c r="I21" s="46">
        <v>2018.06</v>
      </c>
      <c r="J21" s="45">
        <v>1275.27</v>
      </c>
      <c r="K21" s="44">
        <v>49610000000</v>
      </c>
      <c r="L21" s="44"/>
    </row>
    <row r="22" spans="1:12" s="1012" customFormat="1">
      <c r="A22" s="34">
        <v>21</v>
      </c>
      <c r="B22" s="43" t="s">
        <v>266</v>
      </c>
      <c r="C22" s="43">
        <v>231941</v>
      </c>
      <c r="D22" s="43" t="s">
        <v>274</v>
      </c>
      <c r="E22" s="897" t="s">
        <v>2379</v>
      </c>
      <c r="F22" s="43" t="s">
        <v>269</v>
      </c>
      <c r="G22" s="538"/>
      <c r="H22" s="538" t="s">
        <v>282</v>
      </c>
      <c r="I22" s="46">
        <v>2018.01</v>
      </c>
      <c r="J22" s="45">
        <v>908.6</v>
      </c>
      <c r="K22" s="44">
        <v>12142200852</v>
      </c>
      <c r="L22" s="44">
        <v>13363577219</v>
      </c>
    </row>
    <row r="23" spans="1:12">
      <c r="A23" s="34">
        <v>22</v>
      </c>
      <c r="B23" s="43" t="s">
        <v>266</v>
      </c>
      <c r="C23" s="225">
        <v>231943</v>
      </c>
      <c r="D23" s="43" t="s">
        <v>274</v>
      </c>
      <c r="E23" s="897" t="s">
        <v>2380</v>
      </c>
      <c r="F23" s="225" t="s">
        <v>125</v>
      </c>
      <c r="G23" s="538" t="s">
        <v>1609</v>
      </c>
      <c r="H23" s="540" t="s">
        <v>1643</v>
      </c>
      <c r="I23" s="46">
        <v>2018.04</v>
      </c>
      <c r="J23" s="45">
        <v>890.49</v>
      </c>
      <c r="K23" s="44"/>
      <c r="L23" s="44"/>
    </row>
    <row r="24" spans="1:12">
      <c r="A24" s="34">
        <v>23</v>
      </c>
      <c r="B24" s="43" t="s">
        <v>266</v>
      </c>
      <c r="C24" s="43">
        <v>231944</v>
      </c>
      <c r="D24" s="43" t="s">
        <v>274</v>
      </c>
      <c r="E24" s="897" t="s">
        <v>2382</v>
      </c>
      <c r="F24" s="43" t="s">
        <v>277</v>
      </c>
      <c r="G24" s="538"/>
      <c r="H24" s="538" t="s">
        <v>285</v>
      </c>
      <c r="I24" s="46">
        <v>2017.12</v>
      </c>
      <c r="J24" s="45">
        <v>816.06</v>
      </c>
      <c r="K24" s="44">
        <v>1338648918</v>
      </c>
      <c r="L24" s="44">
        <v>1640386079</v>
      </c>
    </row>
    <row r="25" spans="1:12" s="1012" customFormat="1">
      <c r="A25" s="34">
        <v>24</v>
      </c>
      <c r="B25" s="43" t="s">
        <v>266</v>
      </c>
      <c r="C25" s="43">
        <v>231946</v>
      </c>
      <c r="D25" s="43" t="s">
        <v>274</v>
      </c>
      <c r="E25" s="897" t="s">
        <v>2381</v>
      </c>
      <c r="F25" s="43" t="s">
        <v>277</v>
      </c>
      <c r="G25" s="538"/>
      <c r="H25" s="538" t="s">
        <v>286</v>
      </c>
      <c r="I25" s="46">
        <v>2017.12</v>
      </c>
      <c r="J25" s="45">
        <v>597.54999999999995</v>
      </c>
      <c r="K25" s="44">
        <v>5280793494</v>
      </c>
      <c r="L25" s="44">
        <v>8837414570</v>
      </c>
    </row>
    <row r="26" spans="1:12" s="1012" customFormat="1">
      <c r="A26" s="34">
        <v>25</v>
      </c>
      <c r="B26" s="43" t="s">
        <v>266</v>
      </c>
      <c r="C26" s="43">
        <v>231958</v>
      </c>
      <c r="D26" s="43" t="s">
        <v>274</v>
      </c>
      <c r="E26" s="897" t="s">
        <v>2383</v>
      </c>
      <c r="F26" s="43" t="s">
        <v>269</v>
      </c>
      <c r="G26" s="538"/>
      <c r="H26" s="538" t="s">
        <v>289</v>
      </c>
      <c r="I26" s="539">
        <v>2020.01</v>
      </c>
      <c r="J26" s="45">
        <v>1274.96</v>
      </c>
      <c r="K26" s="44">
        <v>18840000000</v>
      </c>
      <c r="L26" s="44"/>
    </row>
    <row r="27" spans="1:12" s="1013" customFormat="1">
      <c r="A27" s="34">
        <v>26</v>
      </c>
      <c r="B27" s="43" t="s">
        <v>266</v>
      </c>
      <c r="C27" s="43">
        <v>231960</v>
      </c>
      <c r="D27" s="43" t="s">
        <v>274</v>
      </c>
      <c r="E27" s="897" t="s">
        <v>2384</v>
      </c>
      <c r="F27" s="43" t="s">
        <v>269</v>
      </c>
      <c r="G27" s="538" t="s">
        <v>275</v>
      </c>
      <c r="H27" s="538" t="s">
        <v>276</v>
      </c>
      <c r="I27" s="46">
        <v>2018.12</v>
      </c>
      <c r="J27" s="45">
        <v>981.43</v>
      </c>
      <c r="K27" s="44">
        <v>105750000000</v>
      </c>
      <c r="L27" s="44"/>
    </row>
    <row r="28" spans="1:12">
      <c r="A28" s="34">
        <v>27</v>
      </c>
      <c r="B28" s="43" t="s">
        <v>266</v>
      </c>
      <c r="C28" s="225">
        <v>231980</v>
      </c>
      <c r="D28" s="43" t="s">
        <v>274</v>
      </c>
      <c r="E28" s="897" t="s">
        <v>2385</v>
      </c>
      <c r="F28" s="225" t="s">
        <v>1697</v>
      </c>
      <c r="G28" s="538" t="s">
        <v>1609</v>
      </c>
      <c r="H28" s="542" t="s">
        <v>1689</v>
      </c>
      <c r="I28" s="46">
        <v>2019.05</v>
      </c>
      <c r="J28" s="45">
        <v>1112.3599999999999</v>
      </c>
      <c r="K28" s="44"/>
      <c r="L28" s="44"/>
    </row>
    <row r="29" spans="1:12" s="1012" customFormat="1">
      <c r="A29" s="34">
        <v>28</v>
      </c>
      <c r="B29" s="43" t="s">
        <v>266</v>
      </c>
      <c r="C29" s="225">
        <v>231983</v>
      </c>
      <c r="D29" s="43" t="s">
        <v>274</v>
      </c>
      <c r="E29" s="897" t="s">
        <v>2386</v>
      </c>
      <c r="F29" s="225" t="s">
        <v>49</v>
      </c>
      <c r="G29" s="538" t="s">
        <v>1609</v>
      </c>
      <c r="H29" s="542" t="s">
        <v>1658</v>
      </c>
      <c r="I29" s="46">
        <v>2019.05</v>
      </c>
      <c r="J29" s="45">
        <v>1275.49</v>
      </c>
      <c r="K29" s="44"/>
      <c r="L29" s="44"/>
    </row>
    <row r="30" spans="1:12" s="1014" customFormat="1">
      <c r="A30" s="34">
        <v>29</v>
      </c>
      <c r="B30" s="43" t="s">
        <v>266</v>
      </c>
      <c r="C30" s="225">
        <v>232011</v>
      </c>
      <c r="D30" s="43" t="s">
        <v>274</v>
      </c>
      <c r="E30" s="897" t="s">
        <v>2393</v>
      </c>
      <c r="F30" s="225" t="s">
        <v>1698</v>
      </c>
      <c r="G30" s="538" t="s">
        <v>1609</v>
      </c>
      <c r="H30" s="542" t="s">
        <v>1691</v>
      </c>
      <c r="I30" s="46">
        <v>2021.07</v>
      </c>
      <c r="J30" s="45">
        <v>1045.23</v>
      </c>
      <c r="K30" s="44"/>
      <c r="L30" s="44"/>
    </row>
    <row r="31" spans="1:12" s="1014" customFormat="1">
      <c r="A31" s="34">
        <v>30</v>
      </c>
      <c r="B31" s="43" t="s">
        <v>266</v>
      </c>
      <c r="C31" s="43">
        <v>232015</v>
      </c>
      <c r="D31" s="43" t="s">
        <v>274</v>
      </c>
      <c r="E31" s="43" t="s">
        <v>1865</v>
      </c>
      <c r="F31" s="43" t="s">
        <v>287</v>
      </c>
      <c r="G31" s="538"/>
      <c r="H31" s="538" t="s">
        <v>846</v>
      </c>
      <c r="I31" s="46">
        <v>2022.02</v>
      </c>
      <c r="J31" s="45"/>
      <c r="K31" s="44"/>
      <c r="L31" s="44"/>
    </row>
    <row r="32" spans="1:12" s="1014" customFormat="1">
      <c r="A32" s="34">
        <v>31</v>
      </c>
      <c r="B32" s="43" t="s">
        <v>266</v>
      </c>
      <c r="C32" s="43">
        <v>232902</v>
      </c>
      <c r="D32" s="43" t="s">
        <v>274</v>
      </c>
      <c r="E32" s="897" t="s">
        <v>2374</v>
      </c>
      <c r="F32" s="43" t="s">
        <v>287</v>
      </c>
      <c r="G32" s="538"/>
      <c r="H32" s="538" t="s">
        <v>288</v>
      </c>
      <c r="I32" s="539">
        <v>2016.11</v>
      </c>
      <c r="J32" s="45">
        <v>966.31</v>
      </c>
      <c r="K32" s="44">
        <v>35720455075</v>
      </c>
      <c r="L32" s="44">
        <v>36966015438</v>
      </c>
    </row>
    <row r="33" spans="1:12" s="1014" customFormat="1">
      <c r="A33" s="34">
        <v>32</v>
      </c>
      <c r="B33" s="43" t="s">
        <v>266</v>
      </c>
      <c r="C33" s="43">
        <v>232916</v>
      </c>
      <c r="D33" s="43" t="s">
        <v>274</v>
      </c>
      <c r="E33" s="43" t="s">
        <v>1864</v>
      </c>
      <c r="F33" s="43" t="s">
        <v>287</v>
      </c>
      <c r="G33" s="538"/>
      <c r="H33" s="538" t="s">
        <v>301</v>
      </c>
      <c r="I33" s="539">
        <v>2020.12</v>
      </c>
      <c r="J33" s="45">
        <v>1045.23</v>
      </c>
      <c r="K33" s="44">
        <v>44741256559</v>
      </c>
      <c r="L33" s="44">
        <v>42805007390</v>
      </c>
    </row>
    <row r="34" spans="1:12" s="1014" customFormat="1">
      <c r="A34" s="34">
        <v>33</v>
      </c>
      <c r="B34" s="43" t="s">
        <v>266</v>
      </c>
      <c r="C34" s="225">
        <v>232940</v>
      </c>
      <c r="D34" s="43" t="s">
        <v>274</v>
      </c>
      <c r="E34" s="897" t="s">
        <v>2391</v>
      </c>
      <c r="F34" s="225" t="s">
        <v>49</v>
      </c>
      <c r="G34" s="538" t="s">
        <v>1592</v>
      </c>
      <c r="H34" s="541" t="s">
        <v>1668</v>
      </c>
      <c r="I34" s="46">
        <v>2020.09</v>
      </c>
      <c r="J34" s="45">
        <v>1645.73</v>
      </c>
      <c r="K34" s="44"/>
      <c r="L34" s="44"/>
    </row>
    <row r="35" spans="1:12" s="1014" customFormat="1">
      <c r="A35" s="34">
        <v>34</v>
      </c>
      <c r="B35" s="43" t="s">
        <v>266</v>
      </c>
      <c r="C35" s="225">
        <v>232942</v>
      </c>
      <c r="D35" s="43" t="s">
        <v>274</v>
      </c>
      <c r="E35" s="897" t="s">
        <v>2390</v>
      </c>
      <c r="F35" s="225" t="s">
        <v>49</v>
      </c>
      <c r="G35" s="538" t="s">
        <v>1609</v>
      </c>
      <c r="H35" s="542" t="s">
        <v>1663</v>
      </c>
      <c r="I35" s="46">
        <v>2023.05</v>
      </c>
      <c r="J35" s="45">
        <v>1438.85</v>
      </c>
      <c r="K35" s="44"/>
      <c r="L35" s="44"/>
    </row>
    <row r="36" spans="1:12" s="1014" customFormat="1">
      <c r="A36" s="34">
        <v>35</v>
      </c>
      <c r="B36" s="43" t="s">
        <v>266</v>
      </c>
      <c r="C36" s="43">
        <v>232956</v>
      </c>
      <c r="D36" s="43" t="s">
        <v>274</v>
      </c>
      <c r="E36" s="897" t="s">
        <v>2392</v>
      </c>
      <c r="F36" s="43" t="s">
        <v>781</v>
      </c>
      <c r="G36" s="538"/>
      <c r="H36" s="538" t="s">
        <v>782</v>
      </c>
      <c r="I36" s="46">
        <v>2021.05</v>
      </c>
      <c r="J36" s="45">
        <v>1021.65</v>
      </c>
      <c r="K36" s="44">
        <v>142094645509</v>
      </c>
      <c r="L36" s="44">
        <v>139083339469</v>
      </c>
    </row>
    <row r="37" spans="1:12" s="1014" customFormat="1">
      <c r="A37" s="34">
        <v>36</v>
      </c>
      <c r="B37" s="43" t="s">
        <v>266</v>
      </c>
      <c r="C37" s="225">
        <v>232984</v>
      </c>
      <c r="D37" s="43" t="s">
        <v>274</v>
      </c>
      <c r="E37" s="43" t="s">
        <v>1870</v>
      </c>
      <c r="F37" s="225" t="s">
        <v>49</v>
      </c>
      <c r="G37" s="538" t="s">
        <v>1609</v>
      </c>
      <c r="H37" s="540" t="s">
        <v>1630</v>
      </c>
      <c r="I37" s="46">
        <v>2022.02</v>
      </c>
      <c r="J37" s="45">
        <v>1018.22</v>
      </c>
      <c r="K37" s="44"/>
      <c r="L37" s="44"/>
    </row>
    <row r="38" spans="1:12" s="1014" customFormat="1">
      <c r="A38" s="34">
        <v>37</v>
      </c>
      <c r="B38" s="43" t="s">
        <v>266</v>
      </c>
      <c r="C38" s="225">
        <v>232987</v>
      </c>
      <c r="D38" s="43" t="s">
        <v>274</v>
      </c>
      <c r="E38" s="897" t="s">
        <v>2395</v>
      </c>
      <c r="F38" s="225" t="s">
        <v>84</v>
      </c>
      <c r="G38" s="538" t="s">
        <v>1609</v>
      </c>
      <c r="H38" s="540" t="s">
        <v>1636</v>
      </c>
      <c r="I38" s="46">
        <v>2022.01</v>
      </c>
      <c r="J38" s="45">
        <v>1149.27</v>
      </c>
      <c r="K38" s="44"/>
      <c r="L38" s="44"/>
    </row>
    <row r="39" spans="1:12" s="891" customFormat="1">
      <c r="A39" s="34">
        <v>38</v>
      </c>
      <c r="B39" s="43" t="s">
        <v>266</v>
      </c>
      <c r="C39" s="225">
        <v>233002</v>
      </c>
      <c r="D39" s="43" t="s">
        <v>274</v>
      </c>
      <c r="E39" s="897" t="s">
        <v>2396</v>
      </c>
      <c r="F39" s="225" t="s">
        <v>49</v>
      </c>
      <c r="G39" s="538" t="s">
        <v>1609</v>
      </c>
      <c r="H39" s="542" t="s">
        <v>1651</v>
      </c>
      <c r="I39" s="46">
        <v>2022.06</v>
      </c>
      <c r="J39" s="45">
        <v>1007.14</v>
      </c>
      <c r="K39" s="44"/>
      <c r="L39" s="44"/>
    </row>
    <row r="40" spans="1:12" s="891" customFormat="1">
      <c r="A40" s="34">
        <v>39</v>
      </c>
      <c r="B40" s="43" t="s">
        <v>266</v>
      </c>
      <c r="C40" s="43">
        <v>233910</v>
      </c>
      <c r="D40" s="43" t="s">
        <v>274</v>
      </c>
      <c r="E40" s="897" t="s">
        <v>2397</v>
      </c>
      <c r="F40" s="43" t="s">
        <v>287</v>
      </c>
      <c r="G40" s="538"/>
      <c r="H40" s="538" t="s">
        <v>1308</v>
      </c>
      <c r="I40" s="46">
        <v>2022.07</v>
      </c>
      <c r="J40" s="45"/>
      <c r="K40" s="44"/>
      <c r="L40" s="44"/>
    </row>
    <row r="41" spans="1:12" s="891" customFormat="1">
      <c r="A41" s="34">
        <v>40</v>
      </c>
      <c r="B41" s="43" t="s">
        <v>266</v>
      </c>
      <c r="C41" s="225">
        <v>233912</v>
      </c>
      <c r="D41" s="43" t="s">
        <v>274</v>
      </c>
      <c r="E41" s="897" t="s">
        <v>2402</v>
      </c>
      <c r="F41" s="225" t="s">
        <v>49</v>
      </c>
      <c r="G41" s="538" t="s">
        <v>1609</v>
      </c>
      <c r="H41" s="541" t="s">
        <v>1638</v>
      </c>
      <c r="I41" s="46">
        <v>2022.1</v>
      </c>
      <c r="J41" s="45">
        <v>945</v>
      </c>
      <c r="K41" s="44"/>
      <c r="L41" s="44"/>
    </row>
    <row r="42" spans="1:12" s="891" customFormat="1">
      <c r="A42" s="34">
        <v>41</v>
      </c>
      <c r="B42" s="43" t="s">
        <v>266</v>
      </c>
      <c r="C42" s="225">
        <v>233916</v>
      </c>
      <c r="D42" s="43" t="s">
        <v>274</v>
      </c>
      <c r="E42" s="897" t="s">
        <v>2398</v>
      </c>
      <c r="F42" s="225" t="s">
        <v>84</v>
      </c>
      <c r="G42" s="538" t="s">
        <v>1609</v>
      </c>
      <c r="H42" s="540" t="s">
        <v>1633</v>
      </c>
      <c r="I42" s="46">
        <v>2022.1</v>
      </c>
      <c r="J42" s="45">
        <v>1067.6500000000001</v>
      </c>
      <c r="K42" s="44"/>
      <c r="L42" s="44"/>
    </row>
    <row r="43" spans="1:12" s="891" customFormat="1">
      <c r="A43" s="34">
        <v>42</v>
      </c>
      <c r="B43" s="43" t="s">
        <v>266</v>
      </c>
      <c r="C43" s="225">
        <v>233917</v>
      </c>
      <c r="D43" s="43" t="s">
        <v>274</v>
      </c>
      <c r="E43" s="897" t="s">
        <v>2399</v>
      </c>
      <c r="F43" s="225" t="s">
        <v>1647</v>
      </c>
      <c r="G43" s="538" t="s">
        <v>1609</v>
      </c>
      <c r="H43" s="540" t="s">
        <v>1632</v>
      </c>
      <c r="I43" s="46">
        <v>2022.1</v>
      </c>
      <c r="J43" s="45" t="s">
        <v>590</v>
      </c>
      <c r="K43" s="44"/>
      <c r="L43" s="44"/>
    </row>
    <row r="44" spans="1:12" s="891" customFormat="1">
      <c r="A44" s="34">
        <v>43</v>
      </c>
      <c r="B44" s="43" t="s">
        <v>266</v>
      </c>
      <c r="C44" s="43">
        <v>233922</v>
      </c>
      <c r="D44" s="43" t="s">
        <v>274</v>
      </c>
      <c r="E44" s="43" t="s">
        <v>1867</v>
      </c>
      <c r="F44" s="43" t="s">
        <v>1384</v>
      </c>
      <c r="G44" s="538"/>
      <c r="H44" s="538" t="s">
        <v>1385</v>
      </c>
      <c r="I44" s="46">
        <v>2023.02</v>
      </c>
      <c r="J44" s="45">
        <v>983.61</v>
      </c>
      <c r="K44" s="44">
        <v>39528395882</v>
      </c>
      <c r="L44" s="44">
        <v>40187260958</v>
      </c>
    </row>
    <row r="45" spans="1:12" s="891" customFormat="1">
      <c r="A45" s="34">
        <v>44</v>
      </c>
      <c r="B45" s="43" t="s">
        <v>266</v>
      </c>
      <c r="C45" s="43">
        <v>233927</v>
      </c>
      <c r="D45" s="43" t="s">
        <v>274</v>
      </c>
      <c r="E45" s="43" t="s">
        <v>1866</v>
      </c>
      <c r="F45" s="43" t="s">
        <v>58</v>
      </c>
      <c r="G45" s="538"/>
      <c r="H45" s="538" t="s">
        <v>1322</v>
      </c>
      <c r="I45" s="46">
        <v>2022.12</v>
      </c>
      <c r="J45" s="45">
        <v>989.84</v>
      </c>
      <c r="K45" s="44">
        <v>8487794677</v>
      </c>
      <c r="L45" s="44">
        <v>8574914282</v>
      </c>
    </row>
    <row r="46" spans="1:12" s="891" customFormat="1">
      <c r="A46" s="34">
        <v>45</v>
      </c>
      <c r="B46" s="43" t="s">
        <v>266</v>
      </c>
      <c r="C46" s="225">
        <v>233928</v>
      </c>
      <c r="D46" s="43" t="s">
        <v>274</v>
      </c>
      <c r="E46" s="897" t="s">
        <v>2400</v>
      </c>
      <c r="F46" s="225" t="s">
        <v>84</v>
      </c>
      <c r="G46" s="538" t="s">
        <v>1609</v>
      </c>
      <c r="H46" s="542" t="s">
        <v>1652</v>
      </c>
      <c r="I46" s="46">
        <v>2022.12</v>
      </c>
      <c r="J46" s="45">
        <v>998.64</v>
      </c>
      <c r="K46" s="44"/>
      <c r="L46" s="44"/>
    </row>
    <row r="47" spans="1:12" s="891" customFormat="1">
      <c r="A47" s="34">
        <v>46</v>
      </c>
      <c r="B47" s="43" t="s">
        <v>266</v>
      </c>
      <c r="C47" s="225">
        <v>233935</v>
      </c>
      <c r="D47" s="43" t="s">
        <v>274</v>
      </c>
      <c r="E47" s="897" t="s">
        <v>2401</v>
      </c>
      <c r="F47" s="225" t="s">
        <v>49</v>
      </c>
      <c r="G47" s="538" t="s">
        <v>1609</v>
      </c>
      <c r="H47" s="540" t="s">
        <v>1641</v>
      </c>
      <c r="I47" s="46">
        <v>2023.04</v>
      </c>
      <c r="J47" s="45">
        <v>1005.53</v>
      </c>
      <c r="K47" s="44"/>
      <c r="L47" s="44"/>
    </row>
    <row r="48" spans="1:12" s="891" customFormat="1">
      <c r="A48" s="34">
        <v>47</v>
      </c>
      <c r="B48" s="43" t="s">
        <v>266</v>
      </c>
      <c r="C48" s="43">
        <v>233940</v>
      </c>
      <c r="D48" s="43" t="s">
        <v>274</v>
      </c>
      <c r="E48" s="43" t="s">
        <v>2033</v>
      </c>
      <c r="F48" s="43" t="s">
        <v>175</v>
      </c>
      <c r="G48" s="538" t="s">
        <v>1609</v>
      </c>
      <c r="H48" s="538" t="s">
        <v>2047</v>
      </c>
      <c r="I48" s="46">
        <v>2023.05</v>
      </c>
      <c r="J48" s="45">
        <v>992.82</v>
      </c>
      <c r="K48" s="44"/>
      <c r="L48" s="44"/>
    </row>
    <row r="49" spans="1:12" s="891" customFormat="1">
      <c r="A49" s="34">
        <v>48</v>
      </c>
      <c r="B49" s="43" t="s">
        <v>266</v>
      </c>
      <c r="C49" s="43">
        <v>233941</v>
      </c>
      <c r="D49" s="43" t="s">
        <v>274</v>
      </c>
      <c r="E49" s="43" t="s">
        <v>1869</v>
      </c>
      <c r="F49" s="43" t="s">
        <v>277</v>
      </c>
      <c r="G49" s="538" t="s">
        <v>1609</v>
      </c>
      <c r="H49" s="538" t="s">
        <v>1610</v>
      </c>
      <c r="I49" s="46">
        <v>2023.08</v>
      </c>
      <c r="J49" s="45">
        <v>931.26</v>
      </c>
      <c r="K49" s="44">
        <v>25796769694</v>
      </c>
      <c r="L49" s="44">
        <v>27700942973</v>
      </c>
    </row>
    <row r="50" spans="1:12" s="1014" customFormat="1">
      <c r="A50" s="34">
        <v>49</v>
      </c>
      <c r="B50" s="43" t="s">
        <v>266</v>
      </c>
      <c r="C50" s="225">
        <v>233945</v>
      </c>
      <c r="D50" s="43" t="s">
        <v>274</v>
      </c>
      <c r="E50" s="897" t="s">
        <v>2403</v>
      </c>
      <c r="F50" s="225" t="s">
        <v>49</v>
      </c>
      <c r="G50" s="538" t="s">
        <v>1609</v>
      </c>
      <c r="H50" s="542" t="s">
        <v>1659</v>
      </c>
      <c r="I50" s="46">
        <v>2023.07</v>
      </c>
      <c r="J50" s="45">
        <v>1006.19</v>
      </c>
      <c r="K50" s="44"/>
      <c r="L50" s="44"/>
    </row>
    <row r="51" spans="1:12" s="1014" customFormat="1">
      <c r="A51" s="34">
        <v>50</v>
      </c>
      <c r="B51" s="43" t="s">
        <v>266</v>
      </c>
      <c r="C51" s="225">
        <v>233946</v>
      </c>
      <c r="D51" s="43" t="s">
        <v>274</v>
      </c>
      <c r="E51" s="897" t="s">
        <v>2404</v>
      </c>
      <c r="F51" s="225" t="s">
        <v>30</v>
      </c>
      <c r="G51" s="538" t="s">
        <v>1609</v>
      </c>
      <c r="H51" s="542" t="s">
        <v>1650</v>
      </c>
      <c r="I51" s="46">
        <v>2023.09</v>
      </c>
      <c r="J51" s="45"/>
      <c r="K51" s="44"/>
      <c r="L51" s="44"/>
    </row>
    <row r="52" spans="1:12" s="1014" customFormat="1">
      <c r="A52" s="34">
        <v>51</v>
      </c>
      <c r="B52" s="43" t="s">
        <v>266</v>
      </c>
      <c r="C52" s="225">
        <v>233947</v>
      </c>
      <c r="D52" s="43" t="s">
        <v>274</v>
      </c>
      <c r="E52" s="897" t="s">
        <v>2408</v>
      </c>
      <c r="F52" s="225" t="s">
        <v>175</v>
      </c>
      <c r="G52" s="538" t="s">
        <v>1592</v>
      </c>
      <c r="H52" s="544" t="s">
        <v>1759</v>
      </c>
      <c r="I52" s="46" t="s">
        <v>1760</v>
      </c>
      <c r="J52" s="45"/>
      <c r="K52" s="44"/>
      <c r="L52" s="543" t="s">
        <v>1761</v>
      </c>
    </row>
    <row r="53" spans="1:12" s="1014" customFormat="1">
      <c r="A53" s="34">
        <v>52</v>
      </c>
      <c r="B53" s="43" t="s">
        <v>266</v>
      </c>
      <c r="C53" s="225">
        <v>233948</v>
      </c>
      <c r="D53" s="43" t="s">
        <v>274</v>
      </c>
      <c r="E53" s="43" t="s">
        <v>1871</v>
      </c>
      <c r="F53" s="225" t="s">
        <v>1695</v>
      </c>
      <c r="G53" s="538" t="s">
        <v>1609</v>
      </c>
      <c r="H53" s="542" t="s">
        <v>1692</v>
      </c>
      <c r="I53" s="46" t="s">
        <v>1694</v>
      </c>
      <c r="J53" s="45">
        <v>996.66</v>
      </c>
      <c r="K53" s="44">
        <v>9459896395</v>
      </c>
      <c r="L53" s="44">
        <v>9491614868</v>
      </c>
    </row>
    <row r="54" spans="1:12" s="1014" customFormat="1">
      <c r="A54" s="34">
        <v>53</v>
      </c>
      <c r="B54" s="43" t="s">
        <v>266</v>
      </c>
      <c r="C54" s="225">
        <v>233949</v>
      </c>
      <c r="D54" s="43" t="s">
        <v>274</v>
      </c>
      <c r="E54" s="897" t="s">
        <v>2405</v>
      </c>
      <c r="F54" s="225" t="s">
        <v>1696</v>
      </c>
      <c r="G54" s="538" t="s">
        <v>1609</v>
      </c>
      <c r="H54" s="542" t="s">
        <v>1693</v>
      </c>
      <c r="I54" s="46" t="s">
        <v>1699</v>
      </c>
      <c r="J54" s="45"/>
      <c r="K54" s="44"/>
      <c r="L54" s="543">
        <v>40000000</v>
      </c>
    </row>
    <row r="55" spans="1:12" s="1014" customFormat="1">
      <c r="A55" s="34">
        <v>54</v>
      </c>
      <c r="B55" s="43" t="s">
        <v>266</v>
      </c>
      <c r="C55" s="225">
        <v>233955</v>
      </c>
      <c r="D55" s="43" t="s">
        <v>274</v>
      </c>
      <c r="E55" s="897" t="s">
        <v>2406</v>
      </c>
      <c r="F55" s="225" t="s">
        <v>1801</v>
      </c>
      <c r="G55" s="538" t="s">
        <v>1802</v>
      </c>
      <c r="H55" s="544" t="s">
        <v>1803</v>
      </c>
      <c r="I55" s="46" t="s">
        <v>1804</v>
      </c>
      <c r="J55" s="45"/>
      <c r="K55" s="44"/>
      <c r="L55" s="543" t="s">
        <v>1805</v>
      </c>
    </row>
    <row r="56" spans="1:12" s="1014" customFormat="1">
      <c r="A56" s="34">
        <v>55</v>
      </c>
      <c r="B56" s="43" t="s">
        <v>266</v>
      </c>
      <c r="C56" s="225" t="s">
        <v>293</v>
      </c>
      <c r="D56" s="43" t="s">
        <v>33</v>
      </c>
      <c r="E56" s="546" t="s">
        <v>2363</v>
      </c>
      <c r="F56" s="43" t="s">
        <v>269</v>
      </c>
      <c r="G56" s="538"/>
      <c r="H56" s="538" t="s">
        <v>294</v>
      </c>
      <c r="I56" s="46">
        <v>2009.04</v>
      </c>
      <c r="J56" s="45">
        <v>1084.2</v>
      </c>
      <c r="K56" s="44">
        <v>40000000</v>
      </c>
      <c r="L56" s="44">
        <v>37000000</v>
      </c>
    </row>
    <row r="57" spans="1:12" s="1013" customFormat="1">
      <c r="A57" s="34">
        <v>56</v>
      </c>
      <c r="B57" s="43" t="s">
        <v>266</v>
      </c>
      <c r="C57" s="225" t="s">
        <v>1660</v>
      </c>
      <c r="D57" s="43" t="s">
        <v>274</v>
      </c>
      <c r="E57" s="1026" t="s">
        <v>2409</v>
      </c>
      <c r="F57" s="225" t="s">
        <v>49</v>
      </c>
      <c r="G57" s="538" t="s">
        <v>1609</v>
      </c>
      <c r="H57" s="542" t="s">
        <v>1661</v>
      </c>
      <c r="I57" s="46">
        <v>2020.03</v>
      </c>
      <c r="J57" s="45">
        <v>1438.85</v>
      </c>
      <c r="K57" s="44"/>
      <c r="L57" s="44"/>
    </row>
    <row r="58" spans="1:12" s="1014" customFormat="1">
      <c r="A58" s="34">
        <v>57</v>
      </c>
      <c r="B58" s="43" t="s">
        <v>266</v>
      </c>
      <c r="C58" s="43" t="s">
        <v>2948</v>
      </c>
      <c r="D58" s="43" t="s">
        <v>268</v>
      </c>
      <c r="E58" s="897" t="s">
        <v>2389</v>
      </c>
      <c r="F58" s="43" t="s">
        <v>269</v>
      </c>
      <c r="G58" s="538" t="s">
        <v>270</v>
      </c>
      <c r="H58" s="538" t="s">
        <v>271</v>
      </c>
      <c r="I58" s="46">
        <v>2020.05</v>
      </c>
      <c r="J58" s="45"/>
      <c r="K58" s="44"/>
      <c r="L58" s="44"/>
    </row>
    <row r="59" spans="1:12" s="1014" customFormat="1">
      <c r="A59" s="34">
        <v>58</v>
      </c>
      <c r="B59" s="43" t="s">
        <v>266</v>
      </c>
      <c r="C59" s="43" t="s">
        <v>297</v>
      </c>
      <c r="D59" s="43" t="s">
        <v>33</v>
      </c>
      <c r="E59" s="546" t="s">
        <v>2362</v>
      </c>
      <c r="F59" s="43" t="s">
        <v>269</v>
      </c>
      <c r="G59" s="538"/>
      <c r="H59" s="538" t="s">
        <v>298</v>
      </c>
      <c r="I59" s="539">
        <v>2013.03</v>
      </c>
      <c r="J59" s="200">
        <v>1391.27</v>
      </c>
      <c r="K59" s="47">
        <v>126115000000</v>
      </c>
      <c r="L59" s="47">
        <v>90648000000</v>
      </c>
    </row>
    <row r="60" spans="1:12" s="1014" customFormat="1">
      <c r="A60" s="34">
        <v>59</v>
      </c>
      <c r="B60" s="43" t="s">
        <v>266</v>
      </c>
      <c r="C60" s="43" t="s">
        <v>299</v>
      </c>
      <c r="D60" s="43" t="s">
        <v>33</v>
      </c>
      <c r="E60" s="546" t="s">
        <v>2365</v>
      </c>
      <c r="F60" s="43" t="s">
        <v>269</v>
      </c>
      <c r="G60" s="538"/>
      <c r="H60" s="538" t="s">
        <v>300</v>
      </c>
      <c r="I60" s="46">
        <v>2013.04</v>
      </c>
      <c r="J60" s="200">
        <v>1084.44</v>
      </c>
      <c r="K60" s="47">
        <v>80663000000</v>
      </c>
      <c r="L60" s="47">
        <v>74383000000</v>
      </c>
    </row>
    <row r="61" spans="1:12" s="1014" customFormat="1">
      <c r="A61" s="34">
        <v>60</v>
      </c>
      <c r="B61" s="43" t="s">
        <v>266</v>
      </c>
      <c r="C61" s="225">
        <v>107606</v>
      </c>
      <c r="D61" s="43" t="s">
        <v>274</v>
      </c>
      <c r="E61" s="43" t="s">
        <v>2647</v>
      </c>
      <c r="F61" s="225" t="s">
        <v>49</v>
      </c>
      <c r="G61" s="538" t="s">
        <v>1609</v>
      </c>
      <c r="H61" s="540" t="s">
        <v>1640</v>
      </c>
      <c r="I61" s="46">
        <v>2016.01</v>
      </c>
      <c r="J61" s="45">
        <v>1018.29</v>
      </c>
      <c r="K61" s="44"/>
      <c r="L61" s="44"/>
    </row>
    <row r="62" spans="1:12" s="1014" customFormat="1">
      <c r="A62" s="34">
        <v>61</v>
      </c>
      <c r="B62" s="43" t="s">
        <v>266</v>
      </c>
      <c r="C62" s="43">
        <v>119982</v>
      </c>
      <c r="D62" s="43" t="s">
        <v>274</v>
      </c>
      <c r="E62" s="43" t="s">
        <v>2646</v>
      </c>
      <c r="F62" s="43" t="s">
        <v>149</v>
      </c>
      <c r="G62" s="538"/>
      <c r="H62" s="538" t="s">
        <v>302</v>
      </c>
      <c r="I62" s="539">
        <v>2021.01</v>
      </c>
      <c r="J62" s="200"/>
      <c r="K62" s="47"/>
      <c r="L62" s="47"/>
    </row>
    <row r="63" spans="1:12" s="1014" customFormat="1">
      <c r="A63" s="34">
        <v>62</v>
      </c>
      <c r="B63" s="43" t="s">
        <v>266</v>
      </c>
      <c r="C63" s="43">
        <v>209990</v>
      </c>
      <c r="D63" s="43" t="s">
        <v>33</v>
      </c>
      <c r="E63" s="43" t="s">
        <v>2645</v>
      </c>
      <c r="F63" s="43" t="s">
        <v>269</v>
      </c>
      <c r="G63" s="538"/>
      <c r="H63" s="538" t="s">
        <v>296</v>
      </c>
      <c r="I63" s="199">
        <v>2013.03</v>
      </c>
      <c r="J63" s="200">
        <v>1164.71</v>
      </c>
      <c r="K63" s="47">
        <v>94000000</v>
      </c>
      <c r="L63" s="47">
        <v>81000000</v>
      </c>
    </row>
    <row r="64" spans="1:12">
      <c r="A64" s="34">
        <v>63</v>
      </c>
      <c r="B64" s="43" t="s">
        <v>266</v>
      </c>
      <c r="C64" s="43">
        <v>219913</v>
      </c>
      <c r="D64" s="43" t="s">
        <v>274</v>
      </c>
      <c r="E64" s="43" t="s">
        <v>2644</v>
      </c>
      <c r="F64" s="43" t="s">
        <v>277</v>
      </c>
      <c r="G64" s="538"/>
      <c r="H64" s="538" t="s">
        <v>280</v>
      </c>
      <c r="I64" s="46">
        <v>2016.06</v>
      </c>
      <c r="J64" s="45">
        <v>1047.26</v>
      </c>
      <c r="K64" s="44">
        <v>57830189611</v>
      </c>
      <c r="L64" s="44">
        <v>55220589937</v>
      </c>
    </row>
    <row r="65" spans="1:12">
      <c r="A65" s="34">
        <v>64</v>
      </c>
      <c r="B65" s="43" t="s">
        <v>266</v>
      </c>
      <c r="C65" s="43">
        <v>231903</v>
      </c>
      <c r="D65" s="43" t="s">
        <v>274</v>
      </c>
      <c r="E65" s="545" t="s">
        <v>2643</v>
      </c>
      <c r="F65" s="43" t="s">
        <v>277</v>
      </c>
      <c r="G65" s="538"/>
      <c r="H65" s="538" t="s">
        <v>281</v>
      </c>
      <c r="I65" s="46">
        <v>2016.08</v>
      </c>
      <c r="J65" s="45">
        <v>1045.1400000000001</v>
      </c>
      <c r="K65" s="44">
        <v>49262114087</v>
      </c>
      <c r="L65" s="44">
        <v>47134341276</v>
      </c>
    </row>
    <row r="66" spans="1:12">
      <c r="A66" s="34">
        <v>65</v>
      </c>
      <c r="B66" s="43" t="s">
        <v>266</v>
      </c>
      <c r="C66" s="225">
        <v>232976</v>
      </c>
      <c r="D66" s="43" t="s">
        <v>274</v>
      </c>
      <c r="E66" s="43" t="s">
        <v>2642</v>
      </c>
      <c r="F66" s="225" t="s">
        <v>84</v>
      </c>
      <c r="G66" s="538" t="s">
        <v>1609</v>
      </c>
      <c r="H66" s="540" t="s">
        <v>1635</v>
      </c>
      <c r="I66" s="46">
        <v>2021.11</v>
      </c>
      <c r="J66" s="45">
        <v>1086.43</v>
      </c>
      <c r="K66" s="44"/>
      <c r="L66" s="44"/>
    </row>
    <row r="67" spans="1:12">
      <c r="A67" s="34">
        <v>66</v>
      </c>
      <c r="B67" s="43" t="s">
        <v>266</v>
      </c>
      <c r="C67" s="225">
        <v>232985</v>
      </c>
      <c r="D67" s="43" t="s">
        <v>274</v>
      </c>
      <c r="E67" s="43" t="s">
        <v>2641</v>
      </c>
      <c r="F67" s="225" t="s">
        <v>49</v>
      </c>
      <c r="G67" s="538" t="s">
        <v>1609</v>
      </c>
      <c r="H67" s="540" t="s">
        <v>1644</v>
      </c>
      <c r="I67" s="46">
        <v>2022.02</v>
      </c>
      <c r="J67" s="45">
        <v>1043.21</v>
      </c>
      <c r="K67" s="44"/>
      <c r="L67" s="44"/>
    </row>
    <row r="68" spans="1:12">
      <c r="A68" s="34">
        <v>67</v>
      </c>
      <c r="B68" s="43" t="s">
        <v>266</v>
      </c>
      <c r="C68" s="225">
        <v>232992</v>
      </c>
      <c r="D68" s="43" t="s">
        <v>274</v>
      </c>
      <c r="E68" s="43" t="s">
        <v>2636</v>
      </c>
      <c r="F68" s="225" t="s">
        <v>175</v>
      </c>
      <c r="G68" s="538" t="s">
        <v>1609</v>
      </c>
      <c r="H68" s="542" t="s">
        <v>1690</v>
      </c>
      <c r="I68" s="46">
        <v>2022.03</v>
      </c>
      <c r="J68" s="45">
        <v>1111.53</v>
      </c>
      <c r="K68" s="44"/>
      <c r="L68" s="44"/>
    </row>
    <row r="69" spans="1:12">
      <c r="A69" s="34">
        <v>68</v>
      </c>
      <c r="B69" s="43" t="s">
        <v>266</v>
      </c>
      <c r="C69" s="43">
        <v>233920</v>
      </c>
      <c r="D69" s="43" t="s">
        <v>274</v>
      </c>
      <c r="E69" s="43" t="s">
        <v>2637</v>
      </c>
      <c r="F69" s="43" t="s">
        <v>84</v>
      </c>
      <c r="G69" s="538" t="s">
        <v>1609</v>
      </c>
      <c r="H69" s="540" t="s">
        <v>1634</v>
      </c>
      <c r="I69" s="46">
        <v>2022.1</v>
      </c>
      <c r="J69" s="45">
        <v>1195.0999999999999</v>
      </c>
      <c r="K69" s="44"/>
      <c r="L69" s="44"/>
    </row>
    <row r="70" spans="1:12" ht="15.75" customHeight="1">
      <c r="A70" s="34">
        <v>69</v>
      </c>
      <c r="B70" s="43" t="s">
        <v>266</v>
      </c>
      <c r="C70" s="43">
        <v>233936</v>
      </c>
      <c r="D70" s="43" t="s">
        <v>274</v>
      </c>
      <c r="E70" s="43" t="s">
        <v>2638</v>
      </c>
      <c r="F70" s="43" t="s">
        <v>277</v>
      </c>
      <c r="G70" s="538" t="s">
        <v>1609</v>
      </c>
      <c r="H70" s="538" t="s">
        <v>1611</v>
      </c>
      <c r="I70" s="46">
        <v>2023.08</v>
      </c>
      <c r="J70" s="45">
        <v>1000</v>
      </c>
      <c r="K70" s="44"/>
      <c r="L70" s="44"/>
    </row>
    <row r="71" spans="1:12">
      <c r="A71" s="34">
        <v>70</v>
      </c>
      <c r="B71" s="43" t="s">
        <v>266</v>
      </c>
      <c r="C71" s="225">
        <v>233939</v>
      </c>
      <c r="D71" s="43" t="s">
        <v>274</v>
      </c>
      <c r="E71" s="43" t="s">
        <v>2639</v>
      </c>
      <c r="F71" s="225" t="s">
        <v>49</v>
      </c>
      <c r="G71" s="538" t="s">
        <v>1609</v>
      </c>
      <c r="H71" s="542" t="s">
        <v>1662</v>
      </c>
      <c r="I71" s="46">
        <v>2020.09</v>
      </c>
      <c r="J71" s="45">
        <v>1438.85</v>
      </c>
      <c r="K71" s="44"/>
      <c r="L71" s="44"/>
    </row>
    <row r="72" spans="1:12">
      <c r="A72" s="34">
        <v>71</v>
      </c>
      <c r="B72" s="43" t="s">
        <v>266</v>
      </c>
      <c r="C72" s="43">
        <v>233943</v>
      </c>
      <c r="D72" s="43" t="s">
        <v>274</v>
      </c>
      <c r="E72" s="43" t="s">
        <v>2640</v>
      </c>
      <c r="F72" s="43" t="s">
        <v>287</v>
      </c>
      <c r="G72" s="538" t="s">
        <v>1592</v>
      </c>
      <c r="H72" s="538" t="s">
        <v>1600</v>
      </c>
      <c r="I72" s="46">
        <v>2023.08</v>
      </c>
      <c r="J72" s="45">
        <v>1000</v>
      </c>
      <c r="K72" s="44"/>
      <c r="L72" s="44" t="s">
        <v>1601</v>
      </c>
    </row>
    <row r="73" spans="1:12">
      <c r="A73" s="34">
        <v>72</v>
      </c>
      <c r="B73" s="43" t="s">
        <v>266</v>
      </c>
      <c r="C73" s="43" t="s">
        <v>3043</v>
      </c>
      <c r="D73" s="43" t="s">
        <v>274</v>
      </c>
      <c r="E73" s="43" t="s">
        <v>3044</v>
      </c>
      <c r="F73" s="43" t="s">
        <v>58</v>
      </c>
      <c r="G73" s="538" t="s">
        <v>1592</v>
      </c>
      <c r="H73" s="538" t="s">
        <v>2949</v>
      </c>
      <c r="I73" s="46">
        <v>2025.03</v>
      </c>
      <c r="J73" s="45">
        <v>1000</v>
      </c>
      <c r="K73" s="44"/>
      <c r="L73" s="44" t="s">
        <v>1601</v>
      </c>
    </row>
    <row r="74" spans="1:12">
      <c r="A74" s="34">
        <v>73</v>
      </c>
      <c r="B74" s="43" t="s">
        <v>266</v>
      </c>
      <c r="C74" s="43">
        <v>234979</v>
      </c>
      <c r="D74" s="43" t="s">
        <v>274</v>
      </c>
      <c r="E74" s="43" t="s">
        <v>3048</v>
      </c>
      <c r="F74" s="43" t="s">
        <v>58</v>
      </c>
      <c r="G74" s="538" t="s">
        <v>1592</v>
      </c>
      <c r="H74" s="538" t="s">
        <v>2961</v>
      </c>
      <c r="I74" s="46">
        <v>2026.01</v>
      </c>
      <c r="J74" s="45">
        <v>1000</v>
      </c>
      <c r="K74" s="44"/>
      <c r="L74" s="44" t="s">
        <v>2962</v>
      </c>
    </row>
    <row r="75" spans="1:12">
      <c r="B75" s="888"/>
      <c r="C75" s="888"/>
      <c r="D75" s="888"/>
      <c r="E75" s="888"/>
      <c r="F75" s="888"/>
      <c r="G75" s="888"/>
      <c r="H75" s="888"/>
      <c r="I75" s="888"/>
      <c r="J75" s="888"/>
      <c r="K75" s="888"/>
      <c r="L75" s="888"/>
    </row>
    <row r="76" spans="1:12">
      <c r="B76" s="888"/>
      <c r="C76" s="888"/>
      <c r="D76" s="888"/>
      <c r="E76" s="888"/>
      <c r="F76" s="888"/>
      <c r="G76" s="888"/>
      <c r="H76" s="888"/>
      <c r="I76" s="888"/>
      <c r="J76" s="888"/>
      <c r="K76" s="888"/>
      <c r="L76" s="888"/>
    </row>
    <row r="77" spans="1:12">
      <c r="B77" s="888"/>
      <c r="C77" s="888"/>
      <c r="D77" s="888"/>
      <c r="E77" s="888"/>
      <c r="F77" s="888"/>
      <c r="G77" s="888"/>
      <c r="H77" s="888"/>
      <c r="I77" s="888"/>
      <c r="J77" s="888"/>
      <c r="K77" s="888"/>
      <c r="L77" s="888"/>
    </row>
    <row r="78" spans="1:12">
      <c r="B78" s="48" t="s">
        <v>0</v>
      </c>
      <c r="C78" s="48" t="s">
        <v>1</v>
      </c>
      <c r="D78" s="48" t="s">
        <v>232</v>
      </c>
      <c r="E78" s="48" t="s">
        <v>1862</v>
      </c>
      <c r="F78" s="48" t="s">
        <v>3</v>
      </c>
      <c r="G78" s="538" t="s">
        <v>4</v>
      </c>
      <c r="H78" s="48" t="s">
        <v>5</v>
      </c>
      <c r="I78" s="46" t="s">
        <v>6</v>
      </c>
      <c r="J78" s="45" t="s">
        <v>7</v>
      </c>
      <c r="K78" s="44" t="s">
        <v>8</v>
      </c>
      <c r="L78" s="44" t="s">
        <v>9</v>
      </c>
    </row>
    <row r="79" spans="1:12">
      <c r="B79" s="43" t="s">
        <v>266</v>
      </c>
      <c r="C79" s="43">
        <v>232007</v>
      </c>
      <c r="D79" s="43" t="s">
        <v>274</v>
      </c>
      <c r="E79" s="43"/>
      <c r="F79" s="43"/>
      <c r="G79" s="538"/>
      <c r="H79" s="538" t="s">
        <v>763</v>
      </c>
      <c r="I79" s="46">
        <v>2021.03</v>
      </c>
      <c r="J79" s="45"/>
      <c r="K79" s="44"/>
      <c r="L79" s="44"/>
    </row>
    <row r="80" spans="1:12">
      <c r="B80" s="43" t="s">
        <v>266</v>
      </c>
      <c r="C80" s="43">
        <v>232927</v>
      </c>
      <c r="D80" s="43" t="s">
        <v>268</v>
      </c>
      <c r="E80" s="43"/>
      <c r="F80" s="43" t="s">
        <v>269</v>
      </c>
      <c r="G80" s="538" t="s">
        <v>272</v>
      </c>
      <c r="H80" s="538" t="s">
        <v>273</v>
      </c>
      <c r="I80" s="46">
        <v>2020.07</v>
      </c>
      <c r="J80" s="45">
        <v>965.65</v>
      </c>
      <c r="K80" s="44">
        <v>3576346944</v>
      </c>
      <c r="L80" s="44">
        <v>3703546583</v>
      </c>
    </row>
  </sheetData>
  <sortState xmlns:xlrd2="http://schemas.microsoft.com/office/spreadsheetml/2017/richdata2" ref="B2:L74">
    <sortCondition ref="C1"/>
  </sortState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>
    <tabColor theme="9" tint="0.59999389629810485"/>
  </sheetPr>
  <dimension ref="B1:L5"/>
  <sheetViews>
    <sheetView workbookViewId="0">
      <selection activeCell="G5" sqref="G5"/>
    </sheetView>
  </sheetViews>
  <sheetFormatPr defaultRowHeight="16.5"/>
  <cols>
    <col min="1" max="1" width="9" style="2"/>
    <col min="2" max="3" width="10.25" style="2" customWidth="1"/>
    <col min="4" max="4" width="11.5" style="2" customWidth="1"/>
    <col min="5" max="5" width="17.375" style="2" bestFit="1" customWidth="1"/>
    <col min="6" max="6" width="10.25" style="2" customWidth="1"/>
    <col min="7" max="7" width="60.5" style="2" bestFit="1" customWidth="1"/>
    <col min="8" max="8" width="11.625" style="2" customWidth="1"/>
    <col min="9" max="9" width="10.375" style="2" customWidth="1"/>
    <col min="10" max="10" width="18.375" style="2" customWidth="1"/>
    <col min="11" max="11" width="18.375" style="2" bestFit="1" customWidth="1"/>
    <col min="12" max="12" width="16.5" style="2" customWidth="1"/>
    <col min="13" max="16384" width="9" style="2"/>
  </cols>
  <sheetData>
    <row r="1" spans="2:12" s="915" customFormat="1" ht="17.25">
      <c r="B1" s="993" t="s">
        <v>0</v>
      </c>
      <c r="C1" s="994" t="s">
        <v>1</v>
      </c>
      <c r="D1" s="994" t="s">
        <v>17</v>
      </c>
      <c r="E1" s="994" t="s">
        <v>2003</v>
      </c>
      <c r="F1" s="994" t="s">
        <v>3</v>
      </c>
      <c r="G1" s="994" t="s">
        <v>5</v>
      </c>
      <c r="H1" s="1032" t="s">
        <v>18</v>
      </c>
      <c r="I1" s="1033" t="s">
        <v>7</v>
      </c>
      <c r="J1" s="997" t="s">
        <v>8</v>
      </c>
      <c r="K1" s="1034" t="s">
        <v>9</v>
      </c>
      <c r="L1" s="1034" t="s">
        <v>65</v>
      </c>
    </row>
    <row r="2" spans="2:12">
      <c r="B2" s="1028" t="s">
        <v>1827</v>
      </c>
      <c r="C2" s="1028" t="s">
        <v>1828</v>
      </c>
      <c r="D2" s="1028" t="s">
        <v>19</v>
      </c>
      <c r="E2" s="1028" t="s">
        <v>2004</v>
      </c>
      <c r="F2" s="1028" t="s">
        <v>58</v>
      </c>
      <c r="G2" s="495" t="s">
        <v>1829</v>
      </c>
      <c r="H2" s="1029">
        <v>45378</v>
      </c>
      <c r="I2" s="851"/>
      <c r="J2" s="513"/>
      <c r="K2" s="513" t="s">
        <v>1830</v>
      </c>
      <c r="L2" s="992"/>
    </row>
    <row r="3" spans="2:12">
      <c r="B3" s="1028" t="s">
        <v>1827</v>
      </c>
      <c r="C3" s="1028" t="s">
        <v>2292</v>
      </c>
      <c r="D3" s="1028" t="s">
        <v>19</v>
      </c>
      <c r="E3" s="1028" t="s">
        <v>2293</v>
      </c>
      <c r="F3" s="1028" t="s">
        <v>58</v>
      </c>
      <c r="G3" s="495" t="s">
        <v>2294</v>
      </c>
      <c r="H3" s="1029">
        <v>45714</v>
      </c>
      <c r="I3" s="851"/>
      <c r="J3" s="513"/>
      <c r="K3" s="513" t="s">
        <v>1830</v>
      </c>
      <c r="L3" s="992"/>
    </row>
    <row r="4" spans="2:12">
      <c r="B4" s="1028" t="s">
        <v>1827</v>
      </c>
      <c r="C4" s="1028" t="s">
        <v>2483</v>
      </c>
      <c r="D4" s="1028" t="s">
        <v>19</v>
      </c>
      <c r="E4" s="1028" t="s">
        <v>2485</v>
      </c>
      <c r="F4" s="1028" t="s">
        <v>165</v>
      </c>
      <c r="G4" s="1030" t="s">
        <v>2484</v>
      </c>
      <c r="H4" s="1029">
        <v>45747</v>
      </c>
      <c r="I4" s="851"/>
      <c r="J4" s="513"/>
      <c r="K4" s="513" t="s">
        <v>1830</v>
      </c>
      <c r="L4" s="992"/>
    </row>
    <row r="5" spans="2:12">
      <c r="B5" s="1028" t="s">
        <v>1827</v>
      </c>
      <c r="C5" s="1028" t="s">
        <v>2731</v>
      </c>
      <c r="D5" s="1028" t="s">
        <v>19</v>
      </c>
      <c r="E5" s="1028" t="s">
        <v>2057</v>
      </c>
      <c r="F5" s="1028" t="s">
        <v>58</v>
      </c>
      <c r="G5" s="1030" t="s">
        <v>2732</v>
      </c>
      <c r="H5" s="1031" t="s">
        <v>2733</v>
      </c>
      <c r="I5" s="851"/>
      <c r="J5" s="513"/>
      <c r="K5" s="513"/>
      <c r="L5" s="992"/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theme="9" tint="0.59999389629810485"/>
  </sheetPr>
  <dimension ref="B1:M23"/>
  <sheetViews>
    <sheetView workbookViewId="0">
      <selection activeCell="H10" sqref="H10"/>
    </sheetView>
  </sheetViews>
  <sheetFormatPr defaultRowHeight="16.5"/>
  <cols>
    <col min="2" max="2" width="14.75" customWidth="1"/>
    <col min="4" max="4" width="15.375" bestFit="1" customWidth="1"/>
    <col min="7" max="7" width="23.875" customWidth="1"/>
    <col min="8" max="8" width="68.375" bestFit="1" customWidth="1"/>
    <col min="9" max="9" width="12.125" customWidth="1"/>
    <col min="10" max="10" width="17.25" customWidth="1"/>
    <col min="11" max="11" width="17.75" customWidth="1"/>
    <col min="12" max="12" width="19.5" bestFit="1" customWidth="1"/>
    <col min="13" max="13" width="18.75" customWidth="1"/>
  </cols>
  <sheetData>
    <row r="1" spans="2:13" ht="19.5" customHeight="1">
      <c r="B1" s="1020" t="s">
        <v>0</v>
      </c>
      <c r="C1" s="1020" t="s">
        <v>1</v>
      </c>
      <c r="D1" s="1020" t="s">
        <v>1992</v>
      </c>
      <c r="E1" s="1020" t="s">
        <v>1560</v>
      </c>
      <c r="F1" s="1020" t="s">
        <v>3</v>
      </c>
      <c r="G1" s="1020" t="s">
        <v>4</v>
      </c>
      <c r="H1" s="1020" t="s">
        <v>5</v>
      </c>
      <c r="I1" s="1020" t="s">
        <v>18</v>
      </c>
      <c r="J1" s="1039" t="s">
        <v>7</v>
      </c>
      <c r="K1" s="1039" t="s">
        <v>8</v>
      </c>
      <c r="L1" s="1020" t="s">
        <v>9</v>
      </c>
      <c r="M1" s="1020" t="s">
        <v>65</v>
      </c>
    </row>
    <row r="2" spans="2:13" s="904" customFormat="1">
      <c r="B2" s="225" t="s">
        <v>94</v>
      </c>
      <c r="C2" s="225" t="s">
        <v>98</v>
      </c>
      <c r="D2" s="225" t="s">
        <v>2711</v>
      </c>
      <c r="E2" s="225"/>
      <c r="F2" s="225" t="s">
        <v>28</v>
      </c>
      <c r="G2" s="1035" t="s">
        <v>2514</v>
      </c>
      <c r="H2" s="1036" t="s">
        <v>99</v>
      </c>
      <c r="I2" s="199" t="s">
        <v>100</v>
      </c>
      <c r="J2" s="537">
        <v>966.49</v>
      </c>
      <c r="K2" s="860">
        <v>61855000000</v>
      </c>
      <c r="L2" s="860">
        <v>64000000000</v>
      </c>
      <c r="M2" s="47" t="s">
        <v>32</v>
      </c>
    </row>
    <row r="3" spans="2:13" s="904" customFormat="1">
      <c r="B3" s="225" t="s">
        <v>94</v>
      </c>
      <c r="C3" s="225" t="s">
        <v>101</v>
      </c>
      <c r="D3" s="520" t="s">
        <v>2706</v>
      </c>
      <c r="E3" s="225"/>
      <c r="F3" s="225" t="s">
        <v>31</v>
      </c>
      <c r="G3" s="533" t="s">
        <v>102</v>
      </c>
      <c r="H3" s="533" t="s">
        <v>103</v>
      </c>
      <c r="I3" s="199" t="s">
        <v>104</v>
      </c>
      <c r="J3" s="197" t="s">
        <v>21</v>
      </c>
      <c r="K3" s="197" t="s">
        <v>21</v>
      </c>
      <c r="L3" s="197" t="s">
        <v>21</v>
      </c>
      <c r="M3" s="197" t="s">
        <v>32</v>
      </c>
    </row>
    <row r="4" spans="2:13" s="905" customFormat="1">
      <c r="B4" s="520" t="s">
        <v>94</v>
      </c>
      <c r="C4" s="520" t="s">
        <v>105</v>
      </c>
      <c r="D4" s="520" t="s">
        <v>2707</v>
      </c>
      <c r="E4" s="520" t="s">
        <v>1561</v>
      </c>
      <c r="F4" s="520" t="s">
        <v>31</v>
      </c>
      <c r="G4" s="823" t="s">
        <v>1565</v>
      </c>
      <c r="H4" s="823" t="s">
        <v>1568</v>
      </c>
      <c r="I4" s="527" t="s">
        <v>104</v>
      </c>
      <c r="J4" s="827">
        <v>1055.95</v>
      </c>
      <c r="K4" s="863">
        <v>4120558280</v>
      </c>
      <c r="L4" s="863">
        <v>3902241438</v>
      </c>
      <c r="M4" s="525" t="s">
        <v>13</v>
      </c>
    </row>
    <row r="5" spans="2:13" s="904" customFormat="1">
      <c r="B5" s="225" t="s">
        <v>94</v>
      </c>
      <c r="C5" s="225" t="s">
        <v>106</v>
      </c>
      <c r="D5" s="225" t="s">
        <v>2710</v>
      </c>
      <c r="E5" s="225"/>
      <c r="F5" s="225" t="s">
        <v>31</v>
      </c>
      <c r="G5" s="533" t="s">
        <v>102</v>
      </c>
      <c r="H5" s="533" t="s">
        <v>107</v>
      </c>
      <c r="I5" s="199" t="s">
        <v>104</v>
      </c>
      <c r="J5" s="197" t="s">
        <v>21</v>
      </c>
      <c r="K5" s="197" t="s">
        <v>21</v>
      </c>
      <c r="L5" s="197" t="s">
        <v>21</v>
      </c>
      <c r="M5" s="197" t="s">
        <v>32</v>
      </c>
    </row>
    <row r="6" spans="2:13" s="904" customFormat="1">
      <c r="B6" s="225" t="s">
        <v>94</v>
      </c>
      <c r="C6" s="225" t="s">
        <v>108</v>
      </c>
      <c r="D6" s="520" t="s">
        <v>1993</v>
      </c>
      <c r="E6" s="225"/>
      <c r="F6" s="225" t="s">
        <v>27</v>
      </c>
      <c r="G6" s="1035" t="s">
        <v>231</v>
      </c>
      <c r="H6" s="533" t="s">
        <v>2708</v>
      </c>
      <c r="I6" s="199" t="s">
        <v>110</v>
      </c>
      <c r="J6" s="197" t="s">
        <v>21</v>
      </c>
      <c r="K6" s="197" t="s">
        <v>21</v>
      </c>
      <c r="L6" s="197" t="s">
        <v>21</v>
      </c>
      <c r="M6" s="197" t="s">
        <v>816</v>
      </c>
    </row>
    <row r="7" spans="2:13" s="905" customFormat="1">
      <c r="B7" s="520" t="s">
        <v>94</v>
      </c>
      <c r="C7" s="520" t="s">
        <v>111</v>
      </c>
      <c r="D7" s="1037" t="s">
        <v>2713</v>
      </c>
      <c r="E7" s="520" t="s">
        <v>1561</v>
      </c>
      <c r="F7" s="520" t="s">
        <v>27</v>
      </c>
      <c r="G7" s="1038" t="s">
        <v>1563</v>
      </c>
      <c r="H7" s="823" t="s">
        <v>2709</v>
      </c>
      <c r="I7" s="527" t="s">
        <v>110</v>
      </c>
      <c r="J7" s="827">
        <v>1060.56</v>
      </c>
      <c r="K7" s="863">
        <v>5544721836</v>
      </c>
      <c r="L7" s="863">
        <v>5228105700</v>
      </c>
      <c r="M7" s="525" t="s">
        <v>13</v>
      </c>
    </row>
    <row r="8" spans="2:13" s="904" customFormat="1">
      <c r="B8" s="225" t="s">
        <v>94</v>
      </c>
      <c r="C8" s="225" t="s">
        <v>827</v>
      </c>
      <c r="D8" s="1037" t="s">
        <v>2714</v>
      </c>
      <c r="E8" s="225"/>
      <c r="F8" s="225" t="s">
        <v>28</v>
      </c>
      <c r="G8" s="1035" t="s">
        <v>817</v>
      </c>
      <c r="H8" s="533" t="s">
        <v>818</v>
      </c>
      <c r="I8" s="199" t="s">
        <v>819</v>
      </c>
      <c r="J8" s="537">
        <v>385.85</v>
      </c>
      <c r="K8" s="860">
        <v>3181000000</v>
      </c>
      <c r="L8" s="860">
        <v>8243000000</v>
      </c>
      <c r="M8" s="47" t="s">
        <v>816</v>
      </c>
    </row>
    <row r="9" spans="2:13" s="905" customFormat="1">
      <c r="B9" s="520" t="s">
        <v>94</v>
      </c>
      <c r="C9" s="520" t="s">
        <v>822</v>
      </c>
      <c r="D9" s="520" t="s">
        <v>1994</v>
      </c>
      <c r="E9" s="520" t="s">
        <v>1561</v>
      </c>
      <c r="F9" s="520" t="s">
        <v>28</v>
      </c>
      <c r="G9" s="1038" t="s">
        <v>1564</v>
      </c>
      <c r="H9" s="823" t="s">
        <v>820</v>
      </c>
      <c r="I9" s="527" t="s">
        <v>821</v>
      </c>
      <c r="J9" s="861">
        <v>960.49</v>
      </c>
      <c r="K9" s="862">
        <v>377454004</v>
      </c>
      <c r="L9" s="862">
        <v>392980766</v>
      </c>
      <c r="M9" s="520" t="s">
        <v>13</v>
      </c>
    </row>
    <row r="10" spans="2:13" s="905" customFormat="1">
      <c r="B10" s="520" t="s">
        <v>94</v>
      </c>
      <c r="C10" s="520" t="s">
        <v>824</v>
      </c>
      <c r="D10" s="520" t="s">
        <v>1995</v>
      </c>
      <c r="E10" s="520" t="s">
        <v>1562</v>
      </c>
      <c r="F10" s="520" t="s">
        <v>28</v>
      </c>
      <c r="G10" s="1038" t="s">
        <v>1564</v>
      </c>
      <c r="H10" s="823" t="s">
        <v>826</v>
      </c>
      <c r="I10" s="527" t="s">
        <v>1567</v>
      </c>
      <c r="J10" s="861">
        <v>935.67</v>
      </c>
      <c r="K10" s="862">
        <v>727482928</v>
      </c>
      <c r="L10" s="862">
        <v>777495520</v>
      </c>
      <c r="M10" s="520" t="s">
        <v>13</v>
      </c>
    </row>
    <row r="11" spans="2:13" s="904" customFormat="1">
      <c r="B11" s="225" t="s">
        <v>94</v>
      </c>
      <c r="C11" s="225" t="s">
        <v>1686</v>
      </c>
      <c r="D11" s="225" t="s">
        <v>2705</v>
      </c>
      <c r="E11" s="225"/>
      <c r="F11" s="225" t="s">
        <v>29</v>
      </c>
      <c r="G11" s="1035" t="s">
        <v>1687</v>
      </c>
      <c r="H11" s="533" t="s">
        <v>1688</v>
      </c>
      <c r="I11" s="199">
        <v>2016.1</v>
      </c>
      <c r="J11" s="537">
        <v>1636.72</v>
      </c>
      <c r="K11" s="860">
        <v>599590924</v>
      </c>
      <c r="L11" s="860">
        <v>366336634</v>
      </c>
      <c r="M11" s="47"/>
    </row>
    <row r="12" spans="2:13" s="904" customFormat="1">
      <c r="B12" s="520" t="s">
        <v>94</v>
      </c>
      <c r="C12" s="520" t="s">
        <v>2231</v>
      </c>
      <c r="D12" s="520" t="s">
        <v>2650</v>
      </c>
      <c r="E12" s="520" t="s">
        <v>33</v>
      </c>
      <c r="F12" s="520" t="s">
        <v>58</v>
      </c>
      <c r="G12" s="1038" t="s">
        <v>1564</v>
      </c>
      <c r="H12" s="823" t="s">
        <v>2651</v>
      </c>
      <c r="I12" s="527"/>
      <c r="J12" s="861">
        <v>1040</v>
      </c>
      <c r="K12" s="862"/>
      <c r="L12" s="862"/>
      <c r="M12" s="520"/>
    </row>
    <row r="13" spans="2:13" s="904" customFormat="1">
      <c r="B13" s="520" t="s">
        <v>94</v>
      </c>
      <c r="C13" s="520" t="s">
        <v>2715</v>
      </c>
      <c r="D13" s="520" t="s">
        <v>2716</v>
      </c>
      <c r="E13" s="520" t="s">
        <v>33</v>
      </c>
      <c r="F13" s="520" t="s">
        <v>58</v>
      </c>
      <c r="G13" s="1038" t="s">
        <v>1564</v>
      </c>
      <c r="H13" s="823" t="s">
        <v>2717</v>
      </c>
      <c r="I13" s="527"/>
      <c r="J13" s="861">
        <v>1049</v>
      </c>
      <c r="K13" s="862"/>
      <c r="L13" s="862"/>
      <c r="M13" s="520"/>
    </row>
    <row r="14" spans="2:13">
      <c r="B14" s="520" t="s">
        <v>94</v>
      </c>
      <c r="C14" s="520" t="s">
        <v>2932</v>
      </c>
      <c r="D14" s="225" t="s">
        <v>2964</v>
      </c>
      <c r="E14" s="520" t="s">
        <v>33</v>
      </c>
      <c r="F14" s="520" t="s">
        <v>2935</v>
      </c>
      <c r="G14" s="1038" t="s">
        <v>1564</v>
      </c>
      <c r="H14" s="823" t="s">
        <v>2936</v>
      </c>
      <c r="I14" s="527" t="s">
        <v>2939</v>
      </c>
      <c r="J14" s="861"/>
      <c r="K14" s="862"/>
      <c r="L14" s="862"/>
      <c r="M14" s="520"/>
    </row>
    <row r="15" spans="2:13">
      <c r="B15" s="520" t="s">
        <v>94</v>
      </c>
      <c r="C15" s="520" t="s">
        <v>2933</v>
      </c>
      <c r="D15" s="225" t="s">
        <v>2965</v>
      </c>
      <c r="E15" s="520" t="s">
        <v>33</v>
      </c>
      <c r="F15" s="520" t="s">
        <v>2935</v>
      </c>
      <c r="G15" s="1038" t="s">
        <v>1564</v>
      </c>
      <c r="H15" s="823" t="s">
        <v>2937</v>
      </c>
      <c r="I15" s="527" t="s">
        <v>2939</v>
      </c>
      <c r="J15" s="861"/>
      <c r="K15" s="862"/>
      <c r="L15" s="862"/>
      <c r="M15" s="520"/>
    </row>
    <row r="16" spans="2:13">
      <c r="B16" s="520" t="s">
        <v>94</v>
      </c>
      <c r="C16" s="520" t="s">
        <v>2934</v>
      </c>
      <c r="D16" s="225" t="s">
        <v>2966</v>
      </c>
      <c r="E16" s="520" t="s">
        <v>33</v>
      </c>
      <c r="F16" s="520" t="s">
        <v>2935</v>
      </c>
      <c r="G16" s="1038" t="s">
        <v>1564</v>
      </c>
      <c r="H16" s="823" t="s">
        <v>2938</v>
      </c>
      <c r="I16" s="527" t="s">
        <v>2939</v>
      </c>
      <c r="J16" s="861"/>
      <c r="K16" s="862"/>
      <c r="L16" s="862"/>
      <c r="M16" s="520"/>
    </row>
    <row r="17" spans="2:13">
      <c r="B17" s="520" t="s">
        <v>94</v>
      </c>
      <c r="C17" s="520">
        <v>1021</v>
      </c>
      <c r="D17" s="520" t="s">
        <v>2950</v>
      </c>
      <c r="E17" s="520" t="s">
        <v>19</v>
      </c>
      <c r="F17" s="520" t="s">
        <v>2951</v>
      </c>
      <c r="G17" s="1038" t="s">
        <v>3076</v>
      </c>
      <c r="H17" s="823" t="s">
        <v>2967</v>
      </c>
      <c r="I17" s="527">
        <v>2026.01</v>
      </c>
      <c r="J17" s="861"/>
      <c r="K17" s="862"/>
      <c r="L17" s="862"/>
      <c r="M17" s="520"/>
    </row>
    <row r="18" spans="2:13">
      <c r="B18" s="520" t="s">
        <v>94</v>
      </c>
      <c r="C18" s="520">
        <v>1022</v>
      </c>
      <c r="D18" s="520" t="s">
        <v>3083</v>
      </c>
      <c r="E18" s="520" t="s">
        <v>33</v>
      </c>
      <c r="F18" s="520" t="s">
        <v>27</v>
      </c>
      <c r="G18" s="1038" t="s">
        <v>3076</v>
      </c>
      <c r="H18" s="823" t="s">
        <v>3077</v>
      </c>
      <c r="I18" s="527">
        <v>2026.05</v>
      </c>
      <c r="J18" s="861"/>
      <c r="K18" s="862"/>
      <c r="L18" s="862"/>
      <c r="M18" s="520"/>
    </row>
    <row r="20" spans="2:13">
      <c r="B20" t="s">
        <v>2652</v>
      </c>
    </row>
    <row r="21" spans="2:13" s="363" customFormat="1">
      <c r="B21" s="1040" t="s">
        <v>94</v>
      </c>
      <c r="C21" s="1040" t="s">
        <v>823</v>
      </c>
      <c r="D21" s="1041" t="s">
        <v>2015</v>
      </c>
      <c r="E21" s="1041" t="s">
        <v>1562</v>
      </c>
      <c r="F21" s="1040" t="s">
        <v>28</v>
      </c>
      <c r="G21" s="1042" t="s">
        <v>1564</v>
      </c>
      <c r="H21" s="1043" t="s">
        <v>825</v>
      </c>
      <c r="I21" s="1044" t="s">
        <v>1566</v>
      </c>
      <c r="J21" s="1045">
        <v>941.51</v>
      </c>
      <c r="K21" s="1046">
        <v>893587230</v>
      </c>
      <c r="L21" s="1046">
        <v>949098554</v>
      </c>
      <c r="M21" s="1040" t="s">
        <v>13</v>
      </c>
    </row>
    <row r="22" spans="2:13">
      <c r="B22" s="225" t="s">
        <v>94</v>
      </c>
      <c r="C22" s="225" t="s">
        <v>95</v>
      </c>
      <c r="D22" s="857"/>
      <c r="E22" s="857"/>
      <c r="F22" s="225" t="s">
        <v>27</v>
      </c>
      <c r="G22" s="858" t="s">
        <v>231</v>
      </c>
      <c r="H22" s="859" t="s">
        <v>96</v>
      </c>
      <c r="I22" s="199" t="s">
        <v>97</v>
      </c>
      <c r="J22" s="537">
        <v>593.01</v>
      </c>
      <c r="K22" s="860">
        <v>20042850954</v>
      </c>
      <c r="L22" s="860">
        <v>32300000000</v>
      </c>
      <c r="M22" s="47" t="s">
        <v>32</v>
      </c>
    </row>
    <row r="23" spans="2:13" s="904" customFormat="1">
      <c r="B23" s="225" t="s">
        <v>94</v>
      </c>
      <c r="C23" s="225" t="s">
        <v>1315</v>
      </c>
      <c r="D23" s="1037" t="s">
        <v>2712</v>
      </c>
      <c r="E23" s="225"/>
      <c r="F23" s="225" t="s">
        <v>27</v>
      </c>
      <c r="G23" s="1035" t="s">
        <v>231</v>
      </c>
      <c r="H23" s="533" t="s">
        <v>1313</v>
      </c>
      <c r="I23" s="199" t="s">
        <v>1314</v>
      </c>
      <c r="J23" s="537">
        <v>1001.11</v>
      </c>
      <c r="K23" s="860"/>
      <c r="L23" s="860"/>
      <c r="M23" s="47" t="s">
        <v>816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3">
    <tabColor theme="9" tint="0.59999389629810485"/>
    <pageSetUpPr fitToPage="1"/>
  </sheetPr>
  <dimension ref="A1:AD102"/>
  <sheetViews>
    <sheetView workbookViewId="0">
      <pane ySplit="1" topLeftCell="A2" activePane="bottomLeft" state="frozen"/>
      <selection activeCell="C21" sqref="C21"/>
      <selection pane="bottomLeft" activeCell="G21" sqref="G21:L21"/>
    </sheetView>
  </sheetViews>
  <sheetFormatPr defaultRowHeight="16.5"/>
  <cols>
    <col min="1" max="1" width="9" style="2"/>
    <col min="2" max="2" width="13.25" style="2" bestFit="1" customWidth="1"/>
    <col min="3" max="3" width="11.125" style="2" customWidth="1"/>
    <col min="4" max="4" width="15.125" style="2" bestFit="1" customWidth="1"/>
    <col min="5" max="5" width="11.125" style="2" customWidth="1"/>
    <col min="6" max="6" width="10.625" style="2" customWidth="1"/>
    <col min="7" max="9" width="9" style="2"/>
    <col min="10" max="10" width="13.875" style="2" customWidth="1"/>
    <col min="11" max="11" width="9" style="2"/>
    <col min="12" max="12" width="15.625" style="2" customWidth="1"/>
    <col min="13" max="14" width="12.5" style="38" customWidth="1"/>
    <col min="15" max="15" width="16.75" style="38" bestFit="1" customWidth="1"/>
    <col min="16" max="16" width="15.75" style="38" bestFit="1" customWidth="1"/>
    <col min="17" max="30" width="9" style="37"/>
    <col min="31" max="16384" width="9" style="2"/>
  </cols>
  <sheetData>
    <row r="1" spans="1:21" ht="22.5" customHeight="1" thickBot="1">
      <c r="A1" s="942" t="s">
        <v>2723</v>
      </c>
      <c r="B1" s="1047" t="s">
        <v>0</v>
      </c>
      <c r="C1" s="932" t="s">
        <v>1</v>
      </c>
      <c r="D1" s="932" t="s">
        <v>1862</v>
      </c>
      <c r="E1" s="932" t="s">
        <v>232</v>
      </c>
      <c r="F1" s="932" t="s">
        <v>3</v>
      </c>
      <c r="G1" s="1120" t="s">
        <v>5</v>
      </c>
      <c r="H1" s="1120"/>
      <c r="I1" s="1120"/>
      <c r="J1" s="1120"/>
      <c r="K1" s="1120"/>
      <c r="L1" s="1121"/>
      <c r="M1" s="1048" t="s">
        <v>234</v>
      </c>
      <c r="N1" s="1048" t="s">
        <v>7</v>
      </c>
      <c r="O1" s="1048" t="s">
        <v>8</v>
      </c>
      <c r="P1" s="1048" t="s">
        <v>9</v>
      </c>
    </row>
    <row r="2" spans="1:21" s="359" customFormat="1" ht="18.75" customHeight="1">
      <c r="A2" s="839">
        <v>1</v>
      </c>
      <c r="B2" s="900" t="s">
        <v>1701</v>
      </c>
      <c r="C2" s="444">
        <v>54301</v>
      </c>
      <c r="D2" s="444" t="s">
        <v>1926</v>
      </c>
      <c r="E2" s="444" t="s">
        <v>33</v>
      </c>
      <c r="F2" s="892" t="s">
        <v>1667</v>
      </c>
      <c r="G2" s="1122" t="s">
        <v>1718</v>
      </c>
      <c r="H2" s="1123"/>
      <c r="I2" s="1123"/>
      <c r="J2" s="1123"/>
      <c r="K2" s="1123"/>
      <c r="L2" s="1124"/>
      <c r="M2" s="893">
        <v>2010.09</v>
      </c>
      <c r="N2" s="893">
        <v>701.85</v>
      </c>
      <c r="O2" s="489">
        <v>166994008</v>
      </c>
      <c r="P2" s="489">
        <v>237934054</v>
      </c>
    </row>
    <row r="3" spans="1:21" s="358" customFormat="1" ht="18.75" customHeight="1">
      <c r="A3" s="839">
        <v>2</v>
      </c>
      <c r="B3" s="901" t="s">
        <v>1700</v>
      </c>
      <c r="C3" s="401" t="s">
        <v>237</v>
      </c>
      <c r="D3" s="444" t="s">
        <v>1927</v>
      </c>
      <c r="E3" s="35" t="s">
        <v>33</v>
      </c>
      <c r="F3" s="56" t="s">
        <v>1667</v>
      </c>
      <c r="G3" s="1119" t="s">
        <v>1704</v>
      </c>
      <c r="H3" s="1119"/>
      <c r="I3" s="1119"/>
      <c r="J3" s="1119"/>
      <c r="K3" s="1119"/>
      <c r="L3" s="1119"/>
      <c r="M3" s="34">
        <v>2011.08</v>
      </c>
      <c r="N3" s="34">
        <v>929.68</v>
      </c>
      <c r="O3" s="513">
        <v>2776778274.0000005</v>
      </c>
      <c r="P3" s="513">
        <v>2986819924</v>
      </c>
      <c r="T3" s="894"/>
      <c r="U3" s="894"/>
    </row>
    <row r="4" spans="1:21" s="358" customFormat="1" ht="18.75" customHeight="1">
      <c r="A4" s="839">
        <v>3</v>
      </c>
      <c r="B4" s="901" t="s">
        <v>1700</v>
      </c>
      <c r="C4" s="401">
        <v>64531</v>
      </c>
      <c r="D4" s="444" t="s">
        <v>2719</v>
      </c>
      <c r="E4" s="35" t="s">
        <v>33</v>
      </c>
      <c r="F4" s="56" t="s">
        <v>1667</v>
      </c>
      <c r="G4" s="1119" t="s">
        <v>1707</v>
      </c>
      <c r="H4" s="1119"/>
      <c r="I4" s="1119"/>
      <c r="J4" s="1119"/>
      <c r="K4" s="1119"/>
      <c r="L4" s="1119"/>
      <c r="M4" s="34">
        <v>2013.11</v>
      </c>
      <c r="N4" s="898">
        <v>1582.3</v>
      </c>
      <c r="O4" s="513">
        <v>3338774663</v>
      </c>
      <c r="P4" s="513">
        <v>2110077154</v>
      </c>
    </row>
    <row r="5" spans="1:21" s="359" customFormat="1" ht="18.75" customHeight="1">
      <c r="A5" s="839">
        <v>4</v>
      </c>
      <c r="B5" s="902" t="s">
        <v>1700</v>
      </c>
      <c r="C5" s="365">
        <v>65500</v>
      </c>
      <c r="D5" s="444" t="s">
        <v>1928</v>
      </c>
      <c r="E5" s="365" t="s">
        <v>33</v>
      </c>
      <c r="F5" s="895" t="s">
        <v>1667</v>
      </c>
      <c r="G5" s="1117" t="s">
        <v>1709</v>
      </c>
      <c r="H5" s="1117"/>
      <c r="I5" s="1117"/>
      <c r="J5" s="1117"/>
      <c r="K5" s="1117"/>
      <c r="L5" s="1117"/>
      <c r="M5" s="839">
        <v>2014.08</v>
      </c>
      <c r="N5" s="839">
        <v>1854.06</v>
      </c>
      <c r="O5" s="204">
        <v>5053571989</v>
      </c>
      <c r="P5" s="204">
        <v>2725674803</v>
      </c>
    </row>
    <row r="6" spans="1:21" s="359" customFormat="1" ht="18.75" customHeight="1">
      <c r="A6" s="839">
        <v>5</v>
      </c>
      <c r="B6" s="902" t="s">
        <v>1700</v>
      </c>
      <c r="C6" s="365">
        <v>63141</v>
      </c>
      <c r="D6" s="444" t="s">
        <v>1929</v>
      </c>
      <c r="E6" s="365" t="s">
        <v>33</v>
      </c>
      <c r="F6" s="895" t="s">
        <v>241</v>
      </c>
      <c r="G6" s="1117" t="s">
        <v>1721</v>
      </c>
      <c r="H6" s="1117"/>
      <c r="I6" s="1117"/>
      <c r="J6" s="1117"/>
      <c r="K6" s="1117"/>
      <c r="L6" s="1117"/>
      <c r="M6" s="839">
        <v>2005.12</v>
      </c>
      <c r="N6" s="896">
        <v>1253.67</v>
      </c>
      <c r="O6" s="204">
        <v>2471039714</v>
      </c>
      <c r="P6" s="204">
        <v>1971047525</v>
      </c>
    </row>
    <row r="7" spans="1:21" s="361" customFormat="1" ht="18.75" customHeight="1">
      <c r="A7" s="839">
        <v>6</v>
      </c>
      <c r="B7" s="903" t="s">
        <v>1700</v>
      </c>
      <c r="C7" s="401">
        <v>63751</v>
      </c>
      <c r="D7" s="444" t="s">
        <v>1910</v>
      </c>
      <c r="E7" s="401" t="s">
        <v>19</v>
      </c>
      <c r="F7" s="402" t="s">
        <v>27</v>
      </c>
      <c r="G7" s="1118" t="s">
        <v>1725</v>
      </c>
      <c r="H7" s="1118"/>
      <c r="I7" s="1118"/>
      <c r="J7" s="1118"/>
      <c r="K7" s="1118"/>
      <c r="L7" s="1118"/>
      <c r="M7" s="403">
        <v>2010.01</v>
      </c>
      <c r="N7" s="403">
        <v>582.89</v>
      </c>
      <c r="O7" s="204">
        <v>69346123</v>
      </c>
      <c r="P7" s="204">
        <v>118970084</v>
      </c>
    </row>
    <row r="8" spans="1:21" s="361" customFormat="1" ht="18.75" customHeight="1">
      <c r="A8" s="839">
        <v>7</v>
      </c>
      <c r="B8" s="903" t="s">
        <v>1700</v>
      </c>
      <c r="C8" s="401">
        <v>65520</v>
      </c>
      <c r="D8" s="444" t="s">
        <v>1932</v>
      </c>
      <c r="E8" s="401" t="s">
        <v>33</v>
      </c>
      <c r="F8" s="402" t="s">
        <v>30</v>
      </c>
      <c r="G8" s="1118" t="s">
        <v>1717</v>
      </c>
      <c r="H8" s="1118"/>
      <c r="I8" s="1118"/>
      <c r="J8" s="1118"/>
      <c r="K8" s="1118"/>
      <c r="L8" s="1118"/>
      <c r="M8" s="403">
        <v>2005.05</v>
      </c>
      <c r="N8" s="403">
        <v>981.45</v>
      </c>
      <c r="O8" s="204">
        <v>77305452329</v>
      </c>
      <c r="P8" s="204">
        <v>78766342427.000015</v>
      </c>
    </row>
    <row r="9" spans="1:21" s="361" customFormat="1" ht="18.75" customHeight="1">
      <c r="A9" s="839">
        <v>8</v>
      </c>
      <c r="B9" s="903" t="s">
        <v>1700</v>
      </c>
      <c r="C9" s="401" t="s">
        <v>249</v>
      </c>
      <c r="D9" s="444" t="s">
        <v>1933</v>
      </c>
      <c r="E9" s="401" t="s">
        <v>33</v>
      </c>
      <c r="F9" s="402" t="s">
        <v>1667</v>
      </c>
      <c r="G9" s="1118" t="s">
        <v>1706</v>
      </c>
      <c r="H9" s="1118"/>
      <c r="I9" s="1118"/>
      <c r="J9" s="1118"/>
      <c r="K9" s="1118"/>
      <c r="L9" s="1118"/>
      <c r="M9" s="403">
        <v>2015.05</v>
      </c>
      <c r="N9" s="403">
        <v>1591.85</v>
      </c>
      <c r="O9" s="204">
        <v>1162760989.9999998</v>
      </c>
      <c r="P9" s="204">
        <v>730445667</v>
      </c>
    </row>
    <row r="10" spans="1:21" s="361" customFormat="1" ht="18.75" customHeight="1">
      <c r="A10" s="839">
        <v>9</v>
      </c>
      <c r="B10" s="903" t="s">
        <v>1700</v>
      </c>
      <c r="C10" s="401" t="s">
        <v>251</v>
      </c>
      <c r="D10" s="444" t="s">
        <v>1946</v>
      </c>
      <c r="E10" s="401" t="s">
        <v>33</v>
      </c>
      <c r="F10" s="402" t="s">
        <v>1667</v>
      </c>
      <c r="G10" s="1118" t="s">
        <v>1703</v>
      </c>
      <c r="H10" s="1118"/>
      <c r="I10" s="1118"/>
      <c r="J10" s="1118"/>
      <c r="K10" s="1118"/>
      <c r="L10" s="1118"/>
      <c r="M10" s="403">
        <v>2014.09</v>
      </c>
      <c r="N10" s="403">
        <v>1320.4</v>
      </c>
      <c r="O10" s="204">
        <v>8262283035.9999981</v>
      </c>
      <c r="P10" s="204">
        <v>6257424931</v>
      </c>
    </row>
    <row r="11" spans="1:21" s="361" customFormat="1" ht="18.75" customHeight="1">
      <c r="A11" s="839">
        <v>10</v>
      </c>
      <c r="B11" s="903" t="s">
        <v>1700</v>
      </c>
      <c r="C11" s="401" t="s">
        <v>253</v>
      </c>
      <c r="D11" s="444" t="s">
        <v>1934</v>
      </c>
      <c r="E11" s="401" t="s">
        <v>33</v>
      </c>
      <c r="F11" s="402" t="s">
        <v>1667</v>
      </c>
      <c r="G11" s="1118" t="s">
        <v>1702</v>
      </c>
      <c r="H11" s="1118"/>
      <c r="I11" s="1118"/>
      <c r="J11" s="1118"/>
      <c r="K11" s="1118"/>
      <c r="L11" s="1118"/>
      <c r="M11" s="403">
        <v>2014.09</v>
      </c>
      <c r="N11" s="403">
        <v>934.75</v>
      </c>
      <c r="O11" s="204">
        <v>6314801836</v>
      </c>
      <c r="P11" s="204">
        <v>6755626559</v>
      </c>
    </row>
    <row r="12" spans="1:21" s="361" customFormat="1" ht="18.75" customHeight="1">
      <c r="A12" s="839">
        <v>11</v>
      </c>
      <c r="B12" s="903" t="s">
        <v>1700</v>
      </c>
      <c r="C12" s="401">
        <v>63380</v>
      </c>
      <c r="D12" s="444" t="s">
        <v>1935</v>
      </c>
      <c r="E12" s="401" t="s">
        <v>33</v>
      </c>
      <c r="F12" s="402" t="s">
        <v>58</v>
      </c>
      <c r="G12" s="1118" t="s">
        <v>1715</v>
      </c>
      <c r="H12" s="1118"/>
      <c r="I12" s="1118"/>
      <c r="J12" s="1118"/>
      <c r="K12" s="1118"/>
      <c r="L12" s="1118"/>
      <c r="M12" s="403">
        <v>2014.02</v>
      </c>
      <c r="N12" s="403">
        <v>1280.58</v>
      </c>
      <c r="O12" s="204">
        <v>10027356022</v>
      </c>
      <c r="P12" s="204">
        <v>7830353346</v>
      </c>
    </row>
    <row r="13" spans="1:21" s="359" customFormat="1" ht="18.75" customHeight="1">
      <c r="A13" s="839">
        <v>12</v>
      </c>
      <c r="B13" s="902" t="s">
        <v>1700</v>
      </c>
      <c r="C13" s="839">
        <v>63331</v>
      </c>
      <c r="D13" s="444" t="s">
        <v>1936</v>
      </c>
      <c r="E13" s="839" t="s">
        <v>33</v>
      </c>
      <c r="F13" s="839" t="s">
        <v>23</v>
      </c>
      <c r="G13" s="1117" t="s">
        <v>1587</v>
      </c>
      <c r="H13" s="1117"/>
      <c r="I13" s="1117"/>
      <c r="J13" s="1117"/>
      <c r="K13" s="1117"/>
      <c r="L13" s="1117"/>
      <c r="M13" s="839">
        <v>2007.04</v>
      </c>
      <c r="N13" s="896">
        <v>875.75</v>
      </c>
      <c r="O13" s="204">
        <v>14916281214</v>
      </c>
      <c r="P13" s="204">
        <v>17032621520</v>
      </c>
    </row>
    <row r="14" spans="1:21" s="359" customFormat="1" ht="18.75" customHeight="1">
      <c r="A14" s="839">
        <v>13</v>
      </c>
      <c r="B14" s="902" t="s">
        <v>1700</v>
      </c>
      <c r="C14" s="839">
        <v>65311</v>
      </c>
      <c r="D14" s="444" t="s">
        <v>1937</v>
      </c>
      <c r="E14" s="839" t="s">
        <v>33</v>
      </c>
      <c r="F14" s="839" t="s">
        <v>58</v>
      </c>
      <c r="G14" s="1117" t="s">
        <v>1723</v>
      </c>
      <c r="H14" s="1117"/>
      <c r="I14" s="1117"/>
      <c r="J14" s="1117"/>
      <c r="K14" s="1117"/>
      <c r="L14" s="1117"/>
      <c r="M14" s="839">
        <v>2006.05</v>
      </c>
      <c r="N14" s="896">
        <v>993.68</v>
      </c>
      <c r="O14" s="204">
        <v>6424182413</v>
      </c>
      <c r="P14" s="204">
        <v>6465046300</v>
      </c>
    </row>
    <row r="15" spans="1:21" s="359" customFormat="1" ht="18.75" customHeight="1">
      <c r="A15" s="839">
        <v>14</v>
      </c>
      <c r="B15" s="902" t="s">
        <v>1700</v>
      </c>
      <c r="C15" s="839">
        <v>65101</v>
      </c>
      <c r="D15" s="444" t="s">
        <v>1912</v>
      </c>
      <c r="E15" s="839" t="s">
        <v>33</v>
      </c>
      <c r="F15" s="839" t="s">
        <v>58</v>
      </c>
      <c r="G15" s="1117" t="s">
        <v>1716</v>
      </c>
      <c r="H15" s="1117"/>
      <c r="I15" s="1117"/>
      <c r="J15" s="1117"/>
      <c r="K15" s="1117"/>
      <c r="L15" s="1117"/>
      <c r="M15" s="839">
        <v>2007.02</v>
      </c>
      <c r="N15" s="896">
        <v>1401.01</v>
      </c>
      <c r="O15" s="204">
        <v>98442699121</v>
      </c>
      <c r="P15" s="204">
        <v>70265634520.000015</v>
      </c>
    </row>
    <row r="16" spans="1:21" s="359" customFormat="1" ht="18.75" customHeight="1">
      <c r="A16" s="839">
        <v>15</v>
      </c>
      <c r="B16" s="902" t="s">
        <v>1700</v>
      </c>
      <c r="C16" s="839">
        <v>65650</v>
      </c>
      <c r="D16" s="444" t="s">
        <v>1938</v>
      </c>
      <c r="E16" s="839" t="s">
        <v>33</v>
      </c>
      <c r="F16" s="839" t="s">
        <v>27</v>
      </c>
      <c r="G16" s="1117" t="s">
        <v>1710</v>
      </c>
      <c r="H16" s="1117"/>
      <c r="I16" s="1117"/>
      <c r="J16" s="1117"/>
      <c r="K16" s="1117"/>
      <c r="L16" s="1117"/>
      <c r="M16" s="839">
        <v>2017.12</v>
      </c>
      <c r="N16" s="896">
        <v>2001.48</v>
      </c>
      <c r="O16" s="204">
        <v>75158034946</v>
      </c>
      <c r="P16" s="204">
        <v>37551173174</v>
      </c>
    </row>
    <row r="17" spans="1:16" s="358" customFormat="1" ht="18.75" customHeight="1">
      <c r="A17" s="839">
        <v>16</v>
      </c>
      <c r="B17" s="901" t="s">
        <v>1700</v>
      </c>
      <c r="C17" s="403">
        <v>65680</v>
      </c>
      <c r="D17" s="444" t="s">
        <v>2720</v>
      </c>
      <c r="E17" s="34" t="s">
        <v>33</v>
      </c>
      <c r="F17" s="34" t="s">
        <v>27</v>
      </c>
      <c r="G17" s="1119" t="s">
        <v>1711</v>
      </c>
      <c r="H17" s="1119"/>
      <c r="I17" s="1119"/>
      <c r="J17" s="1119"/>
      <c r="K17" s="1119"/>
      <c r="L17" s="1119"/>
      <c r="M17" s="34">
        <v>2018.01</v>
      </c>
      <c r="N17" s="34">
        <v>1138.53</v>
      </c>
      <c r="O17" s="513" t="s">
        <v>261</v>
      </c>
      <c r="P17" s="513" t="s">
        <v>262</v>
      </c>
    </row>
    <row r="18" spans="1:16" s="359" customFormat="1" ht="18.75" customHeight="1">
      <c r="A18" s="839">
        <v>17</v>
      </c>
      <c r="B18" s="902" t="s">
        <v>1700</v>
      </c>
      <c r="C18" s="839">
        <v>65681</v>
      </c>
      <c r="D18" s="1056" t="s">
        <v>2858</v>
      </c>
      <c r="E18" s="839" t="s">
        <v>33</v>
      </c>
      <c r="F18" s="839" t="s">
        <v>27</v>
      </c>
      <c r="G18" s="1117" t="s">
        <v>1719</v>
      </c>
      <c r="H18" s="1117"/>
      <c r="I18" s="1117"/>
      <c r="J18" s="1117"/>
      <c r="K18" s="1117"/>
      <c r="L18" s="1117"/>
      <c r="M18" s="839">
        <v>2018.01</v>
      </c>
      <c r="N18" s="896">
        <v>1089.5899999999999</v>
      </c>
      <c r="O18" s="204">
        <v>102530981233</v>
      </c>
      <c r="P18" s="204">
        <v>94100268291.999985</v>
      </c>
    </row>
    <row r="19" spans="1:16" s="359" customFormat="1" ht="18.75" customHeight="1">
      <c r="A19" s="839">
        <v>18</v>
      </c>
      <c r="B19" s="902" t="s">
        <v>1700</v>
      </c>
      <c r="C19" s="839">
        <v>66400</v>
      </c>
      <c r="D19" s="444" t="s">
        <v>1939</v>
      </c>
      <c r="E19" s="839" t="s">
        <v>33</v>
      </c>
      <c r="F19" s="839" t="s">
        <v>27</v>
      </c>
      <c r="G19" s="1117" t="s">
        <v>1712</v>
      </c>
      <c r="H19" s="1117"/>
      <c r="I19" s="1117"/>
      <c r="J19" s="1117"/>
      <c r="K19" s="1117"/>
      <c r="L19" s="1117"/>
      <c r="M19" s="846">
        <v>2019.12</v>
      </c>
      <c r="N19" s="839">
        <v>596.74</v>
      </c>
      <c r="O19" s="204">
        <v>7898374782.0000019</v>
      </c>
      <c r="P19" s="204">
        <v>13235860681</v>
      </c>
    </row>
    <row r="20" spans="1:16" s="358" customFormat="1" ht="18.75" customHeight="1">
      <c r="A20" s="839">
        <v>19</v>
      </c>
      <c r="B20" s="901" t="s">
        <v>1700</v>
      </c>
      <c r="C20" s="403">
        <v>60100</v>
      </c>
      <c r="D20" s="444" t="s">
        <v>2721</v>
      </c>
      <c r="E20" s="34" t="s">
        <v>33</v>
      </c>
      <c r="F20" s="57" t="s">
        <v>58</v>
      </c>
      <c r="G20" s="1119" t="s">
        <v>1714</v>
      </c>
      <c r="H20" s="1119"/>
      <c r="I20" s="1119"/>
      <c r="J20" s="1119"/>
      <c r="K20" s="1119"/>
      <c r="L20" s="1119"/>
      <c r="M20" s="752">
        <v>2022.06</v>
      </c>
      <c r="N20" s="34"/>
      <c r="O20" s="513"/>
      <c r="P20" s="513"/>
    </row>
    <row r="21" spans="1:16" s="361" customFormat="1" ht="18.75" customHeight="1">
      <c r="A21" s="839">
        <v>20</v>
      </c>
      <c r="B21" s="903" t="s">
        <v>1700</v>
      </c>
      <c r="C21" s="401">
        <v>60110</v>
      </c>
      <c r="D21" s="444" t="s">
        <v>1940</v>
      </c>
      <c r="E21" s="401" t="s">
        <v>33</v>
      </c>
      <c r="F21" s="402" t="s">
        <v>58</v>
      </c>
      <c r="G21" s="1118" t="s">
        <v>1722</v>
      </c>
      <c r="H21" s="1118"/>
      <c r="I21" s="1118"/>
      <c r="J21" s="1118"/>
      <c r="K21" s="1118"/>
      <c r="L21" s="1118"/>
      <c r="M21" s="403">
        <v>2022.07</v>
      </c>
      <c r="N21" s="403">
        <v>1147.5999999999999</v>
      </c>
      <c r="O21" s="204">
        <v>4190146417</v>
      </c>
      <c r="P21" s="204">
        <v>3651220435</v>
      </c>
    </row>
    <row r="22" spans="1:16" s="361" customFormat="1" ht="18.75" customHeight="1">
      <c r="A22" s="839">
        <v>21</v>
      </c>
      <c r="B22" s="903" t="s">
        <v>1700</v>
      </c>
      <c r="C22" s="401">
        <v>66170</v>
      </c>
      <c r="D22" s="444" t="s">
        <v>1941</v>
      </c>
      <c r="E22" s="401" t="s">
        <v>33</v>
      </c>
      <c r="F22" s="402" t="s">
        <v>27</v>
      </c>
      <c r="G22" s="1118" t="s">
        <v>1720</v>
      </c>
      <c r="H22" s="1118"/>
      <c r="I22" s="1118"/>
      <c r="J22" s="1118"/>
      <c r="K22" s="1118"/>
      <c r="L22" s="1118"/>
      <c r="M22" s="403">
        <v>2021.03</v>
      </c>
      <c r="N22" s="403">
        <v>1041.81</v>
      </c>
      <c r="O22" s="204">
        <v>2778310014.9999995</v>
      </c>
      <c r="P22" s="204">
        <v>2666820800.0000005</v>
      </c>
    </row>
    <row r="23" spans="1:16" s="361" customFormat="1" ht="18.75" customHeight="1">
      <c r="A23" s="839">
        <v>22</v>
      </c>
      <c r="B23" s="903" t="s">
        <v>1700</v>
      </c>
      <c r="C23" s="401">
        <v>56200</v>
      </c>
      <c r="D23" s="444" t="s">
        <v>1942</v>
      </c>
      <c r="E23" s="401" t="s">
        <v>19</v>
      </c>
      <c r="F23" s="402" t="s">
        <v>27</v>
      </c>
      <c r="G23" s="1118" t="s">
        <v>1724</v>
      </c>
      <c r="H23" s="1118"/>
      <c r="I23" s="1118"/>
      <c r="J23" s="1118"/>
      <c r="K23" s="1118"/>
      <c r="L23" s="1118"/>
      <c r="M23" s="403">
        <v>2019.06</v>
      </c>
      <c r="N23" s="403">
        <v>1012.98</v>
      </c>
      <c r="O23" s="204">
        <v>53245489792</v>
      </c>
      <c r="P23" s="204">
        <v>52563022785.999992</v>
      </c>
    </row>
    <row r="24" spans="1:16" s="361" customFormat="1" ht="18.75" customHeight="1">
      <c r="A24" s="839">
        <v>23</v>
      </c>
      <c r="B24" s="903" t="s">
        <v>1700</v>
      </c>
      <c r="C24" s="401">
        <v>66500</v>
      </c>
      <c r="D24" s="444" t="s">
        <v>1943</v>
      </c>
      <c r="E24" s="401" t="s">
        <v>33</v>
      </c>
      <c r="F24" s="402" t="s">
        <v>27</v>
      </c>
      <c r="G24" s="1118" t="s">
        <v>1713</v>
      </c>
      <c r="H24" s="1118"/>
      <c r="I24" s="1118"/>
      <c r="J24" s="1118"/>
      <c r="K24" s="1118"/>
      <c r="L24" s="1118"/>
      <c r="M24" s="403" t="s">
        <v>1497</v>
      </c>
      <c r="N24" s="403">
        <v>941.79</v>
      </c>
      <c r="O24" s="204">
        <v>5085883149.999999</v>
      </c>
      <c r="P24" s="204">
        <v>5400220573.000001</v>
      </c>
    </row>
    <row r="25" spans="1:16" s="361" customFormat="1" ht="18.75" customHeight="1">
      <c r="A25" s="839">
        <v>24</v>
      </c>
      <c r="B25" s="903" t="s">
        <v>1700</v>
      </c>
      <c r="C25" s="401" t="s">
        <v>1726</v>
      </c>
      <c r="D25" s="444" t="s">
        <v>1944</v>
      </c>
      <c r="E25" s="401" t="s">
        <v>33</v>
      </c>
      <c r="F25" s="402" t="s">
        <v>27</v>
      </c>
      <c r="G25" s="1118" t="s">
        <v>1727</v>
      </c>
      <c r="H25" s="1118"/>
      <c r="I25" s="1118"/>
      <c r="J25" s="1118"/>
      <c r="K25" s="1118"/>
      <c r="L25" s="1118"/>
      <c r="M25" s="403" t="s">
        <v>1728</v>
      </c>
      <c r="N25" s="403">
        <v>950.68</v>
      </c>
      <c r="O25" s="204">
        <v>337975667</v>
      </c>
      <c r="P25" s="204">
        <v>355510154.00000006</v>
      </c>
    </row>
    <row r="26" spans="1:16" s="361" customFormat="1" ht="18.75" customHeight="1">
      <c r="A26" s="839">
        <v>25</v>
      </c>
      <c r="B26" s="903" t="s">
        <v>1700</v>
      </c>
      <c r="C26" s="401">
        <v>45350</v>
      </c>
      <c r="D26" s="444" t="s">
        <v>1945</v>
      </c>
      <c r="E26" s="401" t="s">
        <v>33</v>
      </c>
      <c r="F26" s="402" t="s">
        <v>58</v>
      </c>
      <c r="G26" s="1118" t="s">
        <v>1744</v>
      </c>
      <c r="H26" s="1118"/>
      <c r="I26" s="1118"/>
      <c r="J26" s="1118"/>
      <c r="K26" s="1118"/>
      <c r="L26" s="1118"/>
      <c r="M26" s="403" t="s">
        <v>1745</v>
      </c>
      <c r="N26" s="403">
        <v>10064.290000000001</v>
      </c>
      <c r="O26" s="204">
        <v>20128585002.000004</v>
      </c>
      <c r="P26" s="204">
        <v>20000000000</v>
      </c>
    </row>
    <row r="27" spans="1:16" s="361" customFormat="1" ht="18.75" customHeight="1">
      <c r="A27" s="839">
        <v>26</v>
      </c>
      <c r="B27" s="903" t="s">
        <v>1700</v>
      </c>
      <c r="C27" s="401">
        <v>68880</v>
      </c>
      <c r="D27" s="444" t="s">
        <v>2722</v>
      </c>
      <c r="E27" s="401" t="s">
        <v>1781</v>
      </c>
      <c r="F27" s="402" t="s">
        <v>58</v>
      </c>
      <c r="G27" s="1118" t="s">
        <v>1783</v>
      </c>
      <c r="H27" s="1118"/>
      <c r="I27" s="1118"/>
      <c r="J27" s="1118"/>
      <c r="K27" s="1118"/>
      <c r="L27" s="1118"/>
      <c r="M27" s="403" t="s">
        <v>1784</v>
      </c>
      <c r="N27" s="403">
        <v>11003</v>
      </c>
      <c r="O27" s="204">
        <v>11003000000</v>
      </c>
      <c r="P27" s="204">
        <v>10000000000</v>
      </c>
    </row>
    <row r="28" spans="1:16" s="358" customFormat="1" ht="18.75" customHeight="1">
      <c r="A28" s="839">
        <v>27</v>
      </c>
      <c r="B28" s="903" t="s">
        <v>1700</v>
      </c>
      <c r="C28" s="401">
        <v>45307</v>
      </c>
      <c r="D28" s="444" t="s">
        <v>2257</v>
      </c>
      <c r="E28" s="401" t="s">
        <v>1781</v>
      </c>
      <c r="F28" s="402" t="s">
        <v>58</v>
      </c>
      <c r="G28" s="1118" t="s">
        <v>1809</v>
      </c>
      <c r="H28" s="1118"/>
      <c r="I28" s="1118"/>
      <c r="J28" s="1118"/>
      <c r="K28" s="1118"/>
      <c r="L28" s="1118"/>
      <c r="M28" s="403" t="s">
        <v>1808</v>
      </c>
      <c r="N28" s="403">
        <v>10000</v>
      </c>
      <c r="O28" s="204">
        <v>10000000000</v>
      </c>
      <c r="P28" s="204">
        <v>10000000000</v>
      </c>
    </row>
    <row r="29" spans="1:16" s="358" customFormat="1" ht="18.75" customHeight="1">
      <c r="A29" s="839">
        <v>28</v>
      </c>
      <c r="B29" s="903" t="s">
        <v>1700</v>
      </c>
      <c r="C29" s="401">
        <v>17540</v>
      </c>
      <c r="D29" s="444" t="s">
        <v>2190</v>
      </c>
      <c r="E29" s="401" t="s">
        <v>2196</v>
      </c>
      <c r="F29" s="402" t="s">
        <v>27</v>
      </c>
      <c r="G29" s="1118" t="s">
        <v>2191</v>
      </c>
      <c r="H29" s="1118"/>
      <c r="I29" s="1118"/>
      <c r="J29" s="1118"/>
      <c r="K29" s="1118"/>
      <c r="L29" s="1118"/>
      <c r="M29" s="403">
        <v>2022.4</v>
      </c>
      <c r="N29" s="403"/>
      <c r="O29" s="204">
        <v>10273000000</v>
      </c>
      <c r="P29" s="204"/>
    </row>
    <row r="30" spans="1:16" s="358" customFormat="1" ht="18.75" customHeight="1">
      <c r="A30" s="839">
        <v>29</v>
      </c>
      <c r="B30" s="903" t="s">
        <v>1700</v>
      </c>
      <c r="C30" s="401" t="s">
        <v>2189</v>
      </c>
      <c r="D30" s="444" t="s">
        <v>2194</v>
      </c>
      <c r="E30" s="401" t="s">
        <v>2199</v>
      </c>
      <c r="F30" s="402" t="s">
        <v>27</v>
      </c>
      <c r="G30" s="1118" t="s">
        <v>2192</v>
      </c>
      <c r="H30" s="1118"/>
      <c r="I30" s="1118"/>
      <c r="J30" s="1118"/>
      <c r="K30" s="1118"/>
      <c r="L30" s="1118"/>
      <c r="M30" s="403" t="s">
        <v>2198</v>
      </c>
      <c r="N30" s="403">
        <v>990.42</v>
      </c>
      <c r="O30" s="204">
        <v>15246000000</v>
      </c>
      <c r="P30" s="204">
        <v>15394000000</v>
      </c>
    </row>
    <row r="31" spans="1:16" s="358" customFormat="1" ht="18.75" customHeight="1">
      <c r="A31" s="839">
        <v>30</v>
      </c>
      <c r="B31" s="903" t="s">
        <v>1700</v>
      </c>
      <c r="C31" s="401">
        <v>65630</v>
      </c>
      <c r="D31" s="444" t="s">
        <v>2195</v>
      </c>
      <c r="E31" s="401" t="s">
        <v>2199</v>
      </c>
      <c r="F31" s="402" t="s">
        <v>27</v>
      </c>
      <c r="G31" s="1118" t="s">
        <v>2193</v>
      </c>
      <c r="H31" s="1118"/>
      <c r="I31" s="1118"/>
      <c r="J31" s="1118"/>
      <c r="K31" s="1118"/>
      <c r="L31" s="1118"/>
      <c r="M31" s="403" t="s">
        <v>2197</v>
      </c>
      <c r="N31" s="403">
        <v>880.33</v>
      </c>
      <c r="O31" s="204">
        <v>32809000000</v>
      </c>
      <c r="P31" s="204">
        <v>37269000000</v>
      </c>
    </row>
    <row r="32" spans="1:16" s="358" customFormat="1" ht="18.75" customHeight="1">
      <c r="A32" s="839">
        <v>31</v>
      </c>
      <c r="B32" s="903" t="s">
        <v>1700</v>
      </c>
      <c r="C32" s="401">
        <v>81000</v>
      </c>
      <c r="D32" s="1055" t="s">
        <v>2862</v>
      </c>
      <c r="E32" s="401" t="s">
        <v>2199</v>
      </c>
      <c r="F32" s="402" t="s">
        <v>27</v>
      </c>
      <c r="G32" s="1118" t="s">
        <v>2724</v>
      </c>
      <c r="H32" s="1118"/>
      <c r="I32" s="1118"/>
      <c r="J32" s="1118"/>
      <c r="K32" s="1118"/>
      <c r="L32" s="1118"/>
      <c r="M32" s="403">
        <v>2024.09</v>
      </c>
      <c r="N32" s="403">
        <v>1000</v>
      </c>
      <c r="O32" s="204"/>
      <c r="P32" s="204"/>
    </row>
    <row r="33" spans="1:16" s="358" customFormat="1" ht="18.75" customHeight="1">
      <c r="A33" s="839">
        <v>32</v>
      </c>
      <c r="B33" s="903" t="s">
        <v>1700</v>
      </c>
      <c r="C33" s="401">
        <v>81017</v>
      </c>
      <c r="D33" s="1055" t="s">
        <v>2861</v>
      </c>
      <c r="E33" s="401" t="s">
        <v>2199</v>
      </c>
      <c r="F33" s="402" t="s">
        <v>27</v>
      </c>
      <c r="G33" s="1118" t="s">
        <v>2725</v>
      </c>
      <c r="H33" s="1118"/>
      <c r="I33" s="1118"/>
      <c r="J33" s="1118"/>
      <c r="K33" s="1118"/>
      <c r="L33" s="1118"/>
      <c r="M33" s="403">
        <v>2024.09</v>
      </c>
      <c r="N33" s="403">
        <v>1000</v>
      </c>
      <c r="O33" s="204"/>
      <c r="P33" s="204"/>
    </row>
    <row r="34" spans="1:16" s="358" customFormat="1" ht="18.75" customHeight="1">
      <c r="A34" s="839">
        <v>33</v>
      </c>
      <c r="B34" s="903" t="s">
        <v>1700</v>
      </c>
      <c r="C34" s="401">
        <v>81040</v>
      </c>
      <c r="D34" s="1055" t="s">
        <v>2859</v>
      </c>
      <c r="E34" s="401" t="s">
        <v>2199</v>
      </c>
      <c r="F34" s="402" t="s">
        <v>27</v>
      </c>
      <c r="G34" s="1118" t="s">
        <v>2726</v>
      </c>
      <c r="H34" s="1118"/>
      <c r="I34" s="1118"/>
      <c r="J34" s="1118"/>
      <c r="K34" s="1118"/>
      <c r="L34" s="1118"/>
      <c r="M34" s="403">
        <v>2024.09</v>
      </c>
      <c r="N34" s="403">
        <v>1000</v>
      </c>
      <c r="O34" s="204"/>
      <c r="P34" s="204"/>
    </row>
    <row r="35" spans="1:16" s="358" customFormat="1" ht="18.75" customHeight="1">
      <c r="A35" s="839">
        <v>34</v>
      </c>
      <c r="B35" s="903" t="s">
        <v>1700</v>
      </c>
      <c r="C35" s="401">
        <v>81057</v>
      </c>
      <c r="D35" s="1055" t="s">
        <v>2860</v>
      </c>
      <c r="E35" s="401" t="s">
        <v>2199</v>
      </c>
      <c r="F35" s="402" t="s">
        <v>27</v>
      </c>
      <c r="G35" s="1118" t="s">
        <v>2727</v>
      </c>
      <c r="H35" s="1118"/>
      <c r="I35" s="1118"/>
      <c r="J35" s="1118"/>
      <c r="K35" s="1118"/>
      <c r="L35" s="1118"/>
      <c r="M35" s="403">
        <v>2024.09</v>
      </c>
      <c r="N35" s="403">
        <v>1000</v>
      </c>
      <c r="O35" s="204"/>
      <c r="P35" s="204"/>
    </row>
    <row r="36" spans="1:16" s="358" customFormat="1" ht="18.75" customHeight="1">
      <c r="A36" s="839">
        <v>35</v>
      </c>
      <c r="B36" s="903" t="s">
        <v>1700</v>
      </c>
      <c r="C36" s="401">
        <v>81080</v>
      </c>
      <c r="D36" s="444" t="s">
        <v>2205</v>
      </c>
      <c r="E36" s="401" t="s">
        <v>2199</v>
      </c>
      <c r="F36" s="402" t="s">
        <v>27</v>
      </c>
      <c r="G36" s="1118" t="s">
        <v>2728</v>
      </c>
      <c r="H36" s="1118"/>
      <c r="I36" s="1118"/>
      <c r="J36" s="1118"/>
      <c r="K36" s="1118"/>
      <c r="L36" s="1118"/>
      <c r="M36" s="403">
        <v>2024.09</v>
      </c>
      <c r="N36" s="403">
        <v>1000</v>
      </c>
      <c r="O36" s="204"/>
      <c r="P36" s="204"/>
    </row>
    <row r="37" spans="1:16" s="358" customFormat="1" ht="18.75" customHeight="1">
      <c r="A37" s="839">
        <v>36</v>
      </c>
      <c r="B37" s="903" t="s">
        <v>1700</v>
      </c>
      <c r="C37" s="401">
        <v>81097</v>
      </c>
      <c r="D37" s="444" t="s">
        <v>2206</v>
      </c>
      <c r="E37" s="401" t="s">
        <v>2199</v>
      </c>
      <c r="F37" s="402" t="s">
        <v>27</v>
      </c>
      <c r="G37" s="1118" t="s">
        <v>2729</v>
      </c>
      <c r="H37" s="1118"/>
      <c r="I37" s="1118"/>
      <c r="J37" s="1118"/>
      <c r="K37" s="1118"/>
      <c r="L37" s="1118"/>
      <c r="M37" s="403">
        <v>2024.09</v>
      </c>
      <c r="N37" s="403">
        <v>1000</v>
      </c>
      <c r="O37" s="204"/>
      <c r="P37" s="204"/>
    </row>
    <row r="38" spans="1:16" s="358" customFormat="1" ht="18.75" customHeight="1">
      <c r="A38" s="839">
        <v>37</v>
      </c>
      <c r="B38" s="903" t="s">
        <v>1700</v>
      </c>
      <c r="C38" s="401">
        <v>69000</v>
      </c>
      <c r="D38" s="444" t="s">
        <v>2208</v>
      </c>
      <c r="E38" s="401" t="s">
        <v>1781</v>
      </c>
      <c r="F38" s="402" t="s">
        <v>58</v>
      </c>
      <c r="G38" s="1118" t="s">
        <v>2207</v>
      </c>
      <c r="H38" s="1118"/>
      <c r="I38" s="1118"/>
      <c r="J38" s="1118"/>
      <c r="K38" s="1118"/>
      <c r="L38" s="1118"/>
      <c r="M38" s="403">
        <v>2024.09</v>
      </c>
      <c r="N38" s="403">
        <v>1000</v>
      </c>
      <c r="O38" s="204"/>
      <c r="P38" s="204"/>
    </row>
    <row r="39" spans="1:16" s="358" customFormat="1" ht="18.75" customHeight="1">
      <c r="A39" s="839">
        <v>38</v>
      </c>
      <c r="B39" s="903" t="s">
        <v>1700</v>
      </c>
      <c r="C39" s="401">
        <v>65211</v>
      </c>
      <c r="D39" s="1090" t="s">
        <v>3073</v>
      </c>
      <c r="E39" s="401" t="s">
        <v>33</v>
      </c>
      <c r="F39" s="402" t="s">
        <v>2334</v>
      </c>
      <c r="G39" s="1118" t="s">
        <v>2331</v>
      </c>
      <c r="H39" s="1118"/>
      <c r="I39" s="1118"/>
      <c r="J39" s="1118"/>
      <c r="K39" s="1118"/>
      <c r="L39" s="1118"/>
      <c r="M39" s="403">
        <v>2005.05</v>
      </c>
      <c r="N39" s="403">
        <v>841.33</v>
      </c>
      <c r="O39" s="204"/>
      <c r="P39" s="204"/>
    </row>
    <row r="40" spans="1:16" s="358" customFormat="1" ht="18.75" customHeight="1">
      <c r="A40" s="839">
        <v>39</v>
      </c>
      <c r="B40" s="903" t="s">
        <v>1700</v>
      </c>
      <c r="C40" s="401">
        <v>65111</v>
      </c>
      <c r="D40" s="444" t="s">
        <v>2333</v>
      </c>
      <c r="E40" s="401" t="s">
        <v>33</v>
      </c>
      <c r="F40" s="402" t="s">
        <v>2334</v>
      </c>
      <c r="G40" s="1118" t="s">
        <v>2332</v>
      </c>
      <c r="H40" s="1118"/>
      <c r="I40" s="1118"/>
      <c r="J40" s="1118"/>
      <c r="K40" s="1118"/>
      <c r="L40" s="1118"/>
      <c r="M40" s="403">
        <v>2007.02</v>
      </c>
      <c r="N40" s="403">
        <v>1561.98</v>
      </c>
      <c r="O40" s="204"/>
      <c r="P40" s="204"/>
    </row>
    <row r="41" spans="1:16" ht="18.75" customHeight="1">
      <c r="A41" s="839">
        <v>40</v>
      </c>
      <c r="B41" s="401" t="s">
        <v>1700</v>
      </c>
      <c r="C41" s="401" t="s">
        <v>243</v>
      </c>
      <c r="D41" s="444" t="s">
        <v>1930</v>
      </c>
      <c r="E41" s="401" t="s">
        <v>19</v>
      </c>
      <c r="F41" s="402" t="s">
        <v>31</v>
      </c>
      <c r="G41" s="1118" t="s">
        <v>244</v>
      </c>
      <c r="H41" s="1118"/>
      <c r="I41" s="1118"/>
      <c r="J41" s="1118"/>
      <c r="K41" s="1118"/>
      <c r="L41" s="1118"/>
      <c r="M41" s="403">
        <v>2006.05</v>
      </c>
      <c r="N41" s="403">
        <v>831.42</v>
      </c>
      <c r="O41" s="204">
        <v>712399796.00000012</v>
      </c>
      <c r="P41" s="204">
        <v>856851886</v>
      </c>
    </row>
    <row r="42" spans="1:16" ht="18.75" customHeight="1">
      <c r="A42" s="839">
        <v>41</v>
      </c>
      <c r="B42" s="401" t="s">
        <v>1700</v>
      </c>
      <c r="C42" s="401" t="s">
        <v>245</v>
      </c>
      <c r="D42" s="444" t="s">
        <v>1931</v>
      </c>
      <c r="E42" s="401" t="s">
        <v>33</v>
      </c>
      <c r="F42" s="402" t="s">
        <v>27</v>
      </c>
      <c r="G42" s="1118" t="s">
        <v>1705</v>
      </c>
      <c r="H42" s="1118"/>
      <c r="I42" s="1118"/>
      <c r="J42" s="1118"/>
      <c r="K42" s="1118"/>
      <c r="L42" s="1118"/>
      <c r="M42" s="403">
        <v>2012.1</v>
      </c>
      <c r="N42" s="403">
        <v>1440.55</v>
      </c>
      <c r="O42" s="204">
        <v>1393938656.0000002</v>
      </c>
      <c r="P42" s="204">
        <v>967641051.00000024</v>
      </c>
    </row>
    <row r="43" spans="1:16" ht="18.75" customHeight="1">
      <c r="A43" s="839">
        <v>42</v>
      </c>
      <c r="B43" s="401" t="s">
        <v>1700</v>
      </c>
      <c r="C43" s="401">
        <v>81130</v>
      </c>
      <c r="D43" s="1055" t="s">
        <v>2856</v>
      </c>
      <c r="E43" s="401" t="s">
        <v>33</v>
      </c>
      <c r="F43" s="402" t="s">
        <v>58</v>
      </c>
      <c r="G43" s="1118" t="s">
        <v>2241</v>
      </c>
      <c r="H43" s="1118"/>
      <c r="I43" s="1118"/>
      <c r="J43" s="1118"/>
      <c r="K43" s="1118"/>
      <c r="L43" s="1118"/>
      <c r="M43" s="403">
        <v>2024.12</v>
      </c>
      <c r="N43" s="403">
        <v>1000</v>
      </c>
      <c r="O43" s="204"/>
      <c r="P43" s="204"/>
    </row>
    <row r="44" spans="1:16" ht="18.75" customHeight="1">
      <c r="A44" s="839">
        <v>43</v>
      </c>
      <c r="B44" s="401" t="s">
        <v>1700</v>
      </c>
      <c r="C44" s="401">
        <v>81150</v>
      </c>
      <c r="D44" s="1055" t="s">
        <v>2857</v>
      </c>
      <c r="E44" s="401" t="s">
        <v>33</v>
      </c>
      <c r="F44" s="402" t="s">
        <v>58</v>
      </c>
      <c r="G44" s="1118" t="s">
        <v>3106</v>
      </c>
      <c r="H44" s="1118"/>
      <c r="I44" s="1118"/>
      <c r="J44" s="1118"/>
      <c r="K44" s="1118"/>
      <c r="L44" s="1118"/>
      <c r="M44" s="403">
        <v>2024.12</v>
      </c>
      <c r="N44" s="403">
        <v>1000</v>
      </c>
      <c r="O44" s="204"/>
      <c r="P44" s="204"/>
    </row>
    <row r="45" spans="1:16">
      <c r="A45" s="839">
        <v>44</v>
      </c>
      <c r="B45" s="365" t="s">
        <v>1700</v>
      </c>
      <c r="C45" s="365" t="s">
        <v>2864</v>
      </c>
      <c r="D45" s="444" t="s">
        <v>2867</v>
      </c>
      <c r="E45" s="365" t="s">
        <v>33</v>
      </c>
      <c r="F45" s="895" t="s">
        <v>27</v>
      </c>
      <c r="G45" s="1137" t="s">
        <v>2865</v>
      </c>
      <c r="H45" s="1138"/>
      <c r="I45" s="1138"/>
      <c r="J45" s="1138"/>
      <c r="K45" s="1138"/>
      <c r="L45" s="1139"/>
      <c r="M45" s="839" t="s">
        <v>2866</v>
      </c>
      <c r="N45" s="839">
        <v>1050.4100000000001</v>
      </c>
      <c r="O45" s="204"/>
      <c r="P45" s="204"/>
    </row>
    <row r="46" spans="1:16">
      <c r="A46" s="839">
        <v>45</v>
      </c>
      <c r="B46" s="365" t="s">
        <v>1700</v>
      </c>
      <c r="C46" s="365">
        <v>81170</v>
      </c>
      <c r="D46" s="444" t="s">
        <v>2958</v>
      </c>
      <c r="E46" s="365" t="s">
        <v>33</v>
      </c>
      <c r="F46" s="895" t="s">
        <v>27</v>
      </c>
      <c r="G46" s="1061" t="s">
        <v>2942</v>
      </c>
      <c r="H46" s="1061"/>
      <c r="I46" s="1061"/>
      <c r="J46" s="1061"/>
      <c r="K46" s="1061"/>
      <c r="L46" s="1139"/>
      <c r="M46" s="839" t="s">
        <v>2943</v>
      </c>
      <c r="N46" s="839">
        <v>1000</v>
      </c>
      <c r="O46" s="204"/>
      <c r="P46" s="204"/>
    </row>
    <row r="47" spans="1:16">
      <c r="A47" s="839">
        <v>46</v>
      </c>
      <c r="B47" s="365" t="s">
        <v>1700</v>
      </c>
      <c r="C47" s="365">
        <v>69001</v>
      </c>
      <c r="D47" s="444" t="s">
        <v>3053</v>
      </c>
      <c r="E47" s="401" t="s">
        <v>19</v>
      </c>
      <c r="F47" s="895" t="s">
        <v>28</v>
      </c>
      <c r="G47" s="1086" t="s">
        <v>3040</v>
      </c>
      <c r="H47" s="1086"/>
      <c r="I47" s="1086"/>
      <c r="J47" s="1086"/>
      <c r="K47" s="1086"/>
      <c r="L47" s="1086"/>
      <c r="M47" s="839" t="s">
        <v>3041</v>
      </c>
      <c r="N47" s="839">
        <v>1000</v>
      </c>
      <c r="O47" s="204"/>
      <c r="P47" s="204"/>
    </row>
    <row r="48" spans="1:16" ht="18.75" customHeight="1"/>
    <row r="49" spans="1:17" ht="18.75" customHeight="1"/>
    <row r="50" spans="1:17" ht="18.75" customHeight="1">
      <c r="B50" s="899" t="s">
        <v>2718</v>
      </c>
    </row>
    <row r="51" spans="1:17" s="359" customFormat="1" ht="18.75" customHeight="1">
      <c r="B51" s="379" t="s">
        <v>1700</v>
      </c>
      <c r="C51" s="380">
        <v>66101</v>
      </c>
      <c r="D51" s="444"/>
      <c r="E51" s="380" t="s">
        <v>33</v>
      </c>
      <c r="F51" s="380" t="s">
        <v>27</v>
      </c>
      <c r="G51" s="381" t="s">
        <v>264</v>
      </c>
      <c r="H51" s="381"/>
      <c r="I51" s="381"/>
      <c r="J51" s="381"/>
      <c r="K51" s="381"/>
      <c r="L51" s="381"/>
      <c r="M51" s="382">
        <v>2020.12</v>
      </c>
      <c r="N51" s="383">
        <v>1333.07</v>
      </c>
      <c r="O51" s="208" t="s">
        <v>1585</v>
      </c>
      <c r="P51" s="208" t="s">
        <v>1586</v>
      </c>
      <c r="Q51" s="359" t="s">
        <v>1665</v>
      </c>
    </row>
    <row r="52" spans="1:17" ht="18.75" customHeight="1">
      <c r="B52" s="401" t="s">
        <v>1700</v>
      </c>
      <c r="C52" s="401">
        <v>69840</v>
      </c>
      <c r="D52" s="444" t="s">
        <v>2216</v>
      </c>
      <c r="E52" s="401" t="s">
        <v>1781</v>
      </c>
      <c r="F52" s="402" t="s">
        <v>58</v>
      </c>
      <c r="G52" s="1118" t="s">
        <v>2209</v>
      </c>
      <c r="H52" s="1118"/>
      <c r="I52" s="1118"/>
      <c r="J52" s="1118"/>
      <c r="K52" s="1118"/>
      <c r="L52" s="1118"/>
      <c r="M52" s="403" t="s">
        <v>2210</v>
      </c>
      <c r="N52" s="403"/>
      <c r="O52" s="204"/>
      <c r="P52" s="204"/>
    </row>
    <row r="53" spans="1:17" ht="18.75" customHeight="1">
      <c r="A53" s="839"/>
      <c r="B53" s="365" t="s">
        <v>1700</v>
      </c>
      <c r="C53" s="365">
        <v>64701</v>
      </c>
      <c r="D53" s="444" t="s">
        <v>2891</v>
      </c>
      <c r="E53" s="365" t="s">
        <v>33</v>
      </c>
      <c r="F53" s="895" t="s">
        <v>27</v>
      </c>
      <c r="G53" s="1117" t="s">
        <v>1708</v>
      </c>
      <c r="H53" s="1117"/>
      <c r="I53" s="1117"/>
      <c r="J53" s="1117"/>
      <c r="K53" s="1117"/>
      <c r="L53" s="1117"/>
      <c r="M53" s="839">
        <v>2014.01</v>
      </c>
      <c r="N53" s="839">
        <v>1088.93</v>
      </c>
      <c r="O53" s="204">
        <v>5504543700</v>
      </c>
      <c r="P53" s="204">
        <v>5055012813</v>
      </c>
    </row>
    <row r="54" spans="1:17" ht="18.75" customHeight="1"/>
    <row r="55" spans="1:17" ht="18.75" customHeight="1"/>
    <row r="56" spans="1:17" ht="18.75" customHeight="1"/>
    <row r="57" spans="1:17" ht="18.75" customHeight="1"/>
    <row r="58" spans="1:17" ht="18.75" customHeight="1"/>
    <row r="59" spans="1:17" ht="18.75" customHeight="1"/>
    <row r="60" spans="1:17" ht="18.75" customHeight="1"/>
    <row r="61" spans="1:17" ht="18.75" customHeight="1"/>
    <row r="62" spans="1:17" ht="18.75" customHeight="1"/>
    <row r="63" spans="1:17" ht="18.75" customHeight="1"/>
    <row r="64" spans="1:17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</sheetData>
  <mergeCells count="46">
    <mergeCell ref="G39:L39"/>
    <mergeCell ref="G40:L40"/>
    <mergeCell ref="G52:L52"/>
    <mergeCell ref="G38:L38"/>
    <mergeCell ref="G41:L41"/>
    <mergeCell ref="G42:L42"/>
    <mergeCell ref="G43:L43"/>
    <mergeCell ref="G44:L44"/>
    <mergeCell ref="G35:L35"/>
    <mergeCell ref="G36:L36"/>
    <mergeCell ref="G37:L37"/>
    <mergeCell ref="G29:L29"/>
    <mergeCell ref="G30:L30"/>
    <mergeCell ref="G31:L31"/>
    <mergeCell ref="G32:L32"/>
    <mergeCell ref="G33:L33"/>
    <mergeCell ref="G13:L13"/>
    <mergeCell ref="G14:L14"/>
    <mergeCell ref="G7:L7"/>
    <mergeCell ref="G11:L11"/>
    <mergeCell ref="G12:L12"/>
    <mergeCell ref="G8:L8"/>
    <mergeCell ref="G9:L9"/>
    <mergeCell ref="G10:L10"/>
    <mergeCell ref="G1:L1"/>
    <mergeCell ref="G2:L2"/>
    <mergeCell ref="G3:L3"/>
    <mergeCell ref="G6:L6"/>
    <mergeCell ref="G4:L4"/>
    <mergeCell ref="G5:L5"/>
    <mergeCell ref="G53:L53"/>
    <mergeCell ref="G28:L28"/>
    <mergeCell ref="G15:L15"/>
    <mergeCell ref="G24:L24"/>
    <mergeCell ref="G23:L23"/>
    <mergeCell ref="G16:L16"/>
    <mergeCell ref="G17:L17"/>
    <mergeCell ref="G22:L22"/>
    <mergeCell ref="G21:L21"/>
    <mergeCell ref="G20:L20"/>
    <mergeCell ref="G18:L18"/>
    <mergeCell ref="G27:L27"/>
    <mergeCell ref="G26:L26"/>
    <mergeCell ref="G25:L25"/>
    <mergeCell ref="G19:L19"/>
    <mergeCell ref="G34:L34"/>
  </mergeCells>
  <phoneticPr fontId="2" type="noConversion"/>
  <pageMargins left="0.7" right="0.7" top="0.75" bottom="0.75" header="0.3" footer="0.3"/>
  <pageSetup paperSize="9" scale="37" fitToHeight="0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7"/>
  <dimension ref="A1:R51"/>
  <sheetViews>
    <sheetView topLeftCell="C13" workbookViewId="0">
      <selection activeCell="E50" activeCellId="1" sqref="C50 E50"/>
    </sheetView>
  </sheetViews>
  <sheetFormatPr defaultRowHeight="16.5"/>
  <cols>
    <col min="1" max="1" width="41.875" style="88" customWidth="1"/>
    <col min="2" max="2" width="38.125" style="89" customWidth="1"/>
    <col min="3" max="3" width="41.625" style="90" customWidth="1"/>
    <col min="4" max="4" width="35.875" style="91" customWidth="1"/>
    <col min="5" max="5" width="11.125" style="92" customWidth="1"/>
    <col min="6" max="7" width="6.25" style="94" customWidth="1"/>
    <col min="8" max="8" width="13.375" style="94" customWidth="1"/>
    <col min="9" max="9" width="11.125" style="94" customWidth="1"/>
    <col min="10" max="10" width="12.125" style="95" customWidth="1"/>
    <col min="11" max="11" width="12.5" style="94" customWidth="1"/>
    <col min="12" max="13" width="11.125" style="94" customWidth="1"/>
    <col min="14" max="14" width="14.75" style="96" customWidth="1"/>
    <col min="15" max="15" width="12.75" style="96" customWidth="1"/>
    <col min="16" max="16" width="10" style="97" customWidth="1"/>
    <col min="17" max="17" width="10" style="98" customWidth="1"/>
    <col min="18" max="18" width="11.125" bestFit="1" customWidth="1"/>
  </cols>
  <sheetData>
    <row r="1" spans="1:17">
      <c r="F1" s="93"/>
      <c r="G1" s="93"/>
      <c r="H1" s="93"/>
    </row>
    <row r="2" spans="1:17" ht="12" customHeight="1">
      <c r="A2" s="1133" t="s">
        <v>869</v>
      </c>
      <c r="B2" s="1133"/>
      <c r="C2" s="1134" t="s">
        <v>870</v>
      </c>
      <c r="D2" s="1134"/>
      <c r="E2" s="1135" t="s">
        <v>871</v>
      </c>
      <c r="F2" s="1128" t="s">
        <v>872</v>
      </c>
      <c r="G2" s="1131" t="s">
        <v>873</v>
      </c>
      <c r="H2" s="1131" t="s">
        <v>1862</v>
      </c>
      <c r="I2" s="1128" t="s">
        <v>874</v>
      </c>
      <c r="J2" s="1126" t="s">
        <v>875</v>
      </c>
      <c r="K2" s="1128" t="s">
        <v>876</v>
      </c>
      <c r="L2" s="1128" t="s">
        <v>18</v>
      </c>
      <c r="M2" s="1131" t="s">
        <v>1763</v>
      </c>
      <c r="N2" s="1125" t="s">
        <v>8</v>
      </c>
      <c r="O2" s="1129" t="s">
        <v>1608</v>
      </c>
      <c r="P2" s="1125" t="s">
        <v>877</v>
      </c>
      <c r="Q2" s="1125" t="s">
        <v>878</v>
      </c>
    </row>
    <row r="3" spans="1:17" ht="12" customHeight="1">
      <c r="A3" s="99" t="s">
        <v>879</v>
      </c>
      <c r="B3" s="99" t="s">
        <v>880</v>
      </c>
      <c r="C3" s="100" t="s">
        <v>881</v>
      </c>
      <c r="D3" s="101" t="s">
        <v>882</v>
      </c>
      <c r="E3" s="1136"/>
      <c r="F3" s="1128"/>
      <c r="G3" s="1132"/>
      <c r="H3" s="1132"/>
      <c r="I3" s="1128"/>
      <c r="J3" s="1127"/>
      <c r="K3" s="1128"/>
      <c r="L3" s="1128"/>
      <c r="M3" s="1132"/>
      <c r="N3" s="1125"/>
      <c r="O3" s="1130"/>
      <c r="P3" s="1125"/>
      <c r="Q3" s="1125"/>
    </row>
    <row r="4" spans="1:17" ht="12" customHeight="1">
      <c r="A4" s="102" t="s">
        <v>883</v>
      </c>
      <c r="B4" s="103" t="s">
        <v>884</v>
      </c>
      <c r="C4" s="104" t="s">
        <v>885</v>
      </c>
      <c r="D4" s="105" t="s">
        <v>886</v>
      </c>
      <c r="E4" s="106" t="s">
        <v>887</v>
      </c>
      <c r="F4" s="107" t="s">
        <v>888</v>
      </c>
      <c r="G4" s="107" t="s">
        <v>33</v>
      </c>
      <c r="H4" s="107" t="s">
        <v>1883</v>
      </c>
      <c r="I4" s="107" t="s">
        <v>889</v>
      </c>
      <c r="J4" s="108" t="s">
        <v>890</v>
      </c>
      <c r="K4" s="107" t="s">
        <v>891</v>
      </c>
      <c r="L4" s="109" t="s">
        <v>892</v>
      </c>
      <c r="M4" s="109"/>
      <c r="N4" s="110">
        <v>11066594158</v>
      </c>
      <c r="O4" s="110">
        <v>10807751657</v>
      </c>
      <c r="P4" s="111" t="s">
        <v>893</v>
      </c>
      <c r="Q4" s="109"/>
    </row>
    <row r="5" spans="1:17" ht="12" customHeight="1">
      <c r="A5" s="112" t="s">
        <v>894</v>
      </c>
      <c r="B5" s="103" t="s">
        <v>895</v>
      </c>
      <c r="C5" s="104" t="s">
        <v>896</v>
      </c>
      <c r="D5" s="105" t="s">
        <v>897</v>
      </c>
      <c r="E5" s="106" t="s">
        <v>898</v>
      </c>
      <c r="F5" s="107" t="s">
        <v>899</v>
      </c>
      <c r="G5" s="107" t="s">
        <v>33</v>
      </c>
      <c r="H5" s="107" t="s">
        <v>1883</v>
      </c>
      <c r="I5" s="113" t="s">
        <v>900</v>
      </c>
      <c r="J5" s="108" t="s">
        <v>901</v>
      </c>
      <c r="K5" s="113" t="s">
        <v>891</v>
      </c>
      <c r="L5" s="109" t="s">
        <v>902</v>
      </c>
      <c r="M5" s="109"/>
      <c r="N5" s="110">
        <v>3059384464</v>
      </c>
      <c r="O5" s="110">
        <v>3223571838</v>
      </c>
      <c r="P5" s="109" t="s">
        <v>903</v>
      </c>
      <c r="Q5" s="109" t="s">
        <v>904</v>
      </c>
    </row>
    <row r="6" spans="1:17" ht="12" customHeight="1">
      <c r="A6" s="112" t="s">
        <v>905</v>
      </c>
      <c r="B6" s="103" t="s">
        <v>906</v>
      </c>
      <c r="C6" s="104" t="s">
        <v>907</v>
      </c>
      <c r="D6" s="105" t="s">
        <v>908</v>
      </c>
      <c r="E6" s="106" t="s">
        <v>909</v>
      </c>
      <c r="F6" s="107" t="s">
        <v>910</v>
      </c>
      <c r="G6" s="107" t="s">
        <v>33</v>
      </c>
      <c r="H6" s="107" t="s">
        <v>1883</v>
      </c>
      <c r="I6" s="113" t="s">
        <v>911</v>
      </c>
      <c r="J6" s="108" t="s">
        <v>912</v>
      </c>
      <c r="K6" s="113" t="s">
        <v>891</v>
      </c>
      <c r="L6" s="109" t="s">
        <v>902</v>
      </c>
      <c r="M6" s="109"/>
      <c r="N6" s="110">
        <v>2404818673</v>
      </c>
      <c r="O6" s="110">
        <v>2665352002</v>
      </c>
      <c r="P6" s="109" t="s">
        <v>903</v>
      </c>
      <c r="Q6" s="109" t="s">
        <v>904</v>
      </c>
    </row>
    <row r="7" spans="1:17" s="364" customFormat="1" ht="12" customHeight="1">
      <c r="A7" s="112" t="s">
        <v>913</v>
      </c>
      <c r="B7" s="103" t="s">
        <v>914</v>
      </c>
      <c r="C7" s="384" t="s">
        <v>915</v>
      </c>
      <c r="D7" s="103" t="s">
        <v>916</v>
      </c>
      <c r="E7" s="385" t="s">
        <v>917</v>
      </c>
      <c r="F7" s="386" t="s">
        <v>910</v>
      </c>
      <c r="G7" s="386" t="s">
        <v>33</v>
      </c>
      <c r="H7" s="386" t="s">
        <v>1884</v>
      </c>
      <c r="I7" s="387" t="s">
        <v>918</v>
      </c>
      <c r="J7" s="388" t="s">
        <v>919</v>
      </c>
      <c r="K7" s="387" t="s">
        <v>891</v>
      </c>
      <c r="L7" s="389" t="s">
        <v>920</v>
      </c>
      <c r="M7" s="389">
        <v>815.11</v>
      </c>
      <c r="N7" s="390">
        <v>985953220</v>
      </c>
      <c r="O7" s="390">
        <v>1209589808</v>
      </c>
      <c r="P7" s="389" t="s">
        <v>903</v>
      </c>
      <c r="Q7" s="389" t="s">
        <v>904</v>
      </c>
    </row>
    <row r="8" spans="1:17" s="364" customFormat="1" ht="12" customHeight="1">
      <c r="A8" s="112" t="s">
        <v>921</v>
      </c>
      <c r="B8" s="103" t="s">
        <v>922</v>
      </c>
      <c r="C8" s="384" t="s">
        <v>923</v>
      </c>
      <c r="D8" s="103" t="s">
        <v>924</v>
      </c>
      <c r="E8" s="385" t="s">
        <v>925</v>
      </c>
      <c r="F8" s="386" t="s">
        <v>899</v>
      </c>
      <c r="G8" s="386" t="s">
        <v>33</v>
      </c>
      <c r="H8" s="386" t="s">
        <v>1885</v>
      </c>
      <c r="I8" s="387" t="s">
        <v>926</v>
      </c>
      <c r="J8" s="388" t="s">
        <v>927</v>
      </c>
      <c r="K8" s="387" t="s">
        <v>891</v>
      </c>
      <c r="L8" s="389" t="s">
        <v>928</v>
      </c>
      <c r="M8" s="389">
        <v>864.07</v>
      </c>
      <c r="N8" s="391">
        <v>457889126</v>
      </c>
      <c r="O8" s="392">
        <v>529921500</v>
      </c>
      <c r="P8" s="389" t="s">
        <v>903</v>
      </c>
      <c r="Q8" s="389" t="s">
        <v>904</v>
      </c>
    </row>
    <row r="9" spans="1:17" ht="12" customHeight="1">
      <c r="A9" s="102" t="s">
        <v>937</v>
      </c>
      <c r="B9" s="103" t="s">
        <v>938</v>
      </c>
      <c r="C9" s="104" t="s">
        <v>939</v>
      </c>
      <c r="D9" s="105" t="s">
        <v>940</v>
      </c>
      <c r="E9" s="106" t="s">
        <v>941</v>
      </c>
      <c r="F9" s="107" t="s">
        <v>899</v>
      </c>
      <c r="G9" s="107" t="s">
        <v>33</v>
      </c>
      <c r="H9" s="107" t="s">
        <v>1883</v>
      </c>
      <c r="I9" s="107" t="s">
        <v>942</v>
      </c>
      <c r="J9" s="108" t="s">
        <v>943</v>
      </c>
      <c r="K9" s="107" t="s">
        <v>944</v>
      </c>
      <c r="L9" s="109" t="s">
        <v>945</v>
      </c>
      <c r="M9" s="109"/>
      <c r="N9" s="110">
        <v>1233420828</v>
      </c>
      <c r="O9" s="110">
        <v>1233073637</v>
      </c>
      <c r="P9" s="109" t="s">
        <v>903</v>
      </c>
      <c r="Q9" s="109" t="s">
        <v>904</v>
      </c>
    </row>
    <row r="10" spans="1:17" ht="12" customHeight="1">
      <c r="A10" s="102" t="s">
        <v>946</v>
      </c>
      <c r="B10" s="103" t="s">
        <v>947</v>
      </c>
      <c r="C10" s="104" t="s">
        <v>948</v>
      </c>
      <c r="D10" s="105" t="s">
        <v>949</v>
      </c>
      <c r="E10" s="106" t="s">
        <v>950</v>
      </c>
      <c r="F10" s="107" t="s">
        <v>910</v>
      </c>
      <c r="G10" s="107" t="s">
        <v>33</v>
      </c>
      <c r="H10" s="107" t="s">
        <v>1883</v>
      </c>
      <c r="I10" s="107" t="s">
        <v>951</v>
      </c>
      <c r="J10" s="108" t="s">
        <v>952</v>
      </c>
      <c r="K10" s="107" t="s">
        <v>944</v>
      </c>
      <c r="L10" s="109" t="s">
        <v>953</v>
      </c>
      <c r="M10" s="109"/>
      <c r="N10" s="110">
        <v>3956111627</v>
      </c>
      <c r="O10" s="110">
        <v>4048459017</v>
      </c>
      <c r="P10" s="109" t="s">
        <v>903</v>
      </c>
      <c r="Q10" s="109" t="s">
        <v>904</v>
      </c>
    </row>
    <row r="11" spans="1:17" ht="12" customHeight="1">
      <c r="A11" s="102" t="s">
        <v>954</v>
      </c>
      <c r="B11" s="103" t="s">
        <v>955</v>
      </c>
      <c r="C11" s="104" t="s">
        <v>956</v>
      </c>
      <c r="D11" s="105" t="s">
        <v>957</v>
      </c>
      <c r="E11" s="106" t="s">
        <v>958</v>
      </c>
      <c r="F11" s="107" t="s">
        <v>888</v>
      </c>
      <c r="G11" s="107" t="s">
        <v>33</v>
      </c>
      <c r="H11" s="107" t="s">
        <v>1883</v>
      </c>
      <c r="I11" s="107" t="s">
        <v>959</v>
      </c>
      <c r="J11" s="108" t="s">
        <v>960</v>
      </c>
      <c r="K11" s="107" t="s">
        <v>944</v>
      </c>
      <c r="L11" s="109" t="s">
        <v>961</v>
      </c>
      <c r="M11" s="109"/>
      <c r="N11" s="110">
        <v>5180372670</v>
      </c>
      <c r="O11" s="110">
        <v>5127497122</v>
      </c>
      <c r="P11" s="109" t="s">
        <v>903</v>
      </c>
      <c r="Q11" s="109" t="s">
        <v>904</v>
      </c>
    </row>
    <row r="12" spans="1:17" ht="12" customHeight="1">
      <c r="A12" s="112" t="s">
        <v>962</v>
      </c>
      <c r="B12" s="103" t="s">
        <v>963</v>
      </c>
      <c r="C12" s="104" t="s">
        <v>964</v>
      </c>
      <c r="D12" s="105" t="s">
        <v>965</v>
      </c>
      <c r="E12" s="106" t="s">
        <v>966</v>
      </c>
      <c r="F12" s="107" t="s">
        <v>910</v>
      </c>
      <c r="G12" s="107" t="s">
        <v>33</v>
      </c>
      <c r="H12" s="107" t="s">
        <v>1883</v>
      </c>
      <c r="I12" s="113" t="s">
        <v>967</v>
      </c>
      <c r="J12" s="108" t="s">
        <v>968</v>
      </c>
      <c r="K12" s="113" t="s">
        <v>944</v>
      </c>
      <c r="L12" s="109" t="s">
        <v>969</v>
      </c>
      <c r="M12" s="109"/>
      <c r="N12" s="110">
        <v>4137595831</v>
      </c>
      <c r="O12" s="110">
        <v>3768144873</v>
      </c>
      <c r="P12" s="109" t="s">
        <v>903</v>
      </c>
      <c r="Q12" s="109"/>
    </row>
    <row r="13" spans="1:17" ht="12" customHeight="1">
      <c r="A13" s="112" t="s">
        <v>970</v>
      </c>
      <c r="B13" s="103" t="s">
        <v>971</v>
      </c>
      <c r="C13" s="104" t="s">
        <v>972</v>
      </c>
      <c r="D13" s="105" t="s">
        <v>973</v>
      </c>
      <c r="E13" s="106" t="s">
        <v>974</v>
      </c>
      <c r="F13" s="107" t="s">
        <v>899</v>
      </c>
      <c r="G13" s="107" t="s">
        <v>33</v>
      </c>
      <c r="H13" s="107" t="s">
        <v>1883</v>
      </c>
      <c r="I13" s="113" t="s">
        <v>975</v>
      </c>
      <c r="J13" s="108" t="s">
        <v>976</v>
      </c>
      <c r="K13" s="113" t="s">
        <v>977</v>
      </c>
      <c r="L13" s="109" t="s">
        <v>978</v>
      </c>
      <c r="M13" s="109"/>
      <c r="N13" s="110">
        <v>888161516</v>
      </c>
      <c r="O13" s="110">
        <v>878548218</v>
      </c>
      <c r="P13" s="109" t="s">
        <v>903</v>
      </c>
      <c r="Q13" s="109"/>
    </row>
    <row r="14" spans="1:17" ht="12" customHeight="1">
      <c r="A14" s="102" t="s">
        <v>979</v>
      </c>
      <c r="B14" s="103" t="s">
        <v>980</v>
      </c>
      <c r="C14" s="104" t="s">
        <v>981</v>
      </c>
      <c r="D14" s="105" t="s">
        <v>982</v>
      </c>
      <c r="E14" s="106" t="s">
        <v>983</v>
      </c>
      <c r="F14" s="107" t="s">
        <v>888</v>
      </c>
      <c r="G14" s="107" t="s">
        <v>33</v>
      </c>
      <c r="H14" s="107" t="s">
        <v>1883</v>
      </c>
      <c r="I14" s="107" t="s">
        <v>984</v>
      </c>
      <c r="J14" s="108" t="s">
        <v>985</v>
      </c>
      <c r="K14" s="107" t="s">
        <v>944</v>
      </c>
      <c r="L14" s="109" t="s">
        <v>986</v>
      </c>
      <c r="M14" s="109"/>
      <c r="N14" s="110">
        <v>8622991636</v>
      </c>
      <c r="O14" s="110">
        <v>7918870745</v>
      </c>
      <c r="P14" s="109" t="s">
        <v>903</v>
      </c>
      <c r="Q14" s="109" t="s">
        <v>904</v>
      </c>
    </row>
    <row r="15" spans="1:17" ht="12" customHeight="1">
      <c r="A15" s="102" t="s">
        <v>987</v>
      </c>
      <c r="B15" s="114" t="s">
        <v>988</v>
      </c>
      <c r="C15" s="104" t="s">
        <v>989</v>
      </c>
      <c r="D15" s="115" t="s">
        <v>990</v>
      </c>
      <c r="E15" s="106" t="s">
        <v>991</v>
      </c>
      <c r="F15" s="107" t="s">
        <v>899</v>
      </c>
      <c r="G15" s="107" t="s">
        <v>33</v>
      </c>
      <c r="H15" s="107" t="s">
        <v>1883</v>
      </c>
      <c r="I15" s="107" t="s">
        <v>992</v>
      </c>
      <c r="J15" s="108" t="s">
        <v>993</v>
      </c>
      <c r="K15" s="107" t="s">
        <v>944</v>
      </c>
      <c r="L15" s="107" t="s">
        <v>986</v>
      </c>
      <c r="M15" s="107"/>
      <c r="N15" s="116">
        <v>7148813438</v>
      </c>
      <c r="O15" s="116">
        <v>6573474738</v>
      </c>
      <c r="P15" s="107" t="s">
        <v>903</v>
      </c>
      <c r="Q15" s="117"/>
    </row>
    <row r="16" spans="1:17" ht="12" customHeight="1">
      <c r="A16" s="102" t="s">
        <v>994</v>
      </c>
      <c r="B16" s="114" t="s">
        <v>995</v>
      </c>
      <c r="C16" s="104" t="s">
        <v>996</v>
      </c>
      <c r="D16" s="115" t="s">
        <v>997</v>
      </c>
      <c r="E16" s="106" t="s">
        <v>998</v>
      </c>
      <c r="F16" s="107" t="s">
        <v>899</v>
      </c>
      <c r="G16" s="107" t="s">
        <v>33</v>
      </c>
      <c r="H16" s="107" t="s">
        <v>1883</v>
      </c>
      <c r="I16" s="107" t="s">
        <v>999</v>
      </c>
      <c r="J16" s="108" t="s">
        <v>1000</v>
      </c>
      <c r="K16" s="107" t="s">
        <v>944</v>
      </c>
      <c r="L16" s="107" t="s">
        <v>1001</v>
      </c>
      <c r="M16" s="107"/>
      <c r="N16" s="116">
        <v>755151660</v>
      </c>
      <c r="O16" s="116">
        <v>708202165</v>
      </c>
      <c r="P16" s="107" t="s">
        <v>903</v>
      </c>
      <c r="Q16" s="117"/>
    </row>
    <row r="17" spans="1:17" ht="12" customHeight="1">
      <c r="A17" s="102" t="s">
        <v>1002</v>
      </c>
      <c r="B17" s="114" t="s">
        <v>1003</v>
      </c>
      <c r="C17" s="104" t="s">
        <v>1004</v>
      </c>
      <c r="D17" s="115" t="s">
        <v>1005</v>
      </c>
      <c r="E17" s="106" t="s">
        <v>1006</v>
      </c>
      <c r="F17" s="107" t="s">
        <v>910</v>
      </c>
      <c r="G17" s="107" t="s">
        <v>33</v>
      </c>
      <c r="H17" s="107" t="s">
        <v>1883</v>
      </c>
      <c r="I17" s="107" t="s">
        <v>1007</v>
      </c>
      <c r="J17" s="108" t="s">
        <v>1008</v>
      </c>
      <c r="K17" s="107" t="s">
        <v>944</v>
      </c>
      <c r="L17" s="107" t="s">
        <v>607</v>
      </c>
      <c r="M17" s="107"/>
      <c r="N17" s="116">
        <v>859388676</v>
      </c>
      <c r="O17" s="116">
        <v>814465856</v>
      </c>
      <c r="P17" s="107" t="s">
        <v>903</v>
      </c>
      <c r="Q17" s="117"/>
    </row>
    <row r="18" spans="1:17" ht="12" customHeight="1">
      <c r="A18" s="102" t="s">
        <v>1009</v>
      </c>
      <c r="B18" s="103" t="s">
        <v>1010</v>
      </c>
      <c r="C18" s="104" t="s">
        <v>1011</v>
      </c>
      <c r="D18" s="105" t="s">
        <v>1012</v>
      </c>
      <c r="E18" s="106" t="s">
        <v>1013</v>
      </c>
      <c r="F18" s="107" t="s">
        <v>888</v>
      </c>
      <c r="G18" s="107" t="s">
        <v>33</v>
      </c>
      <c r="H18" s="107" t="s">
        <v>1883</v>
      </c>
      <c r="I18" s="107" t="s">
        <v>1014</v>
      </c>
      <c r="J18" s="108" t="s">
        <v>1015</v>
      </c>
      <c r="K18" s="107" t="s">
        <v>944</v>
      </c>
      <c r="L18" s="109" t="s">
        <v>1016</v>
      </c>
      <c r="M18" s="109"/>
      <c r="N18" s="110">
        <v>27048701669</v>
      </c>
      <c r="O18" s="110">
        <v>25699961695</v>
      </c>
      <c r="P18" s="109" t="s">
        <v>903</v>
      </c>
      <c r="Q18" s="109" t="s">
        <v>904</v>
      </c>
    </row>
    <row r="19" spans="1:17" ht="12" customHeight="1">
      <c r="A19" s="112" t="s">
        <v>1017</v>
      </c>
      <c r="B19" s="103" t="s">
        <v>1018</v>
      </c>
      <c r="C19" s="104" t="s">
        <v>1019</v>
      </c>
      <c r="D19" s="105" t="s">
        <v>1020</v>
      </c>
      <c r="E19" s="106" t="s">
        <v>1021</v>
      </c>
      <c r="F19" s="107" t="s">
        <v>899</v>
      </c>
      <c r="G19" s="107" t="s">
        <v>33</v>
      </c>
      <c r="H19" s="107" t="s">
        <v>1883</v>
      </c>
      <c r="I19" s="113" t="s">
        <v>1022</v>
      </c>
      <c r="J19" s="108" t="s">
        <v>1023</v>
      </c>
      <c r="K19" s="113" t="s">
        <v>944</v>
      </c>
      <c r="L19" s="109" t="s">
        <v>1016</v>
      </c>
      <c r="M19" s="109"/>
      <c r="N19" s="110">
        <v>27512345847</v>
      </c>
      <c r="O19" s="110">
        <v>26171901059</v>
      </c>
      <c r="P19" s="109" t="s">
        <v>903</v>
      </c>
      <c r="Q19" s="109"/>
    </row>
    <row r="20" spans="1:17" ht="12" customHeight="1">
      <c r="A20" s="102" t="s">
        <v>1024</v>
      </c>
      <c r="B20" s="103" t="s">
        <v>1025</v>
      </c>
      <c r="C20" s="104" t="s">
        <v>1026</v>
      </c>
      <c r="D20" s="105" t="s">
        <v>1027</v>
      </c>
      <c r="E20" s="106" t="s">
        <v>1028</v>
      </c>
      <c r="F20" s="107" t="s">
        <v>888</v>
      </c>
      <c r="G20" s="107" t="s">
        <v>33</v>
      </c>
      <c r="H20" s="107" t="s">
        <v>1883</v>
      </c>
      <c r="I20" s="107" t="s">
        <v>1029</v>
      </c>
      <c r="J20" s="108" t="s">
        <v>1030</v>
      </c>
      <c r="K20" s="107" t="s">
        <v>891</v>
      </c>
      <c r="L20" s="109" t="s">
        <v>1031</v>
      </c>
      <c r="M20" s="109"/>
      <c r="N20" s="110">
        <v>3417481932</v>
      </c>
      <c r="O20" s="110">
        <v>3206818104</v>
      </c>
      <c r="P20" s="111" t="s">
        <v>1032</v>
      </c>
      <c r="Q20" s="109"/>
    </row>
    <row r="21" spans="1:17" ht="12" customHeight="1">
      <c r="A21" s="112" t="s">
        <v>1033</v>
      </c>
      <c r="B21" s="103" t="s">
        <v>1034</v>
      </c>
      <c r="C21" s="104" t="s">
        <v>1035</v>
      </c>
      <c r="D21" s="105" t="s">
        <v>1036</v>
      </c>
      <c r="E21" s="106" t="s">
        <v>1037</v>
      </c>
      <c r="F21" s="107" t="s">
        <v>899</v>
      </c>
      <c r="G21" s="107" t="s">
        <v>33</v>
      </c>
      <c r="H21" s="107" t="s">
        <v>1883</v>
      </c>
      <c r="I21" s="113" t="s">
        <v>1038</v>
      </c>
      <c r="J21" s="108" t="s">
        <v>1039</v>
      </c>
      <c r="K21" s="113" t="s">
        <v>891</v>
      </c>
      <c r="L21" s="109" t="s">
        <v>1040</v>
      </c>
      <c r="M21" s="109"/>
      <c r="N21" s="110">
        <v>3650133185</v>
      </c>
      <c r="O21" s="110">
        <v>3668900409</v>
      </c>
      <c r="P21" s="109" t="s">
        <v>903</v>
      </c>
      <c r="Q21" s="109" t="s">
        <v>1041</v>
      </c>
    </row>
    <row r="22" spans="1:17" ht="12" customHeight="1">
      <c r="A22" s="102" t="s">
        <v>1042</v>
      </c>
      <c r="B22" s="103" t="s">
        <v>1043</v>
      </c>
      <c r="C22" s="104" t="s">
        <v>1044</v>
      </c>
      <c r="D22" s="105" t="s">
        <v>1045</v>
      </c>
      <c r="E22" s="106" t="s">
        <v>1046</v>
      </c>
      <c r="F22" s="107" t="s">
        <v>888</v>
      </c>
      <c r="G22" s="107" t="s">
        <v>33</v>
      </c>
      <c r="H22" s="107" t="s">
        <v>1883</v>
      </c>
      <c r="I22" s="107" t="s">
        <v>1047</v>
      </c>
      <c r="J22" s="108" t="s">
        <v>1048</v>
      </c>
      <c r="K22" s="107" t="s">
        <v>891</v>
      </c>
      <c r="L22" s="109" t="s">
        <v>1049</v>
      </c>
      <c r="M22" s="109"/>
      <c r="N22" s="110">
        <v>8980584451</v>
      </c>
      <c r="O22" s="110">
        <v>8982118316</v>
      </c>
      <c r="P22" s="109" t="s">
        <v>903</v>
      </c>
      <c r="Q22" s="109"/>
    </row>
    <row r="23" spans="1:17" ht="12" customHeight="1">
      <c r="A23" s="112" t="s">
        <v>1050</v>
      </c>
      <c r="B23" s="103" t="s">
        <v>1051</v>
      </c>
      <c r="C23" s="104" t="s">
        <v>1052</v>
      </c>
      <c r="D23" s="105" t="s">
        <v>1053</v>
      </c>
      <c r="E23" s="106" t="s">
        <v>1054</v>
      </c>
      <c r="F23" s="107" t="s">
        <v>899</v>
      </c>
      <c r="G23" s="107" t="s">
        <v>33</v>
      </c>
      <c r="H23" s="107" t="s">
        <v>1883</v>
      </c>
      <c r="I23" s="113" t="s">
        <v>1055</v>
      </c>
      <c r="J23" s="108" t="s">
        <v>1056</v>
      </c>
      <c r="K23" s="113" t="s">
        <v>891</v>
      </c>
      <c r="L23" s="109" t="s">
        <v>1057</v>
      </c>
      <c r="M23" s="109"/>
      <c r="N23" s="110">
        <v>8737896195</v>
      </c>
      <c r="O23" s="110">
        <v>8705184558</v>
      </c>
      <c r="P23" s="109" t="s">
        <v>903</v>
      </c>
      <c r="Q23" s="109"/>
    </row>
    <row r="24" spans="1:17" s="364" customFormat="1" ht="12" customHeight="1">
      <c r="A24" s="102" t="s">
        <v>1058</v>
      </c>
      <c r="B24" s="103" t="s">
        <v>1059</v>
      </c>
      <c r="C24" s="384" t="s">
        <v>1060</v>
      </c>
      <c r="D24" s="103" t="s">
        <v>1061</v>
      </c>
      <c r="E24" s="385" t="s">
        <v>1062</v>
      </c>
      <c r="F24" s="386" t="s">
        <v>899</v>
      </c>
      <c r="G24" s="386" t="s">
        <v>33</v>
      </c>
      <c r="H24" s="386" t="s">
        <v>1887</v>
      </c>
      <c r="I24" s="386" t="s">
        <v>1063</v>
      </c>
      <c r="J24" s="388" t="s">
        <v>1064</v>
      </c>
      <c r="K24" s="386" t="s">
        <v>891</v>
      </c>
      <c r="L24" s="389" t="s">
        <v>1057</v>
      </c>
      <c r="M24" s="389">
        <v>851.59</v>
      </c>
      <c r="N24" s="390">
        <v>414831856</v>
      </c>
      <c r="O24" s="390">
        <v>487123589</v>
      </c>
      <c r="P24" s="389" t="s">
        <v>903</v>
      </c>
      <c r="Q24" s="389" t="s">
        <v>1065</v>
      </c>
    </row>
    <row r="25" spans="1:17" ht="12" customHeight="1">
      <c r="A25" s="102" t="s">
        <v>1066</v>
      </c>
      <c r="B25" s="103" t="s">
        <v>1067</v>
      </c>
      <c r="C25" s="104" t="s">
        <v>1068</v>
      </c>
      <c r="D25" s="105" t="s">
        <v>1069</v>
      </c>
      <c r="E25" s="106" t="s">
        <v>1070</v>
      </c>
      <c r="F25" s="107" t="s">
        <v>888</v>
      </c>
      <c r="G25" s="107" t="s">
        <v>33</v>
      </c>
      <c r="H25" s="107" t="s">
        <v>1883</v>
      </c>
      <c r="I25" s="107" t="s">
        <v>1071</v>
      </c>
      <c r="J25" s="108" t="s">
        <v>1072</v>
      </c>
      <c r="K25" s="107" t="s">
        <v>891</v>
      </c>
      <c r="L25" s="109" t="s">
        <v>1049</v>
      </c>
      <c r="M25" s="109"/>
      <c r="N25" s="110">
        <v>2906155179</v>
      </c>
      <c r="O25" s="110">
        <v>2797819342</v>
      </c>
      <c r="P25" s="111" t="s">
        <v>1073</v>
      </c>
      <c r="Q25" s="109"/>
    </row>
    <row r="26" spans="1:17" s="364" customFormat="1" ht="12" customHeight="1">
      <c r="A26" s="112" t="s">
        <v>1074</v>
      </c>
      <c r="B26" s="103" t="s">
        <v>1075</v>
      </c>
      <c r="C26" s="384" t="s">
        <v>1076</v>
      </c>
      <c r="D26" s="103" t="s">
        <v>1077</v>
      </c>
      <c r="E26" s="385" t="s">
        <v>1078</v>
      </c>
      <c r="F26" s="386" t="s">
        <v>899</v>
      </c>
      <c r="G26" s="386" t="s">
        <v>33</v>
      </c>
      <c r="H26" s="386" t="s">
        <v>1888</v>
      </c>
      <c r="I26" s="387" t="s">
        <v>1079</v>
      </c>
      <c r="J26" s="388" t="s">
        <v>1080</v>
      </c>
      <c r="K26" s="387" t="s">
        <v>891</v>
      </c>
      <c r="L26" s="389" t="s">
        <v>1081</v>
      </c>
      <c r="M26" s="389">
        <v>498.58</v>
      </c>
      <c r="N26" s="390">
        <v>870459648</v>
      </c>
      <c r="O26" s="390">
        <v>1745886695</v>
      </c>
      <c r="P26" s="389" t="s">
        <v>903</v>
      </c>
      <c r="Q26" s="389" t="s">
        <v>1065</v>
      </c>
    </row>
    <row r="27" spans="1:17" s="364" customFormat="1" ht="12" customHeight="1">
      <c r="A27" s="112" t="s">
        <v>1082</v>
      </c>
      <c r="B27" s="103" t="s">
        <v>1083</v>
      </c>
      <c r="C27" s="384" t="s">
        <v>1084</v>
      </c>
      <c r="D27" s="103" t="s">
        <v>1085</v>
      </c>
      <c r="E27" s="385" t="s">
        <v>1086</v>
      </c>
      <c r="F27" s="386" t="s">
        <v>910</v>
      </c>
      <c r="G27" s="386" t="s">
        <v>33</v>
      </c>
      <c r="H27" s="386" t="s">
        <v>1889</v>
      </c>
      <c r="I27" s="387" t="s">
        <v>1087</v>
      </c>
      <c r="J27" s="388" t="s">
        <v>1088</v>
      </c>
      <c r="K27" s="387" t="s">
        <v>891</v>
      </c>
      <c r="L27" s="389" t="s">
        <v>1089</v>
      </c>
      <c r="M27" s="389">
        <v>490.07</v>
      </c>
      <c r="N27" s="390">
        <v>2029314</v>
      </c>
      <c r="O27" s="390">
        <v>4140894</v>
      </c>
      <c r="P27" s="389" t="s">
        <v>903</v>
      </c>
      <c r="Q27" s="389" t="s">
        <v>1065</v>
      </c>
    </row>
    <row r="28" spans="1:17" ht="12" customHeight="1">
      <c r="A28" s="102" t="s">
        <v>1090</v>
      </c>
      <c r="B28" s="103" t="s">
        <v>1091</v>
      </c>
      <c r="C28" s="104" t="s">
        <v>1092</v>
      </c>
      <c r="D28" s="105" t="s">
        <v>1093</v>
      </c>
      <c r="E28" s="106" t="s">
        <v>1094</v>
      </c>
      <c r="F28" s="107" t="s">
        <v>888</v>
      </c>
      <c r="G28" s="107" t="s">
        <v>33</v>
      </c>
      <c r="H28" s="107" t="s">
        <v>1883</v>
      </c>
      <c r="I28" s="107" t="s">
        <v>1095</v>
      </c>
      <c r="J28" s="108" t="s">
        <v>1096</v>
      </c>
      <c r="K28" s="107" t="s">
        <v>891</v>
      </c>
      <c r="L28" s="109" t="s">
        <v>1097</v>
      </c>
      <c r="M28" s="109"/>
      <c r="N28" s="110">
        <v>1569884344</v>
      </c>
      <c r="O28" s="110">
        <v>2425921989</v>
      </c>
      <c r="P28" s="111" t="s">
        <v>893</v>
      </c>
      <c r="Q28" s="109"/>
    </row>
    <row r="29" spans="1:17" ht="12" customHeight="1">
      <c r="A29" s="112" t="s">
        <v>1098</v>
      </c>
      <c r="B29" s="103" t="s">
        <v>1099</v>
      </c>
      <c r="C29" s="104" t="s">
        <v>1100</v>
      </c>
      <c r="D29" s="105" t="s">
        <v>1101</v>
      </c>
      <c r="E29" s="106" t="s">
        <v>1102</v>
      </c>
      <c r="F29" s="107" t="s">
        <v>899</v>
      </c>
      <c r="G29" s="107" t="s">
        <v>33</v>
      </c>
      <c r="H29" s="107" t="s">
        <v>1883</v>
      </c>
      <c r="I29" s="113" t="s">
        <v>1103</v>
      </c>
      <c r="J29" s="108" t="s">
        <v>1104</v>
      </c>
      <c r="K29" s="113" t="s">
        <v>891</v>
      </c>
      <c r="L29" s="109" t="s">
        <v>1105</v>
      </c>
      <c r="M29" s="109"/>
      <c r="N29" s="110">
        <v>1686125840</v>
      </c>
      <c r="O29" s="110">
        <v>3015831745</v>
      </c>
      <c r="P29" s="109" t="s">
        <v>903</v>
      </c>
      <c r="Q29" s="109" t="s">
        <v>904</v>
      </c>
    </row>
    <row r="30" spans="1:17" ht="12" customHeight="1">
      <c r="A30" s="102" t="s">
        <v>1106</v>
      </c>
      <c r="B30" s="103" t="s">
        <v>1107</v>
      </c>
      <c r="C30" s="104" t="s">
        <v>1108</v>
      </c>
      <c r="D30" s="105" t="s">
        <v>1109</v>
      </c>
      <c r="E30" s="106" t="s">
        <v>1110</v>
      </c>
      <c r="F30" s="107" t="s">
        <v>888</v>
      </c>
      <c r="G30" s="107" t="s">
        <v>33</v>
      </c>
      <c r="H30" s="107" t="s">
        <v>1883</v>
      </c>
      <c r="I30" s="107" t="s">
        <v>1111</v>
      </c>
      <c r="J30" s="108" t="s">
        <v>1112</v>
      </c>
      <c r="K30" s="107" t="s">
        <v>891</v>
      </c>
      <c r="L30" s="109" t="s">
        <v>1113</v>
      </c>
      <c r="M30" s="109"/>
      <c r="N30" s="110">
        <v>826489071</v>
      </c>
      <c r="O30" s="110">
        <v>807608847</v>
      </c>
      <c r="P30" s="109" t="s">
        <v>903</v>
      </c>
      <c r="Q30" s="109" t="s">
        <v>904</v>
      </c>
    </row>
    <row r="31" spans="1:17" ht="12" customHeight="1">
      <c r="A31" s="112" t="s">
        <v>1114</v>
      </c>
      <c r="B31" s="103" t="s">
        <v>1115</v>
      </c>
      <c r="C31" s="104" t="s">
        <v>1815</v>
      </c>
      <c r="D31" s="105" t="s">
        <v>1117</v>
      </c>
      <c r="E31" s="106" t="s">
        <v>1118</v>
      </c>
      <c r="F31" s="107" t="s">
        <v>899</v>
      </c>
      <c r="G31" s="107" t="s">
        <v>33</v>
      </c>
      <c r="H31" s="107" t="s">
        <v>1883</v>
      </c>
      <c r="I31" s="113" t="s">
        <v>1119</v>
      </c>
      <c r="J31" s="108" t="s">
        <v>1120</v>
      </c>
      <c r="K31" s="113" t="s">
        <v>891</v>
      </c>
      <c r="L31" s="109" t="s">
        <v>1121</v>
      </c>
      <c r="M31" s="109"/>
      <c r="N31" s="110">
        <v>840668014</v>
      </c>
      <c r="O31" s="110">
        <v>828145032</v>
      </c>
      <c r="P31" s="109" t="s">
        <v>903</v>
      </c>
      <c r="Q31" s="109"/>
    </row>
    <row r="32" spans="1:17" ht="12" customHeight="1">
      <c r="A32" s="102" t="s">
        <v>1122</v>
      </c>
      <c r="B32" s="103" t="s">
        <v>1123</v>
      </c>
      <c r="C32" s="104" t="s">
        <v>1124</v>
      </c>
      <c r="D32" s="105" t="s">
        <v>1125</v>
      </c>
      <c r="E32" s="106" t="s">
        <v>1126</v>
      </c>
      <c r="F32" s="107" t="s">
        <v>888</v>
      </c>
      <c r="G32" s="107" t="s">
        <v>33</v>
      </c>
      <c r="H32" s="107" t="s">
        <v>1883</v>
      </c>
      <c r="I32" s="107" t="s">
        <v>1127</v>
      </c>
      <c r="J32" s="108" t="s">
        <v>1128</v>
      </c>
      <c r="K32" s="107" t="s">
        <v>891</v>
      </c>
      <c r="L32" s="109" t="s">
        <v>1129</v>
      </c>
      <c r="M32" s="109"/>
      <c r="N32" s="110">
        <v>25325392900</v>
      </c>
      <c r="O32" s="110">
        <v>20280172302</v>
      </c>
      <c r="P32" s="111" t="s">
        <v>1130</v>
      </c>
      <c r="Q32" s="109"/>
    </row>
    <row r="33" spans="1:18" s="364" customFormat="1" ht="12" customHeight="1">
      <c r="A33" s="112" t="s">
        <v>1131</v>
      </c>
      <c r="B33" s="103" t="s">
        <v>1132</v>
      </c>
      <c r="C33" s="384" t="s">
        <v>1816</v>
      </c>
      <c r="D33" s="103" t="s">
        <v>1134</v>
      </c>
      <c r="E33" s="385" t="s">
        <v>1135</v>
      </c>
      <c r="F33" s="386" t="s">
        <v>910</v>
      </c>
      <c r="G33" s="386" t="s">
        <v>33</v>
      </c>
      <c r="H33" s="386" t="s">
        <v>1890</v>
      </c>
      <c r="I33" s="387" t="s">
        <v>1136</v>
      </c>
      <c r="J33" s="388" t="s">
        <v>1137</v>
      </c>
      <c r="K33" s="387" t="s">
        <v>891</v>
      </c>
      <c r="L33" s="389" t="s">
        <v>1129</v>
      </c>
      <c r="M33" s="389">
        <v>1674.39</v>
      </c>
      <c r="N33" s="390">
        <v>12330217247</v>
      </c>
      <c r="O33" s="390">
        <v>10866638009</v>
      </c>
      <c r="P33" s="389" t="s">
        <v>903</v>
      </c>
      <c r="Q33" s="389" t="s">
        <v>1138</v>
      </c>
    </row>
    <row r="34" spans="1:18" ht="12.75" customHeight="1">
      <c r="A34" s="112" t="s">
        <v>1139</v>
      </c>
      <c r="B34" s="103" t="s">
        <v>1140</v>
      </c>
      <c r="C34" s="104" t="s">
        <v>1141</v>
      </c>
      <c r="D34" s="105" t="s">
        <v>1142</v>
      </c>
      <c r="E34" s="106" t="s">
        <v>1143</v>
      </c>
      <c r="F34" s="107" t="s">
        <v>899</v>
      </c>
      <c r="G34" s="107" t="s">
        <v>33</v>
      </c>
      <c r="H34" s="107" t="s">
        <v>1883</v>
      </c>
      <c r="I34" s="113" t="s">
        <v>1144</v>
      </c>
      <c r="J34" s="108" t="s">
        <v>1145</v>
      </c>
      <c r="K34" s="113" t="s">
        <v>891</v>
      </c>
      <c r="L34" s="109" t="s">
        <v>1146</v>
      </c>
      <c r="M34" s="109"/>
      <c r="N34" s="110">
        <v>4080584285</v>
      </c>
      <c r="O34" s="110">
        <v>3707019998</v>
      </c>
      <c r="P34" s="109" t="s">
        <v>903</v>
      </c>
      <c r="Q34" s="109"/>
    </row>
    <row r="35" spans="1:18" s="364" customFormat="1" ht="12" customHeight="1">
      <c r="A35" s="112" t="s">
        <v>1147</v>
      </c>
      <c r="B35" s="103" t="s">
        <v>1148</v>
      </c>
      <c r="C35" s="384" t="s">
        <v>1817</v>
      </c>
      <c r="D35" s="103" t="s">
        <v>1150</v>
      </c>
      <c r="E35" s="385" t="s">
        <v>1151</v>
      </c>
      <c r="F35" s="386" t="s">
        <v>910</v>
      </c>
      <c r="G35" s="386" t="s">
        <v>33</v>
      </c>
      <c r="H35" s="386" t="s">
        <v>1891</v>
      </c>
      <c r="I35" s="387" t="s">
        <v>1152</v>
      </c>
      <c r="J35" s="388" t="s">
        <v>1153</v>
      </c>
      <c r="K35" s="387" t="s">
        <v>891</v>
      </c>
      <c r="L35" s="389" t="s">
        <v>1154</v>
      </c>
      <c r="M35" s="389">
        <v>1450.45</v>
      </c>
      <c r="N35" s="390">
        <v>2902406304</v>
      </c>
      <c r="O35" s="390">
        <v>3203803317</v>
      </c>
      <c r="P35" s="389" t="s">
        <v>903</v>
      </c>
      <c r="Q35" s="389" t="s">
        <v>1138</v>
      </c>
    </row>
    <row r="36" spans="1:18" s="400" customFormat="1" ht="12" customHeight="1">
      <c r="A36" s="393" t="s">
        <v>1155</v>
      </c>
      <c r="B36" s="394" t="s">
        <v>1156</v>
      </c>
      <c r="C36" s="384" t="s">
        <v>1157</v>
      </c>
      <c r="D36" s="394" t="s">
        <v>1158</v>
      </c>
      <c r="E36" s="428" t="s">
        <v>1159</v>
      </c>
      <c r="F36" s="395" t="s">
        <v>910</v>
      </c>
      <c r="G36" s="395" t="s">
        <v>33</v>
      </c>
      <c r="H36" s="386" t="s">
        <v>1892</v>
      </c>
      <c r="I36" s="396" t="s">
        <v>1160</v>
      </c>
      <c r="J36" s="397" t="s">
        <v>1161</v>
      </c>
      <c r="K36" s="396" t="s">
        <v>891</v>
      </c>
      <c r="L36" s="398" t="s">
        <v>1162</v>
      </c>
      <c r="M36" s="398">
        <v>1271.45</v>
      </c>
      <c r="N36" s="399">
        <v>2346390500</v>
      </c>
      <c r="O36" s="399">
        <v>1845438208</v>
      </c>
      <c r="P36" s="398" t="s">
        <v>903</v>
      </c>
      <c r="Q36" s="398" t="s">
        <v>1138</v>
      </c>
    </row>
    <row r="37" spans="1:18" ht="12" customHeight="1">
      <c r="A37" s="102" t="s">
        <v>1163</v>
      </c>
      <c r="B37" s="103" t="s">
        <v>1164</v>
      </c>
      <c r="C37" s="104" t="s">
        <v>1818</v>
      </c>
      <c r="D37" s="105" t="s">
        <v>1166</v>
      </c>
      <c r="E37" s="106" t="s">
        <v>1167</v>
      </c>
      <c r="F37" s="107" t="s">
        <v>1168</v>
      </c>
      <c r="G37" s="107" t="s">
        <v>33</v>
      </c>
      <c r="H37" s="107" t="s">
        <v>1883</v>
      </c>
      <c r="I37" s="107" t="s">
        <v>1169</v>
      </c>
      <c r="J37" s="108" t="s">
        <v>1170</v>
      </c>
      <c r="K37" s="107" t="s">
        <v>891</v>
      </c>
      <c r="L37" s="109" t="s">
        <v>1171</v>
      </c>
      <c r="M37" s="109"/>
      <c r="N37" s="110">
        <v>9052353308</v>
      </c>
      <c r="O37" s="110">
        <v>8290015289</v>
      </c>
      <c r="P37" s="111" t="s">
        <v>893</v>
      </c>
      <c r="Q37" s="109"/>
    </row>
    <row r="38" spans="1:18" ht="12" customHeight="1">
      <c r="A38" s="112" t="s">
        <v>1172</v>
      </c>
      <c r="B38" s="103" t="s">
        <v>1173</v>
      </c>
      <c r="C38" s="104" t="s">
        <v>1174</v>
      </c>
      <c r="D38" s="105" t="s">
        <v>1175</v>
      </c>
      <c r="E38" s="106" t="s">
        <v>1176</v>
      </c>
      <c r="F38" s="107" t="s">
        <v>899</v>
      </c>
      <c r="G38" s="107" t="s">
        <v>33</v>
      </c>
      <c r="H38" s="107" t="s">
        <v>1883</v>
      </c>
      <c r="I38" s="113" t="s">
        <v>1177</v>
      </c>
      <c r="J38" s="108" t="s">
        <v>1178</v>
      </c>
      <c r="K38" s="113" t="s">
        <v>891</v>
      </c>
      <c r="L38" s="109" t="s">
        <v>1171</v>
      </c>
      <c r="M38" s="109"/>
      <c r="N38" s="110">
        <v>1809284183</v>
      </c>
      <c r="O38" s="110">
        <v>1471661663</v>
      </c>
      <c r="P38" s="109" t="s">
        <v>903</v>
      </c>
      <c r="Q38" s="109" t="s">
        <v>904</v>
      </c>
    </row>
    <row r="39" spans="1:18" ht="12" customHeight="1">
      <c r="A39" s="112" t="s">
        <v>1179</v>
      </c>
      <c r="B39" s="103" t="s">
        <v>1180</v>
      </c>
      <c r="C39" s="104" t="s">
        <v>1181</v>
      </c>
      <c r="D39" s="105" t="s">
        <v>1182</v>
      </c>
      <c r="E39" s="106" t="s">
        <v>1183</v>
      </c>
      <c r="F39" s="107" t="s">
        <v>899</v>
      </c>
      <c r="G39" s="107" t="s">
        <v>33</v>
      </c>
      <c r="H39" s="107" t="s">
        <v>1883</v>
      </c>
      <c r="I39" s="113" t="s">
        <v>1184</v>
      </c>
      <c r="J39" s="108" t="s">
        <v>1185</v>
      </c>
      <c r="K39" s="113" t="s">
        <v>891</v>
      </c>
      <c r="L39" s="109" t="s">
        <v>1186</v>
      </c>
      <c r="M39" s="109"/>
      <c r="N39" s="110">
        <v>402377728</v>
      </c>
      <c r="O39" s="110">
        <v>367259909</v>
      </c>
      <c r="P39" s="109" t="s">
        <v>903</v>
      </c>
      <c r="Q39" s="109" t="s">
        <v>904</v>
      </c>
    </row>
    <row r="40" spans="1:18" ht="12" customHeight="1">
      <c r="A40" s="102" t="s">
        <v>1187</v>
      </c>
      <c r="B40" s="103" t="s">
        <v>1188</v>
      </c>
      <c r="C40" s="104" t="s">
        <v>1189</v>
      </c>
      <c r="D40" s="105" t="s">
        <v>1190</v>
      </c>
      <c r="E40" s="106" t="s">
        <v>1191</v>
      </c>
      <c r="F40" s="107" t="s">
        <v>910</v>
      </c>
      <c r="G40" s="107" t="s">
        <v>33</v>
      </c>
      <c r="H40" s="107" t="s">
        <v>1883</v>
      </c>
      <c r="I40" s="107" t="s">
        <v>1192</v>
      </c>
      <c r="J40" s="108" t="s">
        <v>1193</v>
      </c>
      <c r="K40" s="107" t="s">
        <v>891</v>
      </c>
      <c r="L40" s="109" t="s">
        <v>1194</v>
      </c>
      <c r="M40" s="109"/>
      <c r="N40" s="110">
        <v>18598411609</v>
      </c>
      <c r="O40" s="110">
        <v>18734711137</v>
      </c>
      <c r="P40" s="109" t="s">
        <v>903</v>
      </c>
      <c r="Q40" s="109" t="s">
        <v>904</v>
      </c>
    </row>
    <row r="41" spans="1:18" ht="12" customHeight="1">
      <c r="A41" s="102" t="s">
        <v>1195</v>
      </c>
      <c r="B41" s="103" t="s">
        <v>1196</v>
      </c>
      <c r="C41" s="104" t="s">
        <v>1819</v>
      </c>
      <c r="D41" s="105" t="s">
        <v>1198</v>
      </c>
      <c r="E41" s="106" t="s">
        <v>1199</v>
      </c>
      <c r="F41" s="107" t="s">
        <v>1168</v>
      </c>
      <c r="G41" s="107" t="s">
        <v>33</v>
      </c>
      <c r="H41" s="107" t="s">
        <v>1883</v>
      </c>
      <c r="I41" s="107" t="s">
        <v>1200</v>
      </c>
      <c r="J41" s="108" t="s">
        <v>1201</v>
      </c>
      <c r="K41" s="107" t="s">
        <v>891</v>
      </c>
      <c r="L41" s="109" t="s">
        <v>1202</v>
      </c>
      <c r="M41" s="109"/>
      <c r="N41" s="110">
        <v>1889029666</v>
      </c>
      <c r="O41" s="110">
        <v>1778830203</v>
      </c>
      <c r="P41" s="111" t="s">
        <v>1032</v>
      </c>
      <c r="Q41" s="109"/>
    </row>
    <row r="42" spans="1:18" s="466" customFormat="1" ht="12" customHeight="1">
      <c r="A42" s="467" t="s">
        <v>1203</v>
      </c>
      <c r="B42" s="105" t="s">
        <v>1204</v>
      </c>
      <c r="C42" s="104" t="s">
        <v>1205</v>
      </c>
      <c r="D42" s="105" t="s">
        <v>1206</v>
      </c>
      <c r="E42" s="468" t="s">
        <v>1207</v>
      </c>
      <c r="F42" s="469" t="s">
        <v>899</v>
      </c>
      <c r="G42" s="469" t="s">
        <v>33</v>
      </c>
      <c r="H42" s="469" t="s">
        <v>2035</v>
      </c>
      <c r="I42" s="470" t="s">
        <v>1208</v>
      </c>
      <c r="J42" s="471" t="s">
        <v>1209</v>
      </c>
      <c r="K42" s="470" t="s">
        <v>891</v>
      </c>
      <c r="L42" s="472" t="s">
        <v>1210</v>
      </c>
      <c r="M42" s="472"/>
      <c r="N42" s="473">
        <v>1414939194</v>
      </c>
      <c r="O42" s="473">
        <v>1429311388</v>
      </c>
      <c r="P42" s="472" t="s">
        <v>903</v>
      </c>
      <c r="Q42" s="472" t="s">
        <v>1041</v>
      </c>
    </row>
    <row r="43" spans="1:18" s="466" customFormat="1" ht="12" customHeight="1">
      <c r="A43" s="467" t="s">
        <v>1211</v>
      </c>
      <c r="B43" s="105" t="s">
        <v>1212</v>
      </c>
      <c r="C43" s="104" t="s">
        <v>1213</v>
      </c>
      <c r="D43" s="105" t="s">
        <v>1214</v>
      </c>
      <c r="E43" s="468" t="s">
        <v>1215</v>
      </c>
      <c r="F43" s="469" t="s">
        <v>899</v>
      </c>
      <c r="G43" s="469" t="s">
        <v>33</v>
      </c>
      <c r="H43" s="469" t="s">
        <v>2036</v>
      </c>
      <c r="I43" s="470" t="s">
        <v>1216</v>
      </c>
      <c r="J43" s="471" t="s">
        <v>1217</v>
      </c>
      <c r="K43" s="470" t="s">
        <v>891</v>
      </c>
      <c r="L43" s="472" t="s">
        <v>1210</v>
      </c>
      <c r="M43" s="472"/>
      <c r="N43" s="473">
        <v>599997334</v>
      </c>
      <c r="O43" s="473">
        <v>607035201</v>
      </c>
      <c r="P43" s="472" t="s">
        <v>903</v>
      </c>
      <c r="Q43" s="472" t="s">
        <v>1041</v>
      </c>
    </row>
    <row r="44" spans="1:18" s="413" customFormat="1" ht="12" customHeight="1">
      <c r="A44" s="404" t="s">
        <v>1218</v>
      </c>
      <c r="B44" s="405" t="s">
        <v>1219</v>
      </c>
      <c r="C44" s="406" t="s">
        <v>1220</v>
      </c>
      <c r="D44" s="407" t="s">
        <v>1221</v>
      </c>
      <c r="E44" s="408" t="s">
        <v>1222</v>
      </c>
      <c r="F44" s="409" t="s">
        <v>888</v>
      </c>
      <c r="G44" s="409" t="s">
        <v>33</v>
      </c>
      <c r="H44" s="107" t="s">
        <v>1883</v>
      </c>
      <c r="I44" s="409" t="s">
        <v>1223</v>
      </c>
      <c r="J44" s="410" t="s">
        <v>1224</v>
      </c>
      <c r="K44" s="409" t="s">
        <v>891</v>
      </c>
      <c r="L44" s="411" t="s">
        <v>1225</v>
      </c>
      <c r="M44" s="411"/>
      <c r="N44" s="412">
        <v>6486848340</v>
      </c>
      <c r="O44" s="412">
        <v>6355247538</v>
      </c>
      <c r="P44" s="411" t="s">
        <v>903</v>
      </c>
      <c r="Q44" s="411" t="s">
        <v>904</v>
      </c>
      <c r="R44" s="419">
        <v>44854</v>
      </c>
    </row>
    <row r="45" spans="1:18" s="413" customFormat="1" ht="12" customHeight="1">
      <c r="A45" s="414" t="s">
        <v>1226</v>
      </c>
      <c r="B45" s="405" t="s">
        <v>1227</v>
      </c>
      <c r="C45" s="406" t="s">
        <v>1228</v>
      </c>
      <c r="D45" s="407" t="s">
        <v>1229</v>
      </c>
      <c r="E45" s="408" t="s">
        <v>1230</v>
      </c>
      <c r="F45" s="409" t="s">
        <v>899</v>
      </c>
      <c r="G45" s="409" t="s">
        <v>33</v>
      </c>
      <c r="H45" s="107" t="s">
        <v>1883</v>
      </c>
      <c r="I45" s="415" t="s">
        <v>1231</v>
      </c>
      <c r="J45" s="410" t="s">
        <v>1232</v>
      </c>
      <c r="K45" s="415" t="s">
        <v>891</v>
      </c>
      <c r="L45" s="411" t="s">
        <v>1225</v>
      </c>
      <c r="M45" s="411"/>
      <c r="N45" s="412">
        <v>6625062835</v>
      </c>
      <c r="O45" s="412">
        <v>6493045634</v>
      </c>
      <c r="P45" s="411" t="s">
        <v>903</v>
      </c>
      <c r="Q45" s="411"/>
      <c r="R45" s="419">
        <v>44854</v>
      </c>
    </row>
    <row r="46" spans="1:18" s="413" customFormat="1" ht="12" customHeight="1">
      <c r="A46" s="416" t="s">
        <v>1233</v>
      </c>
      <c r="B46" s="405" t="s">
        <v>1234</v>
      </c>
      <c r="C46" s="406" t="s">
        <v>1235</v>
      </c>
      <c r="D46" s="407" t="s">
        <v>1236</v>
      </c>
      <c r="E46" s="408" t="s">
        <v>1237</v>
      </c>
      <c r="F46" s="409" t="s">
        <v>1238</v>
      </c>
      <c r="G46" s="409" t="s">
        <v>33</v>
      </c>
      <c r="H46" s="107" t="s">
        <v>1883</v>
      </c>
      <c r="I46" s="409" t="s">
        <v>1239</v>
      </c>
      <c r="J46" s="410" t="s">
        <v>1240</v>
      </c>
      <c r="K46" s="409" t="s">
        <v>891</v>
      </c>
      <c r="L46" s="411" t="s">
        <v>1241</v>
      </c>
      <c r="M46" s="411"/>
      <c r="N46" s="417">
        <v>7474179064</v>
      </c>
      <c r="O46" s="417">
        <v>5986129133</v>
      </c>
      <c r="P46" s="411" t="s">
        <v>903</v>
      </c>
      <c r="Q46" s="418" t="s">
        <v>904</v>
      </c>
      <c r="R46" s="419">
        <v>44600</v>
      </c>
    </row>
    <row r="47" spans="1:18" s="413" customFormat="1" ht="12" customHeight="1">
      <c r="A47" s="416" t="s">
        <v>1242</v>
      </c>
      <c r="B47" s="405" t="s">
        <v>1243</v>
      </c>
      <c r="C47" s="406" t="s">
        <v>1244</v>
      </c>
      <c r="D47" s="407" t="s">
        <v>1245</v>
      </c>
      <c r="E47" s="408" t="s">
        <v>1246</v>
      </c>
      <c r="F47" s="409" t="s">
        <v>1238</v>
      </c>
      <c r="G47" s="409" t="s">
        <v>33</v>
      </c>
      <c r="H47" s="107" t="s">
        <v>1883</v>
      </c>
      <c r="I47" s="409" t="s">
        <v>1247</v>
      </c>
      <c r="J47" s="410" t="s">
        <v>1248</v>
      </c>
      <c r="K47" s="409" t="s">
        <v>891</v>
      </c>
      <c r="L47" s="411" t="s">
        <v>1249</v>
      </c>
      <c r="M47" s="411"/>
      <c r="N47" s="417">
        <v>5650967142</v>
      </c>
      <c r="O47" s="417">
        <v>4333399593</v>
      </c>
      <c r="P47" s="411" t="s">
        <v>903</v>
      </c>
      <c r="Q47" s="418" t="s">
        <v>904</v>
      </c>
      <c r="R47" s="419">
        <v>44600</v>
      </c>
    </row>
    <row r="48" spans="1:18" ht="12" customHeight="1">
      <c r="A48" s="118"/>
      <c r="B48" s="119"/>
      <c r="C48" s="120"/>
      <c r="D48" s="121"/>
      <c r="E48" s="122"/>
      <c r="F48" s="123"/>
      <c r="G48" s="123"/>
      <c r="H48" s="123"/>
      <c r="I48" s="123"/>
      <c r="J48" s="124"/>
      <c r="K48" s="123"/>
      <c r="L48" s="123"/>
      <c r="M48" s="123"/>
      <c r="N48" s="125"/>
      <c r="O48" s="125"/>
      <c r="P48" s="126"/>
      <c r="Q48" s="118"/>
    </row>
    <row r="49" spans="1:17">
      <c r="A49" s="119"/>
      <c r="E49" s="122"/>
      <c r="F49" s="123"/>
      <c r="G49" s="123"/>
      <c r="H49" s="123"/>
      <c r="I49" s="123"/>
      <c r="J49" s="124"/>
      <c r="K49" s="123"/>
    </row>
    <row r="50" spans="1:17" s="364" customFormat="1" ht="12" customHeight="1">
      <c r="A50" s="865" t="s">
        <v>929</v>
      </c>
      <c r="B50" s="866" t="s">
        <v>930</v>
      </c>
      <c r="C50" s="867" t="s">
        <v>931</v>
      </c>
      <c r="D50" s="866" t="s">
        <v>932</v>
      </c>
      <c r="E50" s="864" t="s">
        <v>933</v>
      </c>
      <c r="F50" s="864" t="s">
        <v>899</v>
      </c>
      <c r="G50" s="864" t="s">
        <v>33</v>
      </c>
      <c r="H50" s="864" t="s">
        <v>1886</v>
      </c>
      <c r="I50" s="868" t="s">
        <v>934</v>
      </c>
      <c r="J50" s="864" t="s">
        <v>935</v>
      </c>
      <c r="K50" s="868" t="s">
        <v>891</v>
      </c>
      <c r="L50" s="869" t="s">
        <v>936</v>
      </c>
      <c r="M50" s="869">
        <v>850.13</v>
      </c>
      <c r="N50" s="870">
        <v>1242647399</v>
      </c>
      <c r="O50" s="870">
        <v>1461706053</v>
      </c>
      <c r="P50" s="869" t="s">
        <v>903</v>
      </c>
      <c r="Q50" s="869" t="s">
        <v>904</v>
      </c>
    </row>
    <row r="51" spans="1:17">
      <c r="A51" s="373" t="s">
        <v>2665</v>
      </c>
      <c r="B51" s="373"/>
      <c r="C51" s="373"/>
      <c r="D51" s="373"/>
      <c r="E51" s="373"/>
      <c r="F51" s="123"/>
      <c r="G51" s="123"/>
      <c r="H51" s="123"/>
      <c r="I51" s="123"/>
      <c r="J51" s="124"/>
      <c r="K51" s="123"/>
    </row>
  </sheetData>
  <mergeCells count="15">
    <mergeCell ref="I2:I3"/>
    <mergeCell ref="A2:B2"/>
    <mergeCell ref="C2:D2"/>
    <mergeCell ref="E2:E3"/>
    <mergeCell ref="F2:F3"/>
    <mergeCell ref="G2:G3"/>
    <mergeCell ref="H2:H3"/>
    <mergeCell ref="Q2:Q3"/>
    <mergeCell ref="J2:J3"/>
    <mergeCell ref="K2:K3"/>
    <mergeCell ref="L2:L3"/>
    <mergeCell ref="O2:O3"/>
    <mergeCell ref="N2:N3"/>
    <mergeCell ref="P2:P3"/>
    <mergeCell ref="M2:M3"/>
  </mergeCells>
  <phoneticPr fontId="2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6"/>
  <dimension ref="A1:DE89"/>
  <sheetViews>
    <sheetView zoomScaleNormal="100" workbookViewId="0">
      <selection sqref="A1:K17"/>
    </sheetView>
  </sheetViews>
  <sheetFormatPr defaultRowHeight="16.5"/>
  <cols>
    <col min="1" max="1" width="9.5" style="2" bestFit="1" customWidth="1"/>
    <col min="2" max="2" width="13.875" style="2" bestFit="1" customWidth="1"/>
    <col min="3" max="3" width="11.5" style="2" bestFit="1" customWidth="1"/>
    <col min="4" max="4" width="17.25" style="2" bestFit="1" customWidth="1"/>
    <col min="5" max="5" width="9.5" style="2" bestFit="1" customWidth="1"/>
    <col min="6" max="6" width="20" style="2" bestFit="1" customWidth="1"/>
    <col min="7" max="7" width="64.875" style="38" bestFit="1" customWidth="1"/>
    <col min="8" max="8" width="17.375" style="167" customWidth="1"/>
    <col min="9" max="9" width="13.25" style="2" bestFit="1" customWidth="1"/>
    <col min="10" max="10" width="19.375" style="2" bestFit="1" customWidth="1"/>
    <col min="11" max="11" width="19.375" style="2" customWidth="1"/>
    <col min="12" max="16384" width="9" style="2"/>
  </cols>
  <sheetData>
    <row r="1" spans="1:109" ht="18" thickBot="1">
      <c r="A1" s="25" t="s">
        <v>0</v>
      </c>
      <c r="B1" s="26" t="s">
        <v>1</v>
      </c>
      <c r="C1" s="26" t="s">
        <v>17</v>
      </c>
      <c r="D1" s="26" t="s">
        <v>2</v>
      </c>
      <c r="E1" s="26" t="s">
        <v>3</v>
      </c>
      <c r="F1" s="26" t="s">
        <v>35</v>
      </c>
      <c r="G1" s="26" t="s">
        <v>5</v>
      </c>
      <c r="H1" s="164" t="s">
        <v>18</v>
      </c>
      <c r="I1" s="27" t="s">
        <v>7</v>
      </c>
      <c r="J1" s="28" t="s">
        <v>8</v>
      </c>
      <c r="K1" s="29" t="s">
        <v>9</v>
      </c>
    </row>
    <row r="2" spans="1:109" ht="17.25" thickTop="1">
      <c r="A2" s="128" t="s">
        <v>148</v>
      </c>
      <c r="B2" s="129" t="s">
        <v>1250</v>
      </c>
      <c r="C2" s="129" t="s">
        <v>33</v>
      </c>
      <c r="D2" s="129" t="s">
        <v>10</v>
      </c>
      <c r="E2" s="129" t="s">
        <v>165</v>
      </c>
      <c r="F2" s="130" t="s">
        <v>1266</v>
      </c>
      <c r="G2" s="158" t="s">
        <v>1267</v>
      </c>
      <c r="H2" s="144">
        <v>2017.02</v>
      </c>
      <c r="I2" s="131">
        <v>1255.52</v>
      </c>
      <c r="J2" s="132">
        <v>209764251167</v>
      </c>
      <c r="K2" s="133">
        <v>167073000000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</row>
    <row r="3" spans="1:109">
      <c r="A3" s="51" t="s">
        <v>148</v>
      </c>
      <c r="B3" s="52" t="s">
        <v>1251</v>
      </c>
      <c r="C3" s="129" t="s">
        <v>33</v>
      </c>
      <c r="D3" s="129" t="s">
        <v>10</v>
      </c>
      <c r="E3" s="129" t="s">
        <v>165</v>
      </c>
      <c r="F3" s="130" t="s">
        <v>1266</v>
      </c>
      <c r="G3" s="127" t="s">
        <v>1268</v>
      </c>
      <c r="H3" s="145">
        <v>2017.08</v>
      </c>
      <c r="I3" s="134">
        <v>1234.9000000000001</v>
      </c>
      <c r="J3" s="3">
        <v>83088511822</v>
      </c>
      <c r="K3" s="32">
        <v>67284000000</v>
      </c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</row>
    <row r="4" spans="1:109">
      <c r="A4" s="51" t="s">
        <v>148</v>
      </c>
      <c r="B4" s="52" t="s">
        <v>1252</v>
      </c>
      <c r="C4" s="129" t="s">
        <v>33</v>
      </c>
      <c r="D4" s="129" t="s">
        <v>10</v>
      </c>
      <c r="E4" s="129" t="s">
        <v>165</v>
      </c>
      <c r="F4" s="130" t="s">
        <v>1266</v>
      </c>
      <c r="G4" s="159" t="s">
        <v>1269</v>
      </c>
      <c r="H4" s="145">
        <v>2017.03</v>
      </c>
      <c r="I4" s="134">
        <v>1341.4</v>
      </c>
      <c r="J4" s="3">
        <v>150995522272</v>
      </c>
      <c r="K4" s="32">
        <v>112565000000</v>
      </c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</row>
    <row r="5" spans="1:109">
      <c r="A5" s="51" t="s">
        <v>155</v>
      </c>
      <c r="B5" s="52" t="s">
        <v>1253</v>
      </c>
      <c r="C5" s="129" t="s">
        <v>33</v>
      </c>
      <c r="D5" s="129" t="s">
        <v>10</v>
      </c>
      <c r="E5" s="129" t="s">
        <v>165</v>
      </c>
      <c r="F5" s="130" t="s">
        <v>1266</v>
      </c>
      <c r="G5" s="159" t="s">
        <v>1270</v>
      </c>
      <c r="H5" s="145">
        <v>2017.03</v>
      </c>
      <c r="I5" s="134">
        <v>1402.52</v>
      </c>
      <c r="J5" s="3">
        <v>267394251042</v>
      </c>
      <c r="K5" s="32">
        <v>190652000000</v>
      </c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</row>
    <row r="6" spans="1:109">
      <c r="A6" s="51" t="s">
        <v>155</v>
      </c>
      <c r="B6" s="52" t="s">
        <v>1254</v>
      </c>
      <c r="C6" s="129" t="s">
        <v>33</v>
      </c>
      <c r="D6" s="129" t="s">
        <v>10</v>
      </c>
      <c r="E6" s="129" t="s">
        <v>165</v>
      </c>
      <c r="F6" s="130" t="s">
        <v>1266</v>
      </c>
      <c r="G6" s="159" t="s">
        <v>1271</v>
      </c>
      <c r="H6" s="145">
        <v>2017.03</v>
      </c>
      <c r="I6" s="134">
        <v>1450.39</v>
      </c>
      <c r="J6" s="3">
        <v>137308107107</v>
      </c>
      <c r="K6" s="32">
        <v>94670000000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</row>
    <row r="7" spans="1:109">
      <c r="A7" s="135" t="s">
        <v>155</v>
      </c>
      <c r="B7" s="52" t="s">
        <v>1255</v>
      </c>
      <c r="C7" s="129" t="s">
        <v>33</v>
      </c>
      <c r="D7" s="129" t="s">
        <v>10</v>
      </c>
      <c r="E7" s="129" t="s">
        <v>165</v>
      </c>
      <c r="F7" s="130" t="s">
        <v>1266</v>
      </c>
      <c r="G7" s="159" t="s">
        <v>1272</v>
      </c>
      <c r="H7" s="145">
        <v>2017.03</v>
      </c>
      <c r="I7" s="134">
        <v>1495.76</v>
      </c>
      <c r="J7" s="3">
        <v>185851270375</v>
      </c>
      <c r="K7" s="32">
        <v>124252000000</v>
      </c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</row>
    <row r="8" spans="1:109">
      <c r="A8" s="51" t="s">
        <v>155</v>
      </c>
      <c r="B8" s="52" t="s">
        <v>1256</v>
      </c>
      <c r="C8" s="129" t="s">
        <v>33</v>
      </c>
      <c r="D8" s="129" t="s">
        <v>10</v>
      </c>
      <c r="E8" s="129" t="s">
        <v>165</v>
      </c>
      <c r="F8" s="130" t="s">
        <v>1266</v>
      </c>
      <c r="G8" s="159" t="s">
        <v>1273</v>
      </c>
      <c r="H8" s="145">
        <v>2017.03</v>
      </c>
      <c r="I8" s="134">
        <v>1504.51</v>
      </c>
      <c r="J8" s="3">
        <v>245809922393</v>
      </c>
      <c r="K8" s="32">
        <v>163382000000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</row>
    <row r="9" spans="1:109">
      <c r="A9" s="51" t="s">
        <v>155</v>
      </c>
      <c r="B9" s="52" t="s">
        <v>1282</v>
      </c>
      <c r="C9" s="129" t="s">
        <v>33</v>
      </c>
      <c r="D9" s="129" t="s">
        <v>10</v>
      </c>
      <c r="E9" s="129" t="s">
        <v>165</v>
      </c>
      <c r="F9" s="130" t="s">
        <v>1266</v>
      </c>
      <c r="G9" s="127" t="s">
        <v>1274</v>
      </c>
      <c r="H9" s="145">
        <v>2017.11</v>
      </c>
      <c r="I9" s="134">
        <v>1228.99</v>
      </c>
      <c r="J9" s="3">
        <v>12811973855</v>
      </c>
      <c r="K9" s="32">
        <v>10425000000</v>
      </c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</row>
    <row r="10" spans="1:109">
      <c r="A10" s="51" t="s">
        <v>155</v>
      </c>
      <c r="B10" s="52" t="s">
        <v>1257</v>
      </c>
      <c r="C10" s="129" t="s">
        <v>33</v>
      </c>
      <c r="D10" s="129" t="s">
        <v>10</v>
      </c>
      <c r="E10" s="129" t="s">
        <v>165</v>
      </c>
      <c r="F10" s="130" t="s">
        <v>1266</v>
      </c>
      <c r="G10" s="159" t="s">
        <v>1275</v>
      </c>
      <c r="H10" s="165">
        <v>2017.11</v>
      </c>
      <c r="I10" s="134">
        <v>1089.27</v>
      </c>
      <c r="J10" s="3">
        <v>10783907911</v>
      </c>
      <c r="K10" s="32">
        <v>9900000000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</row>
    <row r="11" spans="1:109" s="177" customFormat="1">
      <c r="A11" s="168" t="s">
        <v>148</v>
      </c>
      <c r="B11" s="169" t="s">
        <v>1258</v>
      </c>
      <c r="C11" s="170" t="s">
        <v>33</v>
      </c>
      <c r="D11" s="170" t="s">
        <v>1265</v>
      </c>
      <c r="E11" s="170" t="s">
        <v>165</v>
      </c>
      <c r="F11" s="171" t="s">
        <v>1266</v>
      </c>
      <c r="G11" s="172" t="s">
        <v>1276</v>
      </c>
      <c r="H11" s="173">
        <v>2019.09</v>
      </c>
      <c r="I11" s="174">
        <v>1332.52</v>
      </c>
      <c r="J11" s="175">
        <v>57491883133</v>
      </c>
      <c r="K11" s="176">
        <v>43145000000</v>
      </c>
    </row>
    <row r="12" spans="1:109">
      <c r="A12" s="51" t="s">
        <v>155</v>
      </c>
      <c r="B12" s="136" t="s">
        <v>1259</v>
      </c>
      <c r="C12" s="129" t="s">
        <v>33</v>
      </c>
      <c r="D12" s="129" t="s">
        <v>10</v>
      </c>
      <c r="E12" s="129" t="s">
        <v>165</v>
      </c>
      <c r="F12" s="130" t="s">
        <v>1266</v>
      </c>
      <c r="G12" s="160" t="s">
        <v>1283</v>
      </c>
      <c r="H12" s="145">
        <v>2019.09</v>
      </c>
      <c r="I12" s="134">
        <v>1282.55</v>
      </c>
      <c r="J12" s="3">
        <v>33795090323</v>
      </c>
      <c r="K12" s="32">
        <v>26350000000</v>
      </c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</row>
    <row r="13" spans="1:109">
      <c r="A13" s="51" t="s">
        <v>155</v>
      </c>
      <c r="B13" s="52" t="s">
        <v>1260</v>
      </c>
      <c r="C13" s="129" t="s">
        <v>33</v>
      </c>
      <c r="D13" s="129" t="s">
        <v>10</v>
      </c>
      <c r="E13" s="129" t="s">
        <v>165</v>
      </c>
      <c r="F13" s="130" t="s">
        <v>1266</v>
      </c>
      <c r="G13" s="127" t="s">
        <v>1281</v>
      </c>
      <c r="H13" s="145">
        <v>2021.02</v>
      </c>
      <c r="I13" s="134">
        <v>969.69</v>
      </c>
      <c r="J13" s="3">
        <v>5199324937</v>
      </c>
      <c r="K13" s="32">
        <v>5352000000</v>
      </c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</row>
    <row r="14" spans="1:109">
      <c r="A14" s="51" t="s">
        <v>155</v>
      </c>
      <c r="B14" s="52" t="s">
        <v>1261</v>
      </c>
      <c r="C14" s="129" t="s">
        <v>33</v>
      </c>
      <c r="D14" s="129" t="s">
        <v>10</v>
      </c>
      <c r="E14" s="129" t="s">
        <v>58</v>
      </c>
      <c r="F14" s="130" t="s">
        <v>1266</v>
      </c>
      <c r="G14" s="127" t="s">
        <v>1277</v>
      </c>
      <c r="H14" s="145">
        <v>2022.03</v>
      </c>
      <c r="I14" s="134">
        <v>995.98</v>
      </c>
      <c r="J14" s="3">
        <v>2589659810</v>
      </c>
      <c r="K14" s="32">
        <v>2600000000</v>
      </c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</row>
    <row r="15" spans="1:109" s="177" customFormat="1">
      <c r="A15" s="168" t="s">
        <v>155</v>
      </c>
      <c r="B15" s="178" t="s">
        <v>1262</v>
      </c>
      <c r="C15" s="170" t="s">
        <v>33</v>
      </c>
      <c r="D15" s="170" t="s">
        <v>1265</v>
      </c>
      <c r="E15" s="170" t="s">
        <v>58</v>
      </c>
      <c r="F15" s="171" t="s">
        <v>1266</v>
      </c>
      <c r="G15" s="179" t="s">
        <v>1279</v>
      </c>
      <c r="H15" s="173">
        <v>2022.03</v>
      </c>
      <c r="I15" s="174">
        <v>997.22</v>
      </c>
      <c r="J15" s="175">
        <v>5056007745</v>
      </c>
      <c r="K15" s="176">
        <v>5070000000</v>
      </c>
    </row>
    <row r="16" spans="1:109">
      <c r="A16" s="51" t="s">
        <v>155</v>
      </c>
      <c r="B16" s="137" t="s">
        <v>1263</v>
      </c>
      <c r="C16" s="129" t="s">
        <v>33</v>
      </c>
      <c r="D16" s="129" t="s">
        <v>10</v>
      </c>
      <c r="E16" s="129" t="s">
        <v>58</v>
      </c>
      <c r="F16" s="130" t="s">
        <v>1266</v>
      </c>
      <c r="G16" s="127" t="s">
        <v>1278</v>
      </c>
      <c r="H16" s="145">
        <v>2022.03</v>
      </c>
      <c r="I16" s="134">
        <v>995.98</v>
      </c>
      <c r="J16" s="3">
        <v>2589659810</v>
      </c>
      <c r="K16" s="32">
        <v>2600000000</v>
      </c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</row>
    <row r="17" spans="1:109" s="177" customFormat="1">
      <c r="A17" s="180" t="s">
        <v>155</v>
      </c>
      <c r="B17" s="178" t="s">
        <v>1264</v>
      </c>
      <c r="C17" s="170" t="s">
        <v>33</v>
      </c>
      <c r="D17" s="170" t="s">
        <v>1265</v>
      </c>
      <c r="E17" s="170" t="s">
        <v>58</v>
      </c>
      <c r="F17" s="171" t="s">
        <v>1266</v>
      </c>
      <c r="G17" s="179" t="s">
        <v>1280</v>
      </c>
      <c r="H17" s="181">
        <v>2022.03</v>
      </c>
      <c r="I17" s="182">
        <v>997.22</v>
      </c>
      <c r="J17" s="183">
        <v>5056007745</v>
      </c>
      <c r="K17" s="184">
        <v>5070000000</v>
      </c>
    </row>
    <row r="18" spans="1:109">
      <c r="A18" s="51" t="s">
        <v>155</v>
      </c>
      <c r="B18" s="52"/>
      <c r="C18" s="52"/>
      <c r="D18" s="52"/>
      <c r="E18" s="52"/>
      <c r="F18" s="130"/>
      <c r="G18" s="127"/>
      <c r="H18" s="145"/>
      <c r="I18" s="30"/>
      <c r="J18" s="3"/>
      <c r="K18" s="31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</row>
    <row r="19" spans="1:109">
      <c r="A19" s="51" t="s">
        <v>148</v>
      </c>
      <c r="B19" s="52"/>
      <c r="C19" s="52"/>
      <c r="D19" s="52"/>
      <c r="E19" s="53"/>
      <c r="F19" s="130"/>
      <c r="G19" s="127"/>
      <c r="H19" s="145"/>
      <c r="I19" s="30"/>
      <c r="J19" s="3"/>
      <c r="K19" s="31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</row>
    <row r="20" spans="1:109">
      <c r="A20" s="51" t="s">
        <v>155</v>
      </c>
      <c r="B20" s="52"/>
      <c r="C20" s="52"/>
      <c r="D20" s="52"/>
      <c r="E20" s="53"/>
      <c r="F20" s="130"/>
      <c r="G20" s="127"/>
      <c r="H20" s="145"/>
      <c r="I20" s="30"/>
      <c r="J20" s="3"/>
      <c r="K20" s="31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</row>
    <row r="21" spans="1:109">
      <c r="A21" s="51" t="s">
        <v>155</v>
      </c>
      <c r="B21" s="52"/>
      <c r="C21" s="52"/>
      <c r="D21" s="52"/>
      <c r="E21" s="53"/>
      <c r="F21" s="130"/>
      <c r="G21" s="127"/>
      <c r="H21" s="145"/>
      <c r="I21" s="30"/>
      <c r="J21" s="3"/>
      <c r="K21" s="31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</row>
    <row r="22" spans="1:109">
      <c r="A22" s="51" t="s">
        <v>155</v>
      </c>
      <c r="B22" s="52"/>
      <c r="C22" s="52"/>
      <c r="D22" s="52"/>
      <c r="E22" s="53"/>
      <c r="F22" s="130"/>
      <c r="G22" s="127"/>
      <c r="H22" s="145"/>
      <c r="I22" s="30"/>
      <c r="J22" s="3"/>
      <c r="K22" s="31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</row>
    <row r="23" spans="1:109">
      <c r="A23" s="51" t="s">
        <v>155</v>
      </c>
      <c r="B23" s="52"/>
      <c r="C23" s="52"/>
      <c r="D23" s="52"/>
      <c r="E23" s="53"/>
      <c r="F23" s="130"/>
      <c r="G23" s="127"/>
      <c r="H23" s="145"/>
      <c r="I23" s="30"/>
      <c r="J23" s="3"/>
      <c r="K23" s="31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</row>
    <row r="24" spans="1:109">
      <c r="A24" s="142" t="s">
        <v>148</v>
      </c>
      <c r="B24" s="129"/>
      <c r="C24" s="129"/>
      <c r="D24" s="129"/>
      <c r="E24" s="143"/>
      <c r="F24" s="130"/>
      <c r="G24" s="130"/>
      <c r="H24" s="144"/>
      <c r="I24" s="131"/>
      <c r="J24" s="132"/>
      <c r="K24" s="133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</row>
    <row r="25" spans="1:109">
      <c r="A25" s="54" t="s">
        <v>148</v>
      </c>
      <c r="B25" s="52"/>
      <c r="C25" s="52"/>
      <c r="D25" s="52"/>
      <c r="E25" s="53"/>
      <c r="F25" s="127"/>
      <c r="G25" s="127"/>
      <c r="H25" s="145"/>
      <c r="I25" s="134"/>
      <c r="J25" s="3"/>
      <c r="K25" s="32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</row>
    <row r="26" spans="1:109">
      <c r="A26" s="55" t="s">
        <v>155</v>
      </c>
      <c r="B26" s="52"/>
      <c r="C26" s="52"/>
      <c r="D26" s="52"/>
      <c r="E26" s="53"/>
      <c r="F26" s="127"/>
      <c r="G26" s="127"/>
      <c r="H26" s="145"/>
      <c r="I26" s="134"/>
      <c r="J26" s="3"/>
      <c r="K26" s="32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</row>
    <row r="27" spans="1:109">
      <c r="A27" s="55" t="s">
        <v>148</v>
      </c>
      <c r="B27" s="52"/>
      <c r="C27" s="52"/>
      <c r="D27" s="52"/>
      <c r="E27" s="53"/>
      <c r="F27" s="127"/>
      <c r="G27" s="127"/>
      <c r="H27" s="145"/>
      <c r="I27" s="134"/>
      <c r="J27" s="3"/>
      <c r="K27" s="32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</row>
    <row r="28" spans="1:109">
      <c r="A28" s="55" t="s">
        <v>148</v>
      </c>
      <c r="B28" s="52"/>
      <c r="C28" s="52"/>
      <c r="D28" s="52"/>
      <c r="E28" s="53"/>
      <c r="F28" s="127"/>
      <c r="G28" s="127"/>
      <c r="H28" s="145"/>
      <c r="I28" s="134"/>
      <c r="J28" s="3"/>
      <c r="K28" s="32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</row>
    <row r="29" spans="1:109">
      <c r="A29" s="55" t="s">
        <v>155</v>
      </c>
      <c r="B29" s="52"/>
      <c r="C29" s="52"/>
      <c r="D29" s="52"/>
      <c r="E29" s="53"/>
      <c r="F29" s="127"/>
      <c r="G29" s="127"/>
      <c r="H29" s="145"/>
      <c r="I29" s="134"/>
      <c r="J29" s="3"/>
      <c r="K29" s="32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</row>
    <row r="30" spans="1:109">
      <c r="A30" s="55" t="s">
        <v>155</v>
      </c>
      <c r="B30" s="52"/>
      <c r="C30" s="52"/>
      <c r="D30" s="52"/>
      <c r="E30" s="53"/>
      <c r="F30" s="127"/>
      <c r="G30" s="127"/>
      <c r="H30" s="145"/>
      <c r="I30" s="134"/>
      <c r="J30" s="3"/>
      <c r="K30" s="32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</row>
    <row r="31" spans="1:109">
      <c r="A31" s="55" t="s">
        <v>155</v>
      </c>
      <c r="B31" s="52"/>
      <c r="C31" s="52"/>
      <c r="D31" s="52"/>
      <c r="E31" s="53"/>
      <c r="F31" s="127"/>
      <c r="G31" s="127"/>
      <c r="H31" s="145"/>
      <c r="I31" s="134"/>
      <c r="J31" s="3"/>
      <c r="K31" s="32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</row>
    <row r="32" spans="1:109">
      <c r="A32" s="55" t="s">
        <v>155</v>
      </c>
      <c r="B32" s="52"/>
      <c r="C32" s="52"/>
      <c r="D32" s="52"/>
      <c r="E32" s="53"/>
      <c r="F32" s="127"/>
      <c r="G32" s="127"/>
      <c r="H32" s="145"/>
      <c r="I32" s="134"/>
      <c r="J32" s="3"/>
      <c r="K32" s="32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</row>
    <row r="33" spans="1:109">
      <c r="A33" s="54" t="s">
        <v>155</v>
      </c>
      <c r="B33" s="52"/>
      <c r="C33" s="52"/>
      <c r="D33" s="52"/>
      <c r="E33" s="53"/>
      <c r="F33" s="127"/>
      <c r="G33" s="127"/>
      <c r="H33" s="145"/>
      <c r="I33" s="134"/>
      <c r="J33" s="3"/>
      <c r="K33" s="32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</row>
    <row r="34" spans="1:109">
      <c r="A34" s="54" t="s">
        <v>155</v>
      </c>
      <c r="B34" s="52"/>
      <c r="C34" s="52"/>
      <c r="D34" s="52"/>
      <c r="E34" s="53"/>
      <c r="F34" s="127"/>
      <c r="G34" s="127"/>
      <c r="H34" s="145"/>
      <c r="I34" s="134"/>
      <c r="J34" s="3"/>
      <c r="K34" s="32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</row>
    <row r="35" spans="1:109">
      <c r="A35" s="54" t="s">
        <v>155</v>
      </c>
      <c r="B35" s="52"/>
      <c r="C35" s="52"/>
      <c r="D35" s="52"/>
      <c r="E35" s="53"/>
      <c r="F35" s="127"/>
      <c r="G35" s="127"/>
      <c r="H35" s="145"/>
      <c r="I35" s="134"/>
      <c r="J35" s="3"/>
      <c r="K35" s="32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</row>
    <row r="36" spans="1:109">
      <c r="A36" s="146" t="s">
        <v>155</v>
      </c>
      <c r="B36" s="137"/>
      <c r="C36" s="137"/>
      <c r="D36" s="137"/>
      <c r="E36" s="138"/>
      <c r="F36" s="147"/>
      <c r="G36" s="147"/>
      <c r="H36" s="148"/>
      <c r="I36" s="139"/>
      <c r="J36" s="140"/>
      <c r="K36" s="141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</row>
    <row r="37" spans="1:109">
      <c r="A37" s="54" t="s">
        <v>155</v>
      </c>
      <c r="B37" s="149"/>
      <c r="C37" s="52"/>
      <c r="D37" s="52"/>
      <c r="E37" s="52"/>
      <c r="F37" s="52"/>
      <c r="G37" s="127"/>
      <c r="H37" s="24"/>
      <c r="I37" s="13"/>
      <c r="J37" s="14"/>
      <c r="K37" s="14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</row>
    <row r="38" spans="1:109">
      <c r="A38" s="54" t="s">
        <v>155</v>
      </c>
      <c r="B38" s="149"/>
      <c r="C38" s="52"/>
      <c r="D38" s="52"/>
      <c r="E38" s="52"/>
      <c r="F38" s="52"/>
      <c r="G38" s="127"/>
      <c r="H38" s="24"/>
      <c r="I38" s="13"/>
      <c r="J38" s="14"/>
      <c r="K38" s="14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</row>
    <row r="39" spans="1:109">
      <c r="A39" s="55" t="s">
        <v>148</v>
      </c>
      <c r="B39" s="149"/>
      <c r="C39" s="52"/>
      <c r="D39" s="52"/>
      <c r="E39" s="52"/>
      <c r="F39" s="52"/>
      <c r="G39" s="127"/>
      <c r="H39" s="24"/>
      <c r="I39" s="13"/>
      <c r="J39" s="14"/>
      <c r="K39" s="14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</row>
    <row r="40" spans="1:109">
      <c r="A40" s="54" t="s">
        <v>155</v>
      </c>
      <c r="B40" s="149"/>
      <c r="C40" s="52"/>
      <c r="D40" s="52"/>
      <c r="E40" s="52"/>
      <c r="F40" s="52"/>
      <c r="G40" s="127"/>
      <c r="H40" s="24"/>
      <c r="I40" s="13"/>
      <c r="J40" s="14"/>
      <c r="K40" s="14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</row>
    <row r="41" spans="1:109">
      <c r="A41" s="55" t="s">
        <v>155</v>
      </c>
      <c r="B41" s="149"/>
      <c r="C41" s="52"/>
      <c r="D41" s="52"/>
      <c r="E41" s="52"/>
      <c r="F41" s="52"/>
      <c r="G41" s="127"/>
      <c r="H41" s="24"/>
      <c r="I41" s="13"/>
      <c r="J41" s="14"/>
      <c r="K41" s="14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</row>
    <row r="42" spans="1:109">
      <c r="A42" s="54" t="s">
        <v>155</v>
      </c>
      <c r="B42" s="149"/>
      <c r="C42" s="52"/>
      <c r="D42" s="52"/>
      <c r="E42" s="52"/>
      <c r="F42" s="52"/>
      <c r="G42" s="127"/>
      <c r="H42" s="24"/>
      <c r="I42" s="13"/>
      <c r="J42" s="14"/>
      <c r="K42" s="14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</row>
    <row r="43" spans="1:109">
      <c r="A43" s="54" t="s">
        <v>155</v>
      </c>
      <c r="B43" s="149"/>
      <c r="C43" s="52"/>
      <c r="D43" s="52"/>
      <c r="E43" s="52"/>
      <c r="F43" s="52"/>
      <c r="G43" s="73"/>
      <c r="H43" s="24"/>
      <c r="I43" s="13"/>
      <c r="J43" s="14"/>
      <c r="K43" s="14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</row>
    <row r="44" spans="1:109">
      <c r="A44" s="150" t="s">
        <v>732</v>
      </c>
      <c r="B44" s="82"/>
      <c r="C44" s="82"/>
      <c r="D44" s="82"/>
      <c r="E44" s="82"/>
      <c r="F44" s="82"/>
      <c r="G44" s="161"/>
      <c r="H44" s="151"/>
      <c r="I44" s="152"/>
      <c r="J44" s="153"/>
      <c r="K44" s="153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</row>
    <row r="45" spans="1:109">
      <c r="A45" s="154" t="s">
        <v>155</v>
      </c>
      <c r="B45" s="39"/>
      <c r="C45" s="39"/>
      <c r="D45" s="39"/>
      <c r="E45" s="39"/>
      <c r="F45" s="39"/>
      <c r="G45" s="162"/>
      <c r="H45" s="24"/>
      <c r="I45" s="78"/>
      <c r="J45" s="14"/>
      <c r="K45" s="14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</row>
    <row r="46" spans="1:109">
      <c r="A46" s="154" t="s">
        <v>155</v>
      </c>
      <c r="B46" s="12"/>
      <c r="C46" s="39"/>
      <c r="D46" s="39"/>
      <c r="E46" s="39"/>
      <c r="F46" s="39"/>
      <c r="G46" s="162"/>
      <c r="H46" s="24"/>
      <c r="I46" s="78"/>
      <c r="J46" s="14"/>
      <c r="K46" s="14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</row>
    <row r="47" spans="1:109">
      <c r="A47" s="154" t="s">
        <v>155</v>
      </c>
      <c r="B47" s="12"/>
      <c r="C47" s="39"/>
      <c r="D47" s="39"/>
      <c r="E47" s="39"/>
      <c r="F47" s="39"/>
      <c r="G47" s="162"/>
      <c r="H47" s="24"/>
      <c r="I47" s="78"/>
      <c r="J47" s="14"/>
      <c r="K47" s="14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</row>
    <row r="48" spans="1:109">
      <c r="A48" s="154" t="s">
        <v>155</v>
      </c>
      <c r="B48" s="12"/>
      <c r="C48" s="39"/>
      <c r="D48" s="39"/>
      <c r="E48" s="39"/>
      <c r="F48" s="39"/>
      <c r="G48" s="162"/>
      <c r="H48" s="24"/>
      <c r="I48" s="78"/>
      <c r="J48" s="14"/>
      <c r="K48" s="14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</row>
    <row r="49" spans="1:109">
      <c r="A49" s="154" t="s">
        <v>155</v>
      </c>
      <c r="B49" s="12"/>
      <c r="C49" s="39"/>
      <c r="D49" s="39"/>
      <c r="E49" s="39"/>
      <c r="F49" s="39"/>
      <c r="G49" s="162"/>
      <c r="H49" s="24"/>
      <c r="I49" s="78"/>
      <c r="J49" s="14"/>
      <c r="K49" s="14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</row>
    <row r="50" spans="1:109">
      <c r="A50" s="154" t="s">
        <v>155</v>
      </c>
      <c r="B50" s="12"/>
      <c r="C50" s="39"/>
      <c r="D50" s="39"/>
      <c r="E50" s="39"/>
      <c r="F50" s="39"/>
      <c r="G50" s="162"/>
      <c r="H50" s="24"/>
      <c r="I50" s="78"/>
      <c r="J50" s="14"/>
      <c r="K50" s="14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</row>
    <row r="51" spans="1:109">
      <c r="A51" s="154" t="s">
        <v>155</v>
      </c>
      <c r="B51" s="12"/>
      <c r="C51" s="39"/>
      <c r="D51" s="39"/>
      <c r="E51" s="39"/>
      <c r="F51" s="39"/>
      <c r="G51" s="162"/>
      <c r="H51" s="24"/>
      <c r="I51" s="78"/>
      <c r="J51" s="14"/>
      <c r="K51" s="14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</row>
    <row r="52" spans="1:109">
      <c r="A52" s="154" t="s">
        <v>155</v>
      </c>
      <c r="B52" s="12"/>
      <c r="C52" s="39"/>
      <c r="D52" s="39"/>
      <c r="E52" s="39"/>
      <c r="F52" s="39"/>
      <c r="G52" s="162"/>
      <c r="H52" s="24"/>
      <c r="I52" s="78"/>
      <c r="J52" s="14"/>
      <c r="K52" s="14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</row>
    <row r="53" spans="1:109">
      <c r="A53" s="154" t="s">
        <v>155</v>
      </c>
      <c r="B53" s="12"/>
      <c r="C53" s="39"/>
      <c r="D53" s="39"/>
      <c r="E53" s="39"/>
      <c r="F53" s="39"/>
      <c r="G53" s="162"/>
      <c r="H53" s="24"/>
      <c r="I53" s="78"/>
      <c r="J53" s="14"/>
      <c r="K53" s="14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</row>
    <row r="54" spans="1:109">
      <c r="A54" s="155" t="s">
        <v>155</v>
      </c>
      <c r="B54" s="12"/>
      <c r="C54" s="39"/>
      <c r="D54" s="39"/>
      <c r="E54" s="39"/>
      <c r="F54" s="39"/>
      <c r="G54" s="162"/>
      <c r="H54" s="24"/>
      <c r="I54" s="78"/>
      <c r="J54" s="14"/>
      <c r="K54" s="14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</row>
    <row r="55" spans="1:109">
      <c r="A55" s="155" t="s">
        <v>155</v>
      </c>
      <c r="B55" s="12"/>
      <c r="C55" s="39"/>
      <c r="D55" s="39"/>
      <c r="E55" s="39"/>
      <c r="F55" s="39"/>
      <c r="G55" s="162"/>
      <c r="H55" s="24"/>
      <c r="I55" s="78"/>
      <c r="J55" s="14"/>
      <c r="K55" s="14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</row>
    <row r="56" spans="1:109">
      <c r="A56" s="154" t="s">
        <v>155</v>
      </c>
      <c r="B56" s="16"/>
      <c r="C56" s="39"/>
      <c r="D56" s="39"/>
      <c r="E56" s="39"/>
      <c r="F56" s="39"/>
      <c r="G56" s="162"/>
      <c r="H56" s="24"/>
      <c r="I56" s="78"/>
      <c r="J56" s="14"/>
      <c r="K56" s="14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</row>
    <row r="57" spans="1:109">
      <c r="A57" s="156" t="s">
        <v>155</v>
      </c>
      <c r="B57" s="82"/>
      <c r="C57" s="82"/>
      <c r="D57" s="82"/>
      <c r="E57" s="82"/>
      <c r="F57" s="82"/>
      <c r="G57" s="82"/>
      <c r="H57" s="151"/>
      <c r="I57" s="152"/>
      <c r="J57" s="153"/>
      <c r="K57" s="153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</row>
    <row r="58" spans="1:109">
      <c r="A58" s="12" t="s">
        <v>155</v>
      </c>
      <c r="B58" s="12"/>
      <c r="C58" s="39"/>
      <c r="D58" s="39"/>
      <c r="E58" s="82"/>
      <c r="F58" s="39"/>
      <c r="G58" s="82"/>
      <c r="H58" s="24"/>
      <c r="I58" s="78"/>
      <c r="J58" s="14"/>
      <c r="K58" s="14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</row>
    <row r="59" spans="1:109">
      <c r="A59" s="12" t="s">
        <v>155</v>
      </c>
      <c r="B59" s="12"/>
      <c r="C59" s="39"/>
      <c r="D59" s="39"/>
      <c r="E59" s="82"/>
      <c r="F59" s="39"/>
      <c r="G59" s="82"/>
      <c r="H59" s="24"/>
      <c r="I59" s="78"/>
      <c r="J59" s="14"/>
      <c r="K59" s="14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</row>
    <row r="60" spans="1:109" s="79" customFormat="1">
      <c r="A60" s="12" t="s">
        <v>155</v>
      </c>
      <c r="B60" s="12"/>
      <c r="C60" s="39"/>
      <c r="D60" s="39"/>
      <c r="E60" s="82"/>
      <c r="F60" s="39"/>
      <c r="G60" s="82"/>
      <c r="H60" s="24"/>
      <c r="I60" s="78"/>
      <c r="J60" s="14"/>
      <c r="K60" s="14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</row>
    <row r="61" spans="1:109">
      <c r="A61" s="12" t="s">
        <v>155</v>
      </c>
      <c r="B61" s="12"/>
      <c r="C61" s="39"/>
      <c r="D61" s="39"/>
      <c r="E61" s="82"/>
      <c r="F61" s="39"/>
      <c r="G61" s="82"/>
      <c r="H61" s="24"/>
      <c r="I61" s="78"/>
      <c r="J61" s="14"/>
      <c r="K61" s="14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</row>
    <row r="62" spans="1:109">
      <c r="A62" s="12" t="s">
        <v>155</v>
      </c>
      <c r="B62" s="12"/>
      <c r="C62" s="39"/>
      <c r="D62" s="39"/>
      <c r="E62" s="82"/>
      <c r="F62" s="39"/>
      <c r="G62" s="82"/>
      <c r="H62" s="24"/>
      <c r="I62" s="78"/>
      <c r="J62" s="14"/>
      <c r="K62" s="14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</row>
    <row r="63" spans="1:109" s="79" customFormat="1">
      <c r="A63" s="12" t="s">
        <v>155</v>
      </c>
      <c r="B63" s="12"/>
      <c r="C63" s="39"/>
      <c r="D63" s="39"/>
      <c r="E63" s="82"/>
      <c r="F63" s="39"/>
      <c r="G63" s="82"/>
      <c r="H63" s="24"/>
      <c r="I63" s="78"/>
      <c r="J63" s="14"/>
      <c r="K63" s="14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</row>
    <row r="64" spans="1:109">
      <c r="A64" s="12" t="s">
        <v>155</v>
      </c>
      <c r="B64" s="12"/>
      <c r="C64" s="39"/>
      <c r="D64" s="39"/>
      <c r="E64" s="82"/>
      <c r="F64" s="39"/>
      <c r="G64" s="82"/>
      <c r="H64" s="24"/>
      <c r="I64" s="78"/>
      <c r="J64" s="14"/>
      <c r="K64" s="14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</row>
    <row r="65" spans="1:109">
      <c r="A65" s="12" t="s">
        <v>155</v>
      </c>
      <c r="B65" s="12"/>
      <c r="C65" s="39"/>
      <c r="D65" s="39"/>
      <c r="E65" s="82"/>
      <c r="F65" s="39"/>
      <c r="G65" s="82"/>
      <c r="H65" s="24"/>
      <c r="I65" s="78"/>
      <c r="J65" s="14"/>
      <c r="K65" s="14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</row>
    <row r="66" spans="1:109">
      <c r="A66" s="12" t="s">
        <v>155</v>
      </c>
      <c r="B66" s="12"/>
      <c r="C66" s="39"/>
      <c r="D66" s="39"/>
      <c r="E66" s="82"/>
      <c r="F66" s="39"/>
      <c r="G66" s="82"/>
      <c r="H66" s="24"/>
      <c r="I66" s="78"/>
      <c r="J66" s="14"/>
      <c r="K66" s="14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</row>
    <row r="67" spans="1:109">
      <c r="A67" s="12" t="s">
        <v>155</v>
      </c>
      <c r="B67" s="12"/>
      <c r="C67" s="39"/>
      <c r="D67" s="39"/>
      <c r="E67" s="82"/>
      <c r="F67" s="39"/>
      <c r="G67" s="82"/>
      <c r="H67" s="24"/>
      <c r="I67" s="78"/>
      <c r="J67" s="14"/>
      <c r="K67" s="14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</row>
    <row r="68" spans="1:109">
      <c r="A68" s="12" t="s">
        <v>155</v>
      </c>
      <c r="B68" s="12"/>
      <c r="C68" s="39"/>
      <c r="D68" s="39"/>
      <c r="E68" s="82"/>
      <c r="F68" s="39"/>
      <c r="G68" s="82"/>
      <c r="H68" s="24"/>
      <c r="I68" s="78"/>
      <c r="J68" s="14"/>
      <c r="K68" s="14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</row>
    <row r="69" spans="1:109">
      <c r="A69" s="157" t="s">
        <v>155</v>
      </c>
      <c r="B69" s="12"/>
      <c r="C69" s="39"/>
      <c r="D69" s="39"/>
      <c r="E69" s="82"/>
      <c r="F69" s="39"/>
      <c r="G69" s="82"/>
      <c r="H69" s="24"/>
      <c r="I69" s="78"/>
      <c r="J69" s="14"/>
      <c r="K69" s="14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</row>
    <row r="70" spans="1:109">
      <c r="A70" s="12" t="s">
        <v>155</v>
      </c>
      <c r="B70" s="12"/>
      <c r="C70" s="39"/>
      <c r="D70" s="39"/>
      <c r="E70" s="82"/>
      <c r="F70" s="39"/>
      <c r="G70" s="82"/>
      <c r="H70" s="24"/>
      <c r="I70" s="78"/>
      <c r="J70" s="14"/>
      <c r="K70" s="14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</row>
    <row r="71" spans="1:109">
      <c r="A71" s="12" t="s">
        <v>155</v>
      </c>
      <c r="B71" s="12"/>
      <c r="C71" s="39"/>
      <c r="D71" s="39"/>
      <c r="E71" s="82"/>
      <c r="F71" s="39"/>
      <c r="G71" s="163"/>
      <c r="H71" s="24"/>
      <c r="I71" s="78"/>
      <c r="J71" s="14"/>
      <c r="K71" s="14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</row>
    <row r="72" spans="1:109">
      <c r="A72" s="12" t="s">
        <v>155</v>
      </c>
      <c r="B72" s="12"/>
      <c r="C72" s="39"/>
      <c r="D72" s="39"/>
      <c r="E72" s="82"/>
      <c r="F72" s="39"/>
      <c r="G72" s="82"/>
      <c r="H72" s="24"/>
      <c r="I72" s="78"/>
      <c r="J72" s="14"/>
      <c r="K72" s="14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</row>
    <row r="73" spans="1:109">
      <c r="A73" s="12" t="s">
        <v>155</v>
      </c>
      <c r="B73" s="12"/>
      <c r="C73" s="39"/>
      <c r="D73" s="39"/>
      <c r="E73" s="82"/>
      <c r="F73" s="39"/>
      <c r="G73" s="82"/>
      <c r="H73" s="24"/>
      <c r="I73" s="78"/>
      <c r="J73" s="14"/>
      <c r="K73" s="14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</row>
    <row r="74" spans="1:109">
      <c r="A74" s="12" t="s">
        <v>155</v>
      </c>
      <c r="B74" s="12"/>
      <c r="C74" s="39"/>
      <c r="D74" s="39"/>
      <c r="E74" s="82"/>
      <c r="F74" s="39"/>
      <c r="G74" s="82"/>
      <c r="H74" s="24"/>
      <c r="I74" s="78"/>
      <c r="J74" s="14"/>
      <c r="K74" s="14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</row>
    <row r="75" spans="1:109" s="37" customFormat="1">
      <c r="A75" s="12" t="s">
        <v>155</v>
      </c>
      <c r="B75" s="12"/>
      <c r="C75" s="39"/>
      <c r="D75" s="39"/>
      <c r="E75" s="82"/>
      <c r="F75" s="39"/>
      <c r="G75" s="82"/>
      <c r="H75" s="24"/>
      <c r="I75" s="78"/>
      <c r="J75" s="14"/>
      <c r="K75" s="14"/>
    </row>
    <row r="76" spans="1:109" s="37" customFormat="1">
      <c r="A76" s="12" t="s">
        <v>155</v>
      </c>
      <c r="B76" s="12"/>
      <c r="C76" s="39"/>
      <c r="D76" s="39"/>
      <c r="E76" s="82"/>
      <c r="F76" s="39"/>
      <c r="G76" s="82"/>
      <c r="H76" s="24"/>
      <c r="I76" s="78"/>
      <c r="J76" s="14"/>
      <c r="K76" s="14"/>
    </row>
    <row r="77" spans="1:109" s="37" customFormat="1">
      <c r="A77" s="12" t="s">
        <v>155</v>
      </c>
      <c r="B77" s="12"/>
      <c r="C77" s="39"/>
      <c r="D77" s="39"/>
      <c r="E77" s="82"/>
      <c r="F77" s="39"/>
      <c r="G77" s="82"/>
      <c r="H77" s="24"/>
      <c r="I77" s="78"/>
      <c r="J77" s="14"/>
      <c r="K77" s="14"/>
    </row>
    <row r="78" spans="1:109" s="37" customFormat="1">
      <c r="A78" s="12" t="s">
        <v>155</v>
      </c>
      <c r="B78" s="12"/>
      <c r="C78" s="39"/>
      <c r="D78" s="39"/>
      <c r="E78" s="82"/>
      <c r="F78" s="39"/>
      <c r="G78" s="82"/>
      <c r="H78" s="24"/>
      <c r="I78" s="78"/>
      <c r="J78" s="14"/>
      <c r="K78" s="14"/>
    </row>
    <row r="79" spans="1:109" s="37" customFormat="1">
      <c r="A79" s="12" t="s">
        <v>155</v>
      </c>
      <c r="B79" s="12"/>
      <c r="C79" s="39"/>
      <c r="D79" s="39"/>
      <c r="E79" s="82"/>
      <c r="F79" s="39"/>
      <c r="G79" s="82"/>
      <c r="H79" s="24"/>
      <c r="I79" s="78"/>
      <c r="J79" s="14"/>
      <c r="K79" s="14"/>
    </row>
    <row r="80" spans="1:109" s="37" customFormat="1">
      <c r="A80" s="12" t="s">
        <v>155</v>
      </c>
      <c r="B80" s="12"/>
      <c r="C80" s="39"/>
      <c r="D80" s="39"/>
      <c r="E80" s="82"/>
      <c r="F80" s="39"/>
      <c r="G80" s="82"/>
      <c r="H80" s="24"/>
      <c r="I80" s="78"/>
      <c r="J80" s="14"/>
      <c r="K80" s="14"/>
    </row>
    <row r="81" spans="1:109" s="37" customFormat="1">
      <c r="A81" s="12" t="s">
        <v>155</v>
      </c>
      <c r="B81" s="12"/>
      <c r="C81" s="39"/>
      <c r="D81" s="39"/>
      <c r="E81" s="82"/>
      <c r="F81" s="39"/>
      <c r="G81" s="82"/>
      <c r="H81" s="24"/>
      <c r="I81" s="78"/>
      <c r="J81" s="14"/>
      <c r="K81" s="14"/>
    </row>
    <row r="82" spans="1:109" s="83" customFormat="1">
      <c r="A82" s="12" t="s">
        <v>155</v>
      </c>
      <c r="B82" s="12"/>
      <c r="C82" s="39"/>
      <c r="D82" s="39"/>
      <c r="E82" s="82"/>
      <c r="F82" s="39"/>
      <c r="G82" s="82"/>
      <c r="H82" s="24"/>
      <c r="I82" s="78"/>
      <c r="J82" s="14"/>
      <c r="K82" s="14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</row>
    <row r="83" spans="1:109" s="83" customFormat="1">
      <c r="A83" s="12" t="s">
        <v>155</v>
      </c>
      <c r="B83" s="12"/>
      <c r="C83" s="39"/>
      <c r="D83" s="39"/>
      <c r="E83" s="82"/>
      <c r="F83" s="39"/>
      <c r="G83" s="82"/>
      <c r="H83" s="24"/>
      <c r="I83" s="78"/>
      <c r="J83" s="14"/>
      <c r="K83" s="14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</row>
    <row r="84" spans="1:109" s="86" customFormat="1">
      <c r="A84" s="12" t="s">
        <v>155</v>
      </c>
      <c r="B84" s="12"/>
      <c r="C84" s="39"/>
      <c r="D84" s="39"/>
      <c r="E84" s="82"/>
      <c r="F84" s="39"/>
      <c r="G84" s="82"/>
      <c r="H84" s="24"/>
      <c r="I84" s="78"/>
      <c r="J84" s="14"/>
      <c r="K84" s="14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</row>
    <row r="85" spans="1:109">
      <c r="A85" s="37"/>
      <c r="B85" s="37"/>
      <c r="C85" s="37"/>
      <c r="D85" s="37"/>
      <c r="E85" s="37"/>
      <c r="F85" s="37"/>
      <c r="G85" s="163"/>
      <c r="H85" s="166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</row>
    <row r="86" spans="1:109">
      <c r="A86" s="37"/>
      <c r="B86" s="37"/>
      <c r="C86" s="37"/>
      <c r="D86" s="37"/>
      <c r="E86" s="37"/>
      <c r="F86" s="37"/>
      <c r="G86" s="163"/>
      <c r="H86" s="166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</row>
    <row r="87" spans="1:109">
      <c r="A87" s="37"/>
      <c r="B87" s="37"/>
      <c r="C87" s="37"/>
      <c r="D87" s="37"/>
      <c r="E87" s="37"/>
      <c r="F87" s="37"/>
      <c r="G87" s="163"/>
      <c r="H87" s="166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</row>
    <row r="88" spans="1:109">
      <c r="A88" s="37"/>
      <c r="B88" s="37"/>
      <c r="C88" s="37"/>
      <c r="D88" s="37"/>
      <c r="E88" s="37"/>
      <c r="F88" s="37"/>
      <c r="G88" s="163"/>
      <c r="H88" s="166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</row>
    <row r="89" spans="1:109">
      <c r="A89" s="37"/>
      <c r="B89" s="37"/>
      <c r="C89" s="37"/>
      <c r="D89" s="37"/>
      <c r="E89" s="37"/>
      <c r="F89" s="37"/>
      <c r="G89" s="163"/>
      <c r="H89" s="166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theme="9" tint="0.59999389629810485"/>
  </sheetPr>
  <dimension ref="A1:J11"/>
  <sheetViews>
    <sheetView topLeftCell="G1" workbookViewId="0">
      <selection activeCell="I16" sqref="I16"/>
    </sheetView>
  </sheetViews>
  <sheetFormatPr defaultRowHeight="16.5"/>
  <cols>
    <col min="1" max="1" width="17.25" bestFit="1" customWidth="1"/>
    <col min="4" max="4" width="15.125" bestFit="1" customWidth="1"/>
    <col min="6" max="6" width="77.125" bestFit="1" customWidth="1"/>
    <col min="7" max="7" width="11.125" bestFit="1" customWidth="1"/>
    <col min="9" max="10" width="18.375" style="482" bestFit="1" customWidth="1"/>
  </cols>
  <sheetData>
    <row r="1" spans="1:10">
      <c r="A1" s="972" t="s">
        <v>2090</v>
      </c>
      <c r="B1" s="972" t="s">
        <v>2091</v>
      </c>
      <c r="C1" s="972" t="s">
        <v>2092</v>
      </c>
      <c r="D1" s="972" t="s">
        <v>2093</v>
      </c>
      <c r="E1" s="972" t="s">
        <v>2094</v>
      </c>
      <c r="F1" s="972" t="s">
        <v>2095</v>
      </c>
      <c r="G1" s="972" t="s">
        <v>2096</v>
      </c>
      <c r="H1" s="972" t="s">
        <v>2097</v>
      </c>
      <c r="I1" s="1049" t="s">
        <v>2098</v>
      </c>
      <c r="J1" s="1049" t="s">
        <v>2099</v>
      </c>
    </row>
    <row r="2" spans="1:10">
      <c r="A2" s="38" t="s">
        <v>2130</v>
      </c>
      <c r="B2" s="38" t="s">
        <v>48</v>
      </c>
      <c r="C2" s="38" t="s">
        <v>19</v>
      </c>
      <c r="D2" s="38" t="s">
        <v>1861</v>
      </c>
      <c r="E2" s="38" t="s">
        <v>29</v>
      </c>
      <c r="F2" s="38" t="s">
        <v>2147</v>
      </c>
      <c r="G2" s="479" t="s">
        <v>2137</v>
      </c>
      <c r="H2" s="237" t="s">
        <v>2148</v>
      </c>
      <c r="I2" s="481">
        <v>11051459082</v>
      </c>
      <c r="J2" s="481">
        <v>11518474554</v>
      </c>
    </row>
    <row r="3" spans="1:10">
      <c r="A3" s="38" t="s">
        <v>2130</v>
      </c>
      <c r="B3" s="38" t="s">
        <v>2131</v>
      </c>
      <c r="C3" s="38" t="s">
        <v>19</v>
      </c>
      <c r="D3" s="38" t="s">
        <v>2150</v>
      </c>
      <c r="E3" s="38" t="s">
        <v>58</v>
      </c>
      <c r="F3" s="38" t="s">
        <v>2149</v>
      </c>
      <c r="G3" s="480" t="s">
        <v>2138</v>
      </c>
      <c r="H3" s="237" t="s">
        <v>2151</v>
      </c>
      <c r="I3" s="481">
        <v>88382012.780000001</v>
      </c>
      <c r="J3" s="481">
        <v>83733182</v>
      </c>
    </row>
    <row r="4" spans="1:10">
      <c r="A4" s="38" t="s">
        <v>2130</v>
      </c>
      <c r="B4" s="38">
        <v>280301</v>
      </c>
      <c r="C4" s="38" t="s">
        <v>19</v>
      </c>
      <c r="D4" s="38" t="s">
        <v>2153</v>
      </c>
      <c r="E4" s="38" t="s">
        <v>28</v>
      </c>
      <c r="F4" s="38" t="s">
        <v>2152</v>
      </c>
      <c r="G4" s="480" t="s">
        <v>2139</v>
      </c>
      <c r="H4" s="237" t="s">
        <v>2154</v>
      </c>
      <c r="I4" s="481">
        <v>8666622476</v>
      </c>
      <c r="J4" s="481">
        <v>7475154976</v>
      </c>
    </row>
    <row r="5" spans="1:10">
      <c r="A5" s="38" t="s">
        <v>2130</v>
      </c>
      <c r="B5" s="38">
        <v>530810</v>
      </c>
      <c r="C5" s="38" t="s">
        <v>19</v>
      </c>
      <c r="D5" s="38" t="s">
        <v>2156</v>
      </c>
      <c r="E5" s="38" t="s">
        <v>149</v>
      </c>
      <c r="F5" s="38" t="s">
        <v>2155</v>
      </c>
      <c r="G5" s="480" t="s">
        <v>2140</v>
      </c>
      <c r="H5" s="237" t="s">
        <v>2157</v>
      </c>
      <c r="I5" s="481">
        <v>1407776567616</v>
      </c>
      <c r="J5" s="481">
        <v>1435130342308</v>
      </c>
    </row>
    <row r="6" spans="1:10">
      <c r="A6" s="38" t="s">
        <v>2130</v>
      </c>
      <c r="B6" s="38">
        <v>530950</v>
      </c>
      <c r="C6" s="38" t="s">
        <v>19</v>
      </c>
      <c r="D6" t="s">
        <v>2159</v>
      </c>
      <c r="E6" s="38" t="s">
        <v>58</v>
      </c>
      <c r="F6" s="237" t="s">
        <v>2158</v>
      </c>
      <c r="G6" s="480" t="s">
        <v>2141</v>
      </c>
      <c r="H6" t="s">
        <v>2160</v>
      </c>
      <c r="I6" s="482">
        <v>253933836816</v>
      </c>
      <c r="J6" s="482">
        <v>260467393313</v>
      </c>
    </row>
    <row r="7" spans="1:10">
      <c r="A7" s="38" t="s">
        <v>2130</v>
      </c>
      <c r="B7" s="38">
        <v>533840</v>
      </c>
      <c r="C7" s="38" t="s">
        <v>19</v>
      </c>
      <c r="D7" t="s">
        <v>2161</v>
      </c>
      <c r="E7" s="38" t="s">
        <v>58</v>
      </c>
      <c r="F7" s="237" t="s">
        <v>2132</v>
      </c>
      <c r="G7" s="480" t="s">
        <v>2142</v>
      </c>
      <c r="H7" t="s">
        <v>2162</v>
      </c>
      <c r="I7" s="482">
        <v>17782764793</v>
      </c>
      <c r="J7" s="482">
        <v>18758205689</v>
      </c>
    </row>
    <row r="8" spans="1:10">
      <c r="A8" s="38" t="s">
        <v>2130</v>
      </c>
      <c r="B8" s="38">
        <v>536120</v>
      </c>
      <c r="C8" s="38" t="s">
        <v>19</v>
      </c>
      <c r="D8" t="s">
        <v>2163</v>
      </c>
      <c r="E8" s="38" t="s">
        <v>58</v>
      </c>
      <c r="F8" s="237" t="s">
        <v>2133</v>
      </c>
      <c r="G8" s="480" t="s">
        <v>2143</v>
      </c>
      <c r="H8" t="s">
        <v>2164</v>
      </c>
      <c r="I8" s="482">
        <v>32709398175</v>
      </c>
      <c r="J8" s="482">
        <v>34485865997</v>
      </c>
    </row>
    <row r="9" spans="1:10">
      <c r="A9" s="38" t="s">
        <v>2130</v>
      </c>
      <c r="B9" s="38">
        <v>537040</v>
      </c>
      <c r="C9" s="38" t="s">
        <v>19</v>
      </c>
      <c r="D9" t="s">
        <v>2165</v>
      </c>
      <c r="E9" s="38" t="s">
        <v>149</v>
      </c>
      <c r="F9" s="237" t="s">
        <v>2134</v>
      </c>
      <c r="G9" s="480" t="s">
        <v>2144</v>
      </c>
      <c r="H9" t="s">
        <v>2166</v>
      </c>
      <c r="I9" s="482">
        <v>12482946211</v>
      </c>
      <c r="J9" s="482">
        <v>13339532152</v>
      </c>
    </row>
    <row r="10" spans="1:10">
      <c r="A10" s="38" t="s">
        <v>2130</v>
      </c>
      <c r="B10" s="38">
        <v>537540</v>
      </c>
      <c r="C10" s="38" t="s">
        <v>19</v>
      </c>
      <c r="D10" t="s">
        <v>2167</v>
      </c>
      <c r="E10" s="38" t="s">
        <v>149</v>
      </c>
      <c r="F10" s="237" t="s">
        <v>2135</v>
      </c>
      <c r="G10" s="480" t="s">
        <v>2145</v>
      </c>
      <c r="H10" t="s">
        <v>2168</v>
      </c>
      <c r="I10" s="482">
        <v>21365848248</v>
      </c>
      <c r="J10" s="482">
        <v>19819918432</v>
      </c>
    </row>
    <row r="11" spans="1:10">
      <c r="A11" s="38" t="s">
        <v>2130</v>
      </c>
      <c r="B11" s="38">
        <v>620930</v>
      </c>
      <c r="C11" s="38" t="s">
        <v>19</v>
      </c>
      <c r="D11" t="s">
        <v>2169</v>
      </c>
      <c r="E11" s="38" t="s">
        <v>58</v>
      </c>
      <c r="F11" s="237" t="s">
        <v>2136</v>
      </c>
      <c r="G11" s="480" t="s">
        <v>2146</v>
      </c>
      <c r="H11" t="s">
        <v>2170</v>
      </c>
      <c r="I11" s="482">
        <v>14537160238</v>
      </c>
      <c r="J11" s="482">
        <v>17632815065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펀드전체(환전제외)</vt:lpstr>
      <vt:lpstr>환전펀드(전체운용사)</vt:lpstr>
      <vt:lpstr>다올</vt:lpstr>
      <vt:lpstr>현대인베</vt:lpstr>
      <vt:lpstr>유진</vt:lpstr>
      <vt:lpstr>골든</vt:lpstr>
      <vt:lpstr>유리</vt:lpstr>
      <vt:lpstr>한투</vt:lpstr>
      <vt:lpstr>카디안</vt:lpstr>
      <vt:lpstr>우리</vt:lpstr>
      <vt:lpstr>키움</vt:lpstr>
      <vt:lpstr>한화</vt:lpstr>
      <vt:lpstr>IM에셋</vt:lpstr>
      <vt:lpstr>브이자산운용</vt:lpstr>
      <vt:lpstr>IBK</vt:lpstr>
      <vt:lpstr>현대</vt:lpstr>
      <vt:lpstr>DB</vt:lpstr>
      <vt:lpstr>KB</vt:lpstr>
      <vt:lpstr>삼성</vt:lpstr>
      <vt:lpstr>신한</vt:lpstr>
      <vt:lpstr>흥국</vt:lpstr>
      <vt:lpstr>하나UBS</vt:lpstr>
      <vt:lpstr> 우리(공모)LIST</vt:lpstr>
      <vt:lpstr>한투(공모)</vt:lpstr>
      <vt:lpstr>미래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MasterVD</dc:creator>
  <cp:lastModifiedBy>iMB</cp:lastModifiedBy>
  <cp:lastPrinted>2025-06-24T03:59:17Z</cp:lastPrinted>
  <dcterms:created xsi:type="dcterms:W3CDTF">2021-02-18T08:37:09Z</dcterms:created>
  <dcterms:modified xsi:type="dcterms:W3CDTF">2026-06-30T06:29:26Z</dcterms:modified>
</cp:coreProperties>
</file>