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/>
  <bookViews>
    <workbookView xWindow="0" yWindow="0" windowWidth="16380" windowHeight="12390" tabRatio="500"/>
  </bookViews>
  <sheets>
    <sheet name="딜티켓_1 " sheetId="1" r:id="rId1"/>
    <sheet name="딜티켓_2" sheetId="33" r:id="rId2"/>
    <sheet name="딜티켓(언와인딩)" sheetId="2" r:id="rId3"/>
    <sheet name="딜티켓(언와인딩)_2" sheetId="34" r:id="rId4"/>
    <sheet name="딜티켓(언와인딩)_3" sheetId="35" r:id="rId5"/>
    <sheet name="딜티켓(언와인딩)_4" sheetId="36" r:id="rId6"/>
    <sheet name="컨펌지(일반수식)" sheetId="3" r:id="rId7"/>
    <sheet name="컨펌지(수기)" sheetId="4" r:id="rId8"/>
    <sheet name="컨펌지(정산)" sheetId="5" r:id="rId9"/>
    <sheet name="컨펌1-A (2)" sheetId="6" state="hidden" r:id="rId10"/>
    <sheet name="컨펌1-B" sheetId="7" state="hidden" r:id="rId11"/>
    <sheet name="펀드목록" sheetId="8" r:id="rId12"/>
    <sheet name="환전펀드(전체운용사)" sheetId="9" r:id="rId13"/>
    <sheet name="다올" sheetId="10" r:id="rId14"/>
    <sheet name="현대인베" sheetId="11" r:id="rId15"/>
    <sheet name="유진" sheetId="12" r:id="rId16"/>
    <sheet name="골든" sheetId="13" r:id="rId17"/>
    <sheet name="유리" sheetId="14" r:id="rId18"/>
    <sheet name="한투" sheetId="15" r:id="rId19"/>
    <sheet name="카디안" sheetId="16" r:id="rId20"/>
    <sheet name="우리" sheetId="17" r:id="rId21"/>
    <sheet name="키움" sheetId="18" r:id="rId22"/>
    <sheet name="한화" sheetId="19" r:id="rId23"/>
    <sheet name="IM에셋" sheetId="20" r:id="rId24"/>
    <sheet name="브이자산운용" sheetId="21" r:id="rId25"/>
    <sheet name="IBK" sheetId="22" r:id="rId26"/>
    <sheet name="현대" sheetId="23" r:id="rId27"/>
    <sheet name="DB" sheetId="24" r:id="rId28"/>
    <sheet name="KB" sheetId="25" r:id="rId29"/>
    <sheet name="삼성" sheetId="26" r:id="rId30"/>
    <sheet name="신한" sheetId="27" r:id="rId31"/>
    <sheet name="흥국" sheetId="28" r:id="rId32"/>
    <sheet name="하나UBS" sheetId="29" r:id="rId33"/>
    <sheet name="미래" sheetId="30" r:id="rId34"/>
    <sheet name="조회설정" sheetId="31" r:id="rId35"/>
    <sheet name="기준가" sheetId="32" r:id="rId36"/>
  </sheets>
  <definedNames>
    <definedName name="_xlfn_IFERROR" localSheetId="2">none</definedName>
    <definedName name="_xlfn_IFERROR" localSheetId="3">none</definedName>
    <definedName name="_xlfn_IFERROR" localSheetId="4">none</definedName>
    <definedName name="_xlfn_IFERROR" localSheetId="5">none</definedName>
    <definedName name="_xlfn_IFERROR" localSheetId="1">none</definedName>
    <definedName name="_xlfn_IFERROR" localSheetId="7">none</definedName>
    <definedName name="_xlfn_IFERROR">none</definedName>
    <definedName name="_xlnm.Print_Area" localSheetId="2">'딜티켓(언와인딩)'!$A$1:$L$56</definedName>
    <definedName name="_xlnm.Print_Area" localSheetId="3">'딜티켓(언와인딩)_2'!$A$1:$L$56</definedName>
    <definedName name="_xlnm.Print_Area" localSheetId="4">'딜티켓(언와인딩)_3'!$A$1:$L$56</definedName>
    <definedName name="_xlnm.Print_Area" localSheetId="5">'딜티켓(언와인딩)_4'!$A$1:$L$56</definedName>
    <definedName name="_xlnm.Print_Area" localSheetId="0">'딜티켓_1 '!$A$2:$L$56</definedName>
    <definedName name="_xlnm.Print_Area" localSheetId="1">딜티켓_2!$A$2:$L$56</definedName>
    <definedName name="_xlnm.Print_Area" localSheetId="7">'컨펌지(수기)'!$A$1:$J$36</definedName>
    <definedName name="_xlnm.Print_Area" localSheetId="6">'컨펌지(일반수식)'!$A$1:$K$38</definedName>
    <definedName name="_xlnm.Print_Area" localSheetId="8">'컨펌지(정산)'!$A$1:$K$36</definedName>
  </definedName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5" i="33"/>
  <c r="G35" i="1"/>
  <c r="H14" l="1"/>
  <c r="N14"/>
  <c r="G35" i="34" l="1"/>
  <c r="G35" i="2"/>
  <c r="K29" i="1" l="1"/>
  <c r="H14" i="33" l="1"/>
  <c r="G35" i="36" l="1"/>
  <c r="K29"/>
  <c r="I26"/>
  <c r="H26"/>
  <c r="M25"/>
  <c r="H25"/>
  <c r="M24"/>
  <c r="H24"/>
  <c r="M23"/>
  <c r="H23"/>
  <c r="M22"/>
  <c r="H22"/>
  <c r="M21"/>
  <c r="H21"/>
  <c r="M20"/>
  <c r="H20"/>
  <c r="M19"/>
  <c r="H19"/>
  <c r="M18"/>
  <c r="H18"/>
  <c r="M17"/>
  <c r="H17"/>
  <c r="M16"/>
  <c r="H16"/>
  <c r="H15"/>
  <c r="H14"/>
  <c r="I13"/>
  <c r="B7"/>
  <c r="G35" i="35"/>
  <c r="K29"/>
  <c r="M26"/>
  <c r="H26"/>
  <c r="M25"/>
  <c r="H25"/>
  <c r="H24"/>
  <c r="H23"/>
  <c r="H22"/>
  <c r="H21"/>
  <c r="H20"/>
  <c r="H19"/>
  <c r="H18"/>
  <c r="H17"/>
  <c r="H16"/>
  <c r="H15"/>
  <c r="H14"/>
  <c r="I13"/>
  <c r="B7"/>
  <c r="M15" i="36"/>
  <c r="M14"/>
  <c r="M26" i="2" l="1"/>
  <c r="M25"/>
  <c r="K29" i="34" l="1"/>
  <c r="I26"/>
  <c r="H26"/>
  <c r="M25"/>
  <c r="H25"/>
  <c r="H24"/>
  <c r="H23"/>
  <c r="H22"/>
  <c r="H21"/>
  <c r="H20"/>
  <c r="H19"/>
  <c r="H18"/>
  <c r="H17"/>
  <c r="H16"/>
  <c r="H15"/>
  <c r="H14"/>
  <c r="I13"/>
  <c r="B7"/>
  <c r="H24" i="1" l="1"/>
  <c r="H26"/>
  <c r="H25"/>
  <c r="H23"/>
  <c r="H22"/>
  <c r="H21"/>
  <c r="H20"/>
  <c r="H19"/>
  <c r="H18"/>
  <c r="H17"/>
  <c r="H16"/>
  <c r="H15"/>
  <c r="I2" i="31" l="1"/>
  <c r="I4" s="1"/>
  <c r="H2"/>
  <c r="H3" s="1"/>
  <c r="G2"/>
  <c r="G5" s="1"/>
  <c r="G16" i="7"/>
  <c r="F16"/>
  <c r="D16"/>
  <c r="C16"/>
  <c r="A16"/>
  <c r="G15"/>
  <c r="F15"/>
  <c r="D15"/>
  <c r="C15"/>
  <c r="A15"/>
  <c r="G14"/>
  <c r="F14"/>
  <c r="D14"/>
  <c r="C14"/>
  <c r="A14"/>
  <c r="G13"/>
  <c r="F13"/>
  <c r="D13"/>
  <c r="C13"/>
  <c r="A13"/>
  <c r="G12"/>
  <c r="F12"/>
  <c r="D12"/>
  <c r="C12"/>
  <c r="A12"/>
  <c r="G11"/>
  <c r="F11"/>
  <c r="D11"/>
  <c r="C11"/>
  <c r="A11"/>
  <c r="G8"/>
  <c r="I22" i="6"/>
  <c r="G22"/>
  <c r="F22"/>
  <c r="E22"/>
  <c r="D22"/>
  <c r="C22"/>
  <c r="B22"/>
  <c r="A22"/>
  <c r="G21"/>
  <c r="E21"/>
  <c r="B21"/>
  <c r="A21"/>
  <c r="G20"/>
  <c r="E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G12"/>
  <c r="E12"/>
  <c r="B12"/>
  <c r="A12"/>
  <c r="G11"/>
  <c r="E11"/>
  <c r="B11"/>
  <c r="A11"/>
  <c r="G8"/>
  <c r="A26" i="5"/>
  <c r="E12"/>
  <c r="B12"/>
  <c r="A27" i="4"/>
  <c r="E11"/>
  <c r="B11"/>
  <c r="I24" i="3"/>
  <c r="G24"/>
  <c r="F24"/>
  <c r="E24"/>
  <c r="D24"/>
  <c r="C24"/>
  <c r="B24"/>
  <c r="A24"/>
  <c r="G23"/>
  <c r="F23"/>
  <c r="E23"/>
  <c r="D23"/>
  <c r="C23"/>
  <c r="B23"/>
  <c r="A23"/>
  <c r="G22"/>
  <c r="F22"/>
  <c r="E22"/>
  <c r="D22"/>
  <c r="C22"/>
  <c r="B22"/>
  <c r="A22"/>
  <c r="G21"/>
  <c r="F21"/>
  <c r="E21"/>
  <c r="D21"/>
  <c r="C21"/>
  <c r="B21"/>
  <c r="A21"/>
  <c r="G20"/>
  <c r="F20"/>
  <c r="E20"/>
  <c r="D20"/>
  <c r="C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E11"/>
  <c r="K29" i="2"/>
  <c r="H26"/>
  <c r="H25"/>
  <c r="H24"/>
  <c r="H23"/>
  <c r="H22"/>
  <c r="H21"/>
  <c r="H20"/>
  <c r="H19"/>
  <c r="H18"/>
  <c r="H17"/>
  <c r="H16"/>
  <c r="H15"/>
  <c r="H14"/>
  <c r="I13"/>
  <c r="B7"/>
  <c r="K29" i="33"/>
  <c r="I26"/>
  <c r="H26"/>
  <c r="N25"/>
  <c r="H25"/>
  <c r="N24"/>
  <c r="H24"/>
  <c r="N23"/>
  <c r="H23"/>
  <c r="N22"/>
  <c r="H22"/>
  <c r="N21"/>
  <c r="H21"/>
  <c r="N20"/>
  <c r="H20"/>
  <c r="N19"/>
  <c r="H19"/>
  <c r="N18"/>
  <c r="H18"/>
  <c r="N17"/>
  <c r="H17"/>
  <c r="N16"/>
  <c r="H16"/>
  <c r="N15"/>
  <c r="H15"/>
  <c r="N14"/>
  <c r="I13"/>
  <c r="B7"/>
  <c r="I26" i="1"/>
  <c r="N25"/>
  <c r="M25"/>
  <c r="N24"/>
  <c r="D21" i="6"/>
  <c r="N23" i="1"/>
  <c r="D20" i="6"/>
  <c r="N22" i="1"/>
  <c r="D19" i="6"/>
  <c r="N21" i="1"/>
  <c r="D18" i="6"/>
  <c r="N20" i="1"/>
  <c r="D17" i="6"/>
  <c r="N19" i="1"/>
  <c r="D16" i="6"/>
  <c r="N18" i="1"/>
  <c r="D15" i="6"/>
  <c r="N17" i="1"/>
  <c r="D14" i="6"/>
  <c r="N16" i="1"/>
  <c r="D13" i="6"/>
  <c r="N15" i="1"/>
  <c r="D12" i="6"/>
  <c r="I13" i="1"/>
  <c r="B7"/>
  <c r="I2" i="4" s="1"/>
  <c r="M25" i="33"/>
  <c r="M24"/>
  <c r="M22"/>
  <c r="M23"/>
  <c r="M21" i="2"/>
  <c r="D11" i="6" l="1"/>
  <c r="C13" i="3"/>
  <c r="F17"/>
  <c r="F19"/>
  <c r="C18"/>
  <c r="D19"/>
  <c r="C19"/>
  <c r="F18"/>
  <c r="D18"/>
  <c r="D17"/>
  <c r="C17"/>
  <c r="C16"/>
  <c r="D16"/>
  <c r="F16"/>
  <c r="F15"/>
  <c r="H5" i="31"/>
  <c r="D15" i="3"/>
  <c r="C15"/>
  <c r="C14"/>
  <c r="F14"/>
  <c r="D14"/>
  <c r="F13"/>
  <c r="C18" i="6"/>
  <c r="D13" i="3"/>
  <c r="B11"/>
  <c r="G4" i="31"/>
  <c r="G3"/>
  <c r="C14" i="6"/>
  <c r="H4" i="31"/>
  <c r="I5"/>
  <c r="C13" i="6"/>
  <c r="C17"/>
  <c r="C21"/>
  <c r="C12"/>
  <c r="C16"/>
  <c r="C20"/>
  <c r="C11"/>
  <c r="C15"/>
  <c r="C19"/>
  <c r="I2" i="3"/>
  <c r="F11" i="6"/>
  <c r="F12"/>
  <c r="F13"/>
  <c r="F14"/>
  <c r="F15"/>
  <c r="F16"/>
  <c r="F17"/>
  <c r="F18"/>
  <c r="F19"/>
  <c r="F20"/>
  <c r="F21"/>
  <c r="I3" i="31"/>
  <c r="M24" i="34"/>
  <c r="M24" i="35"/>
  <c r="M24" i="2"/>
  <c r="M23"/>
  <c r="M19" i="33"/>
  <c r="M20"/>
  <c r="M21"/>
  <c r="M24" i="1"/>
  <c r="M23"/>
  <c r="M22"/>
  <c r="M22" i="2"/>
  <c r="M22" i="34"/>
  <c r="M21"/>
  <c r="M19"/>
  <c r="M17"/>
  <c r="M23" i="35"/>
  <c r="M20" i="34"/>
  <c r="M18"/>
  <c r="M16"/>
  <c r="M16" i="35"/>
  <c r="M19"/>
  <c r="M20"/>
  <c r="M17"/>
  <c r="M21"/>
  <c r="M22"/>
  <c r="M23" i="34"/>
  <c r="M18" i="35"/>
  <c r="M17" i="2"/>
  <c r="M20" i="1"/>
  <c r="M21"/>
  <c r="M15" i="34"/>
  <c r="M15" i="35"/>
  <c r="M17" i="33"/>
  <c r="M18"/>
  <c r="M16"/>
  <c r="M15"/>
  <c r="M17" i="1"/>
  <c r="M18"/>
  <c r="M19"/>
  <c r="M16"/>
  <c r="I14"/>
  <c r="M14" i="33"/>
  <c r="I24"/>
  <c r="I18"/>
  <c r="I23" i="1"/>
  <c r="I22" i="36"/>
  <c r="I19" i="35"/>
  <c r="I26"/>
  <c r="I23"/>
  <c r="I21"/>
  <c r="I14" i="2"/>
  <c r="I24" i="1"/>
  <c r="I23" i="33"/>
  <c r="I22" i="35"/>
  <c r="I21" i="1"/>
  <c r="I17" i="35"/>
  <c r="I18" i="1"/>
  <c r="I17" i="33"/>
  <c r="I15" i="35"/>
  <c r="I16"/>
  <c r="M15" i="1"/>
  <c r="I17" i="36"/>
  <c r="I18"/>
  <c r="I24" i="34"/>
  <c r="I15" i="33"/>
  <c r="I25" i="2"/>
  <c r="I23" i="34"/>
  <c r="I25" i="35"/>
  <c r="I20" i="33"/>
  <c r="I21" i="34"/>
  <c r="I14" i="35"/>
  <c r="I15" i="36"/>
  <c r="I16"/>
  <c r="I25"/>
  <c r="I19" i="2"/>
  <c r="I18" i="35"/>
  <c r="I22" i="33"/>
  <c r="I17" i="2"/>
  <c r="I24" i="36"/>
  <c r="I23" i="2"/>
  <c r="M14" i="34"/>
  <c r="I22" i="2"/>
  <c r="I25" i="34"/>
  <c r="I19" i="33"/>
  <c r="I22" i="34"/>
  <c r="I17"/>
  <c r="I20" i="1"/>
  <c r="I22"/>
  <c r="I14" i="33"/>
  <c r="M14" i="1"/>
  <c r="I26" i="2"/>
  <c r="I21" i="33"/>
  <c r="I20" i="2"/>
  <c r="I14" i="34"/>
  <c r="I16" i="33"/>
  <c r="I20" i="36"/>
  <c r="M14" i="35"/>
  <c r="I21" i="36"/>
  <c r="I24" i="35"/>
  <c r="I16" i="34"/>
  <c r="I16" i="1"/>
  <c r="I18" i="34"/>
  <c r="I15" i="1"/>
  <c r="I21" i="2"/>
  <c r="I24"/>
  <c r="I25" i="1"/>
  <c r="I14" i="36"/>
  <c r="I18" i="2"/>
  <c r="I15" i="34"/>
  <c r="I25" i="33"/>
  <c r="I19" i="34"/>
  <c r="I17" i="1"/>
  <c r="I19"/>
  <c r="I23" i="36"/>
  <c r="I20" i="34"/>
  <c r="I20" i="35"/>
  <c r="I19" i="36"/>
  <c r="I23" i="3" l="1"/>
  <c r="I22"/>
  <c r="I21"/>
  <c r="I20"/>
  <c r="I19"/>
  <c r="I18"/>
  <c r="I17"/>
  <c r="I16"/>
  <c r="I15"/>
  <c r="I14"/>
  <c r="I13"/>
  <c r="I18" i="6"/>
  <c r="I13"/>
  <c r="I17"/>
  <c r="I21"/>
  <c r="I12"/>
  <c r="I16"/>
  <c r="I20"/>
  <c r="I14"/>
  <c r="I11"/>
  <c r="I15"/>
  <c r="I19"/>
  <c r="M20" i="2"/>
  <c r="M19"/>
  <c r="M18"/>
  <c r="M16"/>
  <c r="M15"/>
  <c r="I16"/>
  <c r="I15"/>
  <c r="M14"/>
</calcChain>
</file>

<file path=xl/sharedStrings.xml><?xml version="1.0" encoding="utf-8"?>
<sst xmlns="http://schemas.openxmlformats.org/spreadsheetml/2006/main" count="12476" uniqueCount="3223">
  <si>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</si>
  <si>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</si>
  <si>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</si>
  <si>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</si>
  <si>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</si>
  <si>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</si>
  <si>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</si>
  <si>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</si>
  <si>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</si>
  <si>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</si>
  <si>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하나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</si>
  <si>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</si>
  <si>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</si>
  <si>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</si>
  <si>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</si>
  <si>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</si>
  <si>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</si>
  <si>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</si>
  <si>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</si>
  <si>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</si>
  <si>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</si>
  <si>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</si>
  <si>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*</t>
  </si>
  <si>
    <t>기준가</t>
  </si>
  <si>
    <t>REMARKS:</t>
  </si>
  <si>
    <t>ORDER:</t>
  </si>
  <si>
    <t>우리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</si>
  <si>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</si>
  <si>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</si>
  <si>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</si>
  <si>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</si>
  <si>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</si>
  <si>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</si>
  <si>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</si>
  <si>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</si>
  <si>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</si>
  <si>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</si>
  <si>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</si>
  <si>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</si>
  <si>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</si>
  <si>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</si>
  <si>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</si>
  <si>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</si>
  <si>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</si>
  <si>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</si>
  <si>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</si>
  <si>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</si>
  <si>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</si>
  <si>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  <charset val="1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  <charset val="1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</si>
  <si>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  <charset val="1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</si>
  <si>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</si>
  <si>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딜티켓 탭 그대로 사용</t>
    </r>
    <r>
      <rPr>
        <sz val="9"/>
        <color rgb="FF808080"/>
        <rFont val="맑은 고딕"/>
        <family val="3"/>
        <charset val="129"/>
      </rPr>
      <t>. CUSTOMER→Party B(</t>
    </r>
    <r>
      <rPr>
        <sz val="9"/>
        <color rgb="FF808080"/>
        <rFont val="Noto Sans CJK SC"/>
        <family val="2"/>
        <charset val="1"/>
      </rPr>
      <t>고객목록</t>
    </r>
    <r>
      <rPr>
        <sz val="9"/>
        <color rgb="FF808080"/>
        <rFont val="맑은 고딕"/>
        <family val="3"/>
        <charset val="129"/>
      </rPr>
      <t xml:space="preserve">), </t>
    </r>
    <r>
      <rPr>
        <sz val="9"/>
        <color rgb="FF808080"/>
        <rFont val="Noto Sans CJK SC"/>
        <family val="2"/>
        <charset val="1"/>
      </rPr>
      <t>펀드코드→수탁은행</t>
    </r>
    <r>
      <rPr>
        <sz val="9"/>
        <color rgb="FF808080"/>
        <rFont val="맑은 고딕"/>
        <family val="3"/>
        <charset val="129"/>
      </rPr>
      <t>/</t>
    </r>
    <r>
      <rPr>
        <sz val="9"/>
        <color rgb="FF808080"/>
        <rFont val="Noto Sans CJK SC"/>
        <family val="2"/>
        <charset val="1"/>
      </rPr>
      <t>출처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환전펀드→운용사탭 순 조회</t>
    </r>
    <r>
      <rPr>
        <sz val="9"/>
        <color rgb="FF808080"/>
        <rFont val="맑은 고딕"/>
        <family val="3"/>
        <charset val="129"/>
      </rPr>
      <t xml:space="preserve">) </t>
    </r>
    <r>
      <rPr>
        <sz val="9"/>
        <color rgb="FF808080"/>
        <rFont val="Noto Sans CJK SC"/>
        <family val="2"/>
        <charset val="1"/>
      </rPr>
      <t>자동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</si>
  <si>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  <charset val="1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  <charset val="1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  <charset val="1"/>
      </rPr>
      <t>만 수기 입력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</si>
  <si>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빈 행은 자동으로 표시되지 않습니다</t>
    </r>
    <r>
      <rPr>
        <sz val="9"/>
        <color rgb="FF808080"/>
        <rFont val="맑은 고딕"/>
        <family val="3"/>
        <charset val="129"/>
      </rPr>
      <t>.</t>
    </r>
  </si>
  <si>
    <t>CONFIRMATION (UNWINDING)</t>
  </si>
  <si>
    <t>TRADE DATE:</t>
  </si>
  <si>
    <t>FX SPOT/UNWINDING</t>
  </si>
  <si>
    <t>03V06</t>
  </si>
  <si>
    <t>KRW</t>
  </si>
  <si>
    <t>UNWINDING</t>
  </si>
  <si>
    <t>잔존거래 내역</t>
  </si>
  <si>
    <t>기준통화</t>
  </si>
  <si>
    <t>기존잔액</t>
  </si>
  <si>
    <t>기존환율</t>
  </si>
  <si>
    <t>매입통화</t>
  </si>
  <si>
    <t>거래 후 매입잔액</t>
  </si>
  <si>
    <t>매도통화</t>
  </si>
  <si>
    <t>거래 후 매도잔액</t>
  </si>
  <si>
    <t>기존만기일</t>
  </si>
  <si>
    <t>펀드 정산액</t>
  </si>
  <si>
    <t>결제일자</t>
  </si>
  <si>
    <t>거래통화</t>
  </si>
  <si>
    <t>정산통화</t>
  </si>
  <si>
    <t>PAYER</t>
  </si>
  <si>
    <t>정산금액</t>
  </si>
  <si>
    <r>
      <rPr>
        <sz val="14"/>
        <color theme="1"/>
        <rFont val="DejaVu Sans"/>
        <family val="2"/>
        <charset val="1"/>
      </rPr>
      <t xml:space="preserve"> -</t>
    </r>
    <r>
      <rPr>
        <sz val="14"/>
        <color theme="1"/>
        <rFont val="Noto Sans CJK SC"/>
        <family val="2"/>
        <charset val="1"/>
      </rPr>
      <t xml:space="preserve">면 당행이 </t>
    </r>
    <r>
      <rPr>
        <sz val="14"/>
        <color theme="1"/>
        <rFont val="DejaVu Sans"/>
        <family val="2"/>
        <charset val="1"/>
      </rPr>
      <t>PAYER</t>
    </r>
  </si>
  <si>
    <r>
      <rPr>
        <sz val="14"/>
        <color theme="1"/>
        <rFont val="DejaVu Sans"/>
        <family val="2"/>
        <charset val="1"/>
      </rPr>
      <t xml:space="preserve"> +</t>
    </r>
    <r>
      <rPr>
        <sz val="14"/>
        <color theme="1"/>
        <rFont val="Noto Sans CJK SC"/>
        <family val="2"/>
        <charset val="1"/>
      </rPr>
      <t xml:space="preserve">면 상대방이 </t>
    </r>
    <r>
      <rPr>
        <sz val="14"/>
        <color theme="1"/>
        <rFont val="DejaVu Sans"/>
        <family val="2"/>
        <charset val="1"/>
      </rPr>
      <t>PAYER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</si>
  <si>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위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>으로 상기 수탁은행에 대한 송금신청을 대신합니다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</si>
  <si>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해당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 xml:space="preserve">을 확인 후 </t>
    </r>
    <r>
      <rPr>
        <sz val="9"/>
        <color rgb="FF000000"/>
        <rFont val="맑은 고딕"/>
        <family val="3"/>
        <charset val="129"/>
      </rPr>
      <t xml:space="preserve">fxconfirm@imfng.com </t>
    </r>
    <r>
      <rPr>
        <sz val="9"/>
        <color rgb="FF000000"/>
        <rFont val="Noto Sans CJK SC"/>
        <family val="2"/>
        <charset val="1"/>
      </rPr>
      <t xml:space="preserve">혹은 </t>
    </r>
    <r>
      <rPr>
        <sz val="9"/>
        <color rgb="FF000000"/>
        <rFont val="맑은 고딕"/>
        <family val="3"/>
        <charset val="129"/>
      </rPr>
      <t xml:space="preserve">F.0505-108-7630 </t>
    </r>
    <r>
      <rPr>
        <sz val="9"/>
        <color rgb="FF000000"/>
        <rFont val="Noto Sans CJK SC"/>
        <family val="2"/>
        <charset val="1"/>
      </rPr>
      <t>로 회신 부탁드립니다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</si>
  <si>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펀드 발행가 대비 </t>
    </r>
    <r>
      <rPr>
        <sz val="9"/>
        <color rgb="FF000000"/>
        <rFont val="맑은 고딕"/>
        <family val="3"/>
        <charset val="129"/>
      </rPr>
      <t xml:space="preserve">NAV 35% </t>
    </r>
    <r>
      <rPr>
        <sz val="9"/>
        <color rgb="FF000000"/>
        <rFont val="Noto Sans CJK SC"/>
        <family val="2"/>
        <charset val="1"/>
      </rPr>
      <t>이하로 하락시 해당 파생상품은 중도청산 될 수 있습니다</t>
    </r>
    <r>
      <rPr>
        <sz val="9"/>
        <color rgb="FF000000"/>
        <rFont val="맑은 고딕"/>
        <family val="3"/>
        <charset val="129"/>
      </rPr>
      <t>.</t>
    </r>
  </si>
  <si>
    <t>Daegu Bank</t>
  </si>
  <si>
    <t>FX FWD</t>
  </si>
  <si>
    <t xml:space="preserve">TRADE DATE: 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</si>
  <si>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</si>
  <si>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매도</t>
    </r>
  </si>
  <si>
    <t>Fwd</t>
  </si>
  <si>
    <t>이하여백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</si>
  <si>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</si>
  <si>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  <charset val="1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  <charset val="1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  <charset val="1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  <charset val="1"/>
      </rPr>
      <t>하나은행</t>
    </r>
    <r>
      <rPr>
        <sz val="10"/>
        <rFont val="Arial Narrow"/>
        <family val="2"/>
        <charset val="1"/>
      </rPr>
      <t>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</si>
  <si>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</si>
  <si>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</si>
  <si>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  <charset val="1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  <charset val="1"/>
      </rPr>
      <t>재 팩스 부탁드립니다</t>
    </r>
    <r>
      <rPr>
        <sz val="15"/>
        <rFont val="Arial Narrow"/>
        <family val="2"/>
        <charset val="1"/>
      </rPr>
      <t>.</t>
    </r>
  </si>
  <si>
    <t>USD</t>
  </si>
  <si>
    <t>SCB</t>
  </si>
  <si>
    <t>KB</t>
  </si>
  <si>
    <t>HANA</t>
  </si>
  <si>
    <t>SHB</t>
  </si>
  <si>
    <t>WOORI</t>
  </si>
  <si>
    <t>CITI</t>
  </si>
  <si>
    <t>3G171</t>
  </si>
  <si>
    <t>HSBC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</si>
  <si>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</si>
  <si>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</si>
  <si>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</si>
  <si>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</si>
  <si>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</si>
  <si>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</si>
  <si>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</si>
  <si>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</si>
  <si>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</si>
  <si>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</si>
  <si>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</si>
  <si>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</si>
  <si>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</si>
  <si>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</si>
  <si>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</si>
  <si>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</si>
  <si>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</si>
  <si>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</si>
  <si>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</si>
  <si>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</si>
  <si>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</si>
  <si>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</si>
  <si>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</si>
  <si>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</si>
  <si>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</si>
  <si>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</si>
  <si>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</si>
  <si>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</si>
  <si>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</si>
  <si>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</si>
  <si>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</si>
  <si>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</si>
  <si>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</si>
  <si>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</si>
  <si>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</si>
  <si>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03V74</t>
  </si>
  <si>
    <t>03V79</t>
  </si>
  <si>
    <t>03W39</t>
  </si>
  <si>
    <t>03W55</t>
  </si>
  <si>
    <t>03W59</t>
  </si>
  <si>
    <t>03W65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</si>
  <si>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</si>
  <si>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</si>
  <si>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</si>
  <si>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</si>
  <si>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</si>
  <si>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</si>
  <si>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</si>
  <si>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</si>
  <si>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</si>
  <si>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</si>
  <si>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</si>
  <si>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</si>
  <si>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</si>
  <si>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</si>
  <si>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</si>
  <si>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</si>
  <si>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</si>
  <si>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</si>
  <si>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</si>
  <si>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</si>
  <si>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</si>
  <si>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</si>
  <si>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</si>
  <si>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</si>
  <si>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</si>
  <si>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</si>
  <si>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</si>
  <si>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</si>
  <si>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</si>
  <si>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</si>
  <si>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</si>
  <si>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</si>
  <si>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</si>
  <si>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</si>
  <si>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</si>
  <si>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</si>
  <si>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</si>
  <si>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</si>
  <si>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</si>
  <si>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</si>
  <si>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</si>
  <si>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</si>
  <si>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</si>
  <si>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</si>
  <si>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</si>
  <si>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</si>
  <si>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</si>
  <si>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</si>
  <si>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</si>
  <si>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</si>
  <si>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</si>
  <si>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</si>
  <si>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</si>
  <si>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</si>
  <si>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</si>
  <si>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</si>
  <si>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</si>
  <si>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</si>
  <si>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</si>
  <si>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</si>
  <si>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</si>
  <si>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</si>
  <si>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</si>
  <si>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</si>
  <si>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</si>
  <si>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</si>
  <si>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</si>
  <si>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</si>
  <si>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</si>
  <si>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</si>
  <si>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</si>
  <si>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</si>
  <si>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</si>
  <si>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</si>
  <si>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</si>
  <si>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</si>
  <si>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</si>
  <si>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</si>
  <si>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</si>
  <si>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</si>
  <si>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</si>
  <si>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</si>
  <si>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</si>
  <si>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</si>
  <si>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</si>
  <si>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</si>
  <si>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</si>
  <si>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</si>
  <si>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</si>
  <si>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</si>
  <si>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</si>
  <si>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</si>
  <si>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</si>
  <si>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</si>
  <si>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</si>
  <si>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</si>
  <si>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</si>
  <si>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</si>
  <si>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</si>
  <si>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</si>
  <si>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</si>
  <si>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</si>
  <si>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</si>
  <si>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</si>
  <si>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</si>
  <si>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</si>
  <si>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</si>
  <si>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</si>
  <si>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</si>
  <si>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</si>
  <si>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</si>
  <si>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</si>
  <si>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</si>
  <si>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</si>
  <si>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</si>
  <si>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</si>
  <si>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</si>
  <si>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</si>
  <si>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</si>
  <si>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</si>
  <si>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</si>
  <si>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</si>
  <si>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</si>
  <si>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</si>
  <si>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</si>
  <si>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</si>
  <si>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</si>
  <si>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</si>
  <si>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</si>
  <si>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</si>
  <si>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</si>
  <si>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</si>
  <si>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</si>
  <si>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</si>
  <si>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</si>
  <si>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</si>
  <si>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</si>
  <si>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</si>
  <si>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</si>
  <si>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</si>
  <si>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</si>
  <si>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</si>
  <si>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09D30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</si>
  <si>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</si>
  <si>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</si>
  <si>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</si>
  <si>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</si>
  <si>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</si>
  <si>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</si>
  <si>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</si>
  <si>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</si>
  <si>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</si>
  <si>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</si>
  <si>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</si>
  <si>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</si>
  <si>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</si>
  <si>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</si>
  <si>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</si>
  <si>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</si>
  <si>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</si>
  <si>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</si>
  <si>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</si>
  <si>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</si>
  <si>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</si>
  <si>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</si>
  <si>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</si>
  <si>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</si>
  <si>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</si>
  <si>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</si>
  <si>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</si>
  <si>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</si>
  <si>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</si>
  <si>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</si>
  <si>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</si>
  <si>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</si>
  <si>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</si>
  <si>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</si>
  <si>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</si>
  <si>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</si>
  <si>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</si>
  <si>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</si>
  <si>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</si>
  <si>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</si>
  <si>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</si>
  <si>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</si>
  <si>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</si>
  <si>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</si>
  <si>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</si>
  <si>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</si>
  <si>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</si>
  <si>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</si>
  <si>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</si>
  <si>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</si>
  <si>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</si>
  <si>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</si>
  <si>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</si>
  <si>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</si>
  <si>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</si>
  <si>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</si>
  <si>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</si>
  <si>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</si>
  <si>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</si>
  <si>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</si>
  <si>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</si>
  <si>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</si>
  <si>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</si>
  <si>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</si>
  <si>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</si>
  <si>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</si>
  <si>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CF12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</si>
  <si>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</si>
  <si>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</si>
  <si>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</si>
  <si>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</si>
  <si>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</si>
  <si>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</si>
  <si>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</si>
  <si>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</si>
  <si>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</si>
  <si>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</si>
  <si>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</si>
  <si>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</si>
  <si>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</si>
  <si>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</si>
  <si>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</si>
  <si>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</si>
  <si>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</si>
  <si>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</si>
  <si>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</si>
  <si>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</si>
  <si>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</si>
  <si>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</si>
  <si>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</si>
  <si>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</si>
  <si>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</si>
  <si>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</si>
  <si>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</si>
  <si>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</si>
  <si>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</si>
  <si>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</si>
  <si>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</si>
  <si>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</si>
  <si>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</si>
  <si>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</si>
  <si>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</si>
  <si>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</si>
  <si>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</si>
  <si>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</si>
  <si>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</si>
  <si>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</si>
  <si>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</si>
  <si>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</si>
  <si>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</si>
  <si>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</si>
  <si>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</si>
  <si>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</si>
  <si>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</si>
  <si>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</si>
  <si>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</si>
  <si>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</si>
  <si>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</si>
  <si>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</si>
  <si>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</si>
  <si>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</si>
  <si>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</si>
  <si>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</si>
  <si>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</si>
  <si>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</si>
  <si>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</si>
  <si>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</si>
  <si>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</si>
  <si>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</si>
  <si>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</si>
  <si>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</si>
  <si>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</si>
  <si>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</si>
  <si>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</si>
  <si>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</si>
  <si>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</si>
  <si>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</si>
  <si>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</si>
  <si>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</si>
  <si>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</si>
  <si>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</si>
  <si>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</si>
  <si>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</si>
  <si>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</si>
  <si>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</si>
  <si>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</si>
  <si>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</si>
  <si>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</si>
  <si>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</si>
  <si>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</si>
  <si>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</si>
  <si>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</si>
  <si>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</si>
  <si>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</si>
  <si>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</si>
  <si>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</si>
  <si>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</si>
  <si>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</si>
  <si>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</si>
  <si>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</si>
  <si>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</si>
  <si>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</si>
  <si>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</si>
  <si>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</si>
  <si>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</si>
  <si>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</si>
  <si>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</si>
  <si>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</si>
  <si>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</si>
  <si>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</si>
  <si>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</si>
  <si>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</si>
  <si>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</si>
  <si>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</si>
  <si>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</si>
  <si>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</si>
  <si>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</si>
  <si>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</si>
  <si>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</si>
  <si>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</si>
  <si>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</si>
  <si>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</si>
  <si>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</si>
  <si>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</si>
  <si>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</si>
  <si>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</si>
  <si>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</si>
  <si>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</si>
  <si>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</si>
  <si>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</si>
  <si>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</si>
  <si>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</si>
  <si>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</si>
  <si>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</si>
  <si>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</si>
  <si>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</si>
  <si>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</si>
  <si>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</si>
  <si>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</si>
  <si>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</si>
  <si>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</si>
  <si>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</si>
  <si>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</si>
  <si>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</si>
  <si>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</si>
  <si>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</si>
  <si>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</si>
  <si>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</si>
  <si>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</si>
  <si>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</si>
  <si>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</si>
  <si>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</si>
  <si>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</si>
  <si>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</si>
  <si>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</si>
  <si>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</si>
  <si>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</si>
  <si>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  <charset val="1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</si>
  <si>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</si>
  <si>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</si>
  <si>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</si>
  <si>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운용사명</t>
  </si>
  <si>
    <t>DB_ASSET</t>
  </si>
  <si>
    <t>DIMCO</t>
  </si>
  <si>
    <t xml:space="preserve">EUGEUGENE_ASSET </t>
  </si>
  <si>
    <t>HANHWA_INV</t>
  </si>
  <si>
    <t>HUNGKUK_INV</t>
  </si>
  <si>
    <t>HYUNDAI_ASST</t>
  </si>
  <si>
    <t>HYUNDAI_INVE</t>
  </si>
  <si>
    <t>KDB_ASSET</t>
  </si>
  <si>
    <t>KOR_INVESTMA</t>
  </si>
  <si>
    <t>KTB_ASSE_MGT</t>
  </si>
  <si>
    <t>PCA_INVESTME</t>
  </si>
  <si>
    <r>
      <rPr>
        <sz val="11"/>
        <rFont val="돋움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</si>
  <si>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SAMSUNG_ASSE</t>
  </si>
  <si>
    <t>TONGYANG_TR</t>
  </si>
  <si>
    <t>WOORI_CSAM</t>
  </si>
  <si>
    <t>YURI_ASSET</t>
  </si>
  <si>
    <t>KTB</t>
  </si>
  <si>
    <t>다올라자드디지털헬스1등주증권투자신탁주식</t>
  </si>
  <si>
    <t>최현희</t>
  </si>
  <si>
    <t>임관호</t>
  </si>
  <si>
    <t>이장원</t>
  </si>
  <si>
    <t>ING_INVESTMA</t>
  </si>
  <si>
    <t>YURIE_ASSET</t>
  </si>
  <si>
    <t>우리자산운용 TY59펀드</t>
  </si>
  <si>
    <t>KB_ASSET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</si>
  <si>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</si>
  <si>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</si>
  <si>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 xml:space="preserve">EUGENE_ASSET </t>
  </si>
  <si>
    <t>이효선</t>
  </si>
  <si>
    <t>심누리</t>
  </si>
  <si>
    <t>이해윤</t>
  </si>
  <si>
    <t>IBK_ASSET</t>
  </si>
  <si>
    <t>EUGENE_ASSET</t>
  </si>
  <si>
    <t>1C830</t>
  </si>
  <si>
    <t>06K52</t>
  </si>
  <si>
    <t>18CV</t>
  </si>
  <si>
    <t>18DA</t>
  </si>
  <si>
    <t>KB_SEC</t>
  </si>
  <si>
    <t>5G20</t>
  </si>
  <si>
    <t>공모/사모</t>
  </si>
  <si>
    <t>예탁원코드</t>
  </si>
  <si>
    <t>팀명</t>
  </si>
  <si>
    <t>담당매니저</t>
  </si>
  <si>
    <t>펀드명[FULL NAME]</t>
  </si>
  <si>
    <t>설정(예정)일</t>
  </si>
  <si>
    <t>순자산</t>
  </si>
  <si>
    <t>설정원본</t>
  </si>
  <si>
    <t>잔액보유</t>
  </si>
  <si>
    <t>다올자산운용</t>
  </si>
  <si>
    <t>공모</t>
  </si>
  <si>
    <t>KRZ501863161</t>
  </si>
  <si>
    <t>예정배</t>
  </si>
  <si>
    <t>이종희</t>
  </si>
  <si>
    <t>다올중국1등주증권투자신탁[주식]</t>
  </si>
  <si>
    <t>2014.01.02</t>
  </si>
  <si>
    <t>O</t>
  </si>
  <si>
    <t>KRZ502140781</t>
  </si>
  <si>
    <t>이승환</t>
  </si>
  <si>
    <t>다올글로벌4차산업1등주증권투자신탁[주식]</t>
  </si>
  <si>
    <t>사모</t>
  </si>
  <si>
    <t>KRZ502431040</t>
  </si>
  <si>
    <t>서세희</t>
  </si>
  <si>
    <t xml:space="preserve">다올옐로우엄브렐라글로벌전문투자형사모증권KZ-21호 주식 </t>
  </si>
  <si>
    <t>KRZ502478071</t>
  </si>
  <si>
    <t xml:space="preserve">다올글로벌메타버스&amp;우주산업1등주증권자투자신탁(H)[주식] </t>
  </si>
  <si>
    <t>KRZ502459040</t>
  </si>
  <si>
    <t xml:space="preserve">전양민 </t>
  </si>
  <si>
    <t xml:space="preserve">다올글로벌멀티에셋인컴EMP증권모투자신탁[혼합-재간접형] </t>
  </si>
  <si>
    <t>KRZ501984861</t>
  </si>
  <si>
    <t>전무석</t>
  </si>
  <si>
    <t>다올중국플러스찬스증권투자신탁[채권혼합]</t>
  </si>
  <si>
    <t>1C400</t>
  </si>
  <si>
    <t xml:space="preserve">사모 </t>
  </si>
  <si>
    <t>KRZ502510920</t>
  </si>
  <si>
    <t>다올KTB RF일반사모증권투자신탁제2호[채권-재간접형]</t>
  </si>
  <si>
    <t>헷지비율 조정</t>
  </si>
  <si>
    <t>KRZ502371641</t>
  </si>
  <si>
    <t>멀티에셋솔루션</t>
  </si>
  <si>
    <t>박수범</t>
  </si>
  <si>
    <t>다올글로벌멀티에셋인컴EMP증권자투자신탁[혼합-재간접형] 종류A</t>
  </si>
  <si>
    <r>
      <rPr>
        <sz val="11"/>
        <rFont val="돋움"/>
        <family val="3"/>
        <charset val="129"/>
      </rPr>
      <t>93,803(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</si>
  <si>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76,818(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</si>
  <si>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X</t>
  </si>
  <si>
    <t>1C051</t>
  </si>
  <si>
    <t>KRZ502067020</t>
  </si>
  <si>
    <t>멀티에셋투자본부</t>
  </si>
  <si>
    <t>이준 부장, 이지원 대리</t>
  </si>
  <si>
    <t>다올듀얼금리연계일반사모증권투자신탁제12호[채권-파생형]</t>
  </si>
  <si>
    <t>2016.07.13</t>
  </si>
  <si>
    <t>KRZ502079950</t>
  </si>
  <si>
    <t>다올듀얼금리연계일반사모증권투자신탁제13호[채권-파생형]</t>
  </si>
  <si>
    <t>2016.09.05</t>
  </si>
  <si>
    <t>KRZ502442830</t>
  </si>
  <si>
    <t>이지원</t>
  </si>
  <si>
    <t>다올KTB금리연계일반사모증권제116호[채권-파생형]</t>
  </si>
  <si>
    <t>1C758</t>
  </si>
  <si>
    <t>KRZ502598460</t>
  </si>
  <si>
    <t>김수연</t>
  </si>
  <si>
    <t>투자풀글로벌ETF일반사모투자신탁제16-8호H[채권-재간접형]</t>
  </si>
  <si>
    <t>1C764</t>
  </si>
  <si>
    <t>KRZ502610461</t>
  </si>
  <si>
    <t>글로벌운용팀</t>
  </si>
  <si>
    <t>다올BNYUSFallenAngel하이일드증권자(H)[채권-재간접형]</t>
  </si>
  <si>
    <t>1C781</t>
  </si>
  <si>
    <t>KRZ502610471</t>
  </si>
  <si>
    <t>다올 월지급 BNYUSFallenAngel하이일드증권자(H)[채권-재간접형]</t>
  </si>
  <si>
    <t>1C807</t>
  </si>
  <si>
    <t>KRZ502648610</t>
  </si>
  <si>
    <t>다올 미국 채권 일반사모증권투자신탁 CW-1호[채권-재간접형]</t>
  </si>
  <si>
    <t>KRZ502649180</t>
  </si>
  <si>
    <t>다올CU글로벌STARS일반사모투자신탁1호</t>
  </si>
  <si>
    <t>KRZ502649190</t>
  </si>
  <si>
    <t>다올CU글로벌EMP일반사모증권투자신탁1호[주식-재간접형]</t>
  </si>
  <si>
    <t>KRZ502650580</t>
  </si>
  <si>
    <t>다올 미국 STARS 일반사모투자신탁 제1호</t>
  </si>
  <si>
    <t>KRZ502639051</t>
  </si>
  <si>
    <t>다올 글로벌 트렌드 포커스 전환형 증권투자신탁 1호[채권혼합-재간접형]</t>
  </si>
  <si>
    <t>1C702</t>
  </si>
  <si>
    <t>KRZ502527101</t>
  </si>
  <si>
    <t>다올 JP모건글로벌투자적격등급회사채증권자투자신탁(H)[채권-재간접형]</t>
  </si>
  <si>
    <t>1C800</t>
  </si>
  <si>
    <t>KRZ502617310</t>
  </si>
  <si>
    <t>다올 옐로우엄브렐라글로벌채권일반사모투자신탁 1호</t>
  </si>
  <si>
    <t>KRZ502678320</t>
  </si>
  <si>
    <t>다올 해외주식글로벌일반사모증권CW-1호[주식-재간접형]</t>
  </si>
  <si>
    <t>2026.06.26</t>
  </si>
  <si>
    <t>청산펀드</t>
  </si>
  <si>
    <t>전양민</t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</si>
  <si>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전문투자형사모증권투자신탁</t>
    </r>
  </si>
  <si>
    <t>-</t>
  </si>
  <si>
    <t>1C611</t>
  </si>
  <si>
    <t>KRZ502373860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</si>
  <si>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전문투자형사모증권투자신탁</t>
    </r>
  </si>
  <si>
    <r>
      <rPr>
        <sz val="11"/>
        <rFont val="돋움"/>
        <family val="3"/>
        <charset val="129"/>
      </rPr>
      <t>KT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EMP[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</si>
  <si>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6,523(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</si>
  <si>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5,207(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</si>
  <si>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민생 중국</t>
    </r>
    <r>
      <rPr>
        <sz val="11"/>
        <rFont val="돋움"/>
        <family val="3"/>
        <charset val="129"/>
      </rPr>
      <t>A</t>
    </r>
    <r>
      <rPr>
        <sz val="11"/>
        <rFont val="Noto Sans CJK SC"/>
        <family val="2"/>
        <charset val="1"/>
      </rPr>
      <t xml:space="preserve">주 액티브 전문투자형사모투자신탁 </t>
    </r>
  </si>
  <si>
    <t>권정훈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</si>
  <si>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듀얼금리연계전문투자형사모증권투자신탁제</t>
    </r>
    <r>
      <rPr>
        <sz val="11"/>
        <rFont val="돋움"/>
        <family val="3"/>
        <charset val="129"/>
      </rPr>
      <t>14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</si>
  <si>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</si>
  <si>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중국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</si>
  <si>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등주분할매수목표전환형증권투자신탁제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</si>
  <si>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해외주식중국주식형전문투자형</t>
    </r>
  </si>
  <si>
    <t xml:space="preserve">CITI 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</si>
  <si>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글로벌구독경제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 xml:space="preserve">펀드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</si>
  <si>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1C695</t>
  </si>
  <si>
    <t xml:space="preserve">다올KTB글로벌채권ETF일반사모증권제12호[채권-재간접형] </t>
  </si>
  <si>
    <t>다올KTB월드멀티에셋전략일반사모증권투자신탁제1호 [채권혼합형]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</si>
  <si>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</t>
    </r>
    <r>
      <rPr>
        <sz val="11"/>
        <rFont val="돋움"/>
        <family val="3"/>
        <charset val="129"/>
      </rPr>
      <t>13[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파생형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</si>
  <si>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 HF</t>
    </r>
    <r>
      <rPr>
        <sz val="11"/>
        <rFont val="Noto Sans CJK SC"/>
        <family val="2"/>
        <charset val="1"/>
      </rPr>
      <t>글로벌채권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전문투자형 사모증권</t>
    </r>
    <r>
      <rPr>
        <sz val="11"/>
        <rFont val="돋움"/>
        <family val="3"/>
        <charset val="129"/>
      </rPr>
      <t>1[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</si>
  <si>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87,607(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</si>
  <si>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85,921(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</si>
  <si>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2022.12.13 </t>
    </r>
    <r>
      <rPr>
        <sz val="11"/>
        <rFont val="Noto Sans CJK SC"/>
        <family val="2"/>
        <charset val="1"/>
      </rPr>
      <t>폐쇄</t>
    </r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</si>
  <si>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</si>
  <si>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다올KTBTARGET솔루션일반사모증권투자신탁제1호[채권혼합형]</t>
  </si>
  <si>
    <t>KRZ502506390</t>
  </si>
  <si>
    <t>다올KTB글로벌주식EMP일반사모증권투자신탁제1호[주식-재간접형]</t>
  </si>
  <si>
    <t>KRZ502537757</t>
  </si>
  <si>
    <t>다올파운트1등TDF2040증권투자신탁[혼합-재간접형]</t>
  </si>
  <si>
    <t>KRZ502410680</t>
  </si>
  <si>
    <t>다올EMP글로벌자산배분일반사모증권투자신탁제1호[주식혼합형]</t>
  </si>
  <si>
    <t>1C755</t>
  </si>
  <si>
    <t>KRZ502567820</t>
  </si>
  <si>
    <t xml:space="preserve">다올글로벌채권EMP일반사모증권투자신탁제1호[채권-재간접형] </t>
  </si>
  <si>
    <t>예탁원종목코드</t>
  </si>
  <si>
    <t>메일</t>
  </si>
  <si>
    <t>펀드명(FULL NAME)</t>
  </si>
  <si>
    <t>설정예정일</t>
  </si>
  <si>
    <r>
      <rPr>
        <sz val="11"/>
        <rFont val="돋움"/>
        <family val="3"/>
        <charset val="129"/>
      </rPr>
      <t xml:space="preserve">DGB </t>
    </r>
    <r>
      <rPr>
        <sz val="11"/>
        <rFont val="Noto Sans CJK SC"/>
        <family val="2"/>
        <charset val="1"/>
      </rPr>
      <t>잔액 보유</t>
    </r>
  </si>
  <si>
    <t>현대인베스트먼트</t>
  </si>
  <si>
    <t>KRZ502064110</t>
  </si>
  <si>
    <t>진용환</t>
  </si>
  <si>
    <t>yhjin@hdfund.co.kr</t>
  </si>
  <si>
    <t>구겐하임CLO전문투자형사모특별자산투자신탁2호</t>
  </si>
  <si>
    <t>KRZ502064390</t>
  </si>
  <si>
    <t>현대인베스트먼트CLOCombo일반사모특별자산투자신탁1호(CLO)</t>
  </si>
  <si>
    <t>KRZ502388520</t>
  </si>
  <si>
    <t xml:space="preserve">현대인베스트TA무역금융전문투자형사모투자신탁1호 </t>
  </si>
  <si>
    <t>KRZ502471480</t>
  </si>
  <si>
    <t>현대인베스트먼트금리연계전문투자형사모증권투자신탁22호(채권-파생형)</t>
  </si>
  <si>
    <t>KRZ502359100</t>
  </si>
  <si>
    <t>엄주원</t>
  </si>
  <si>
    <t>globalai3@hdfund.co.kr</t>
  </si>
  <si>
    <t>현대인베스트칼라일크레딧오퍼튜니티일반사모투자신탁16호</t>
  </si>
  <si>
    <t>2019.07.25</t>
  </si>
  <si>
    <t>KRZ502520320</t>
  </si>
  <si>
    <t>이동석</t>
  </si>
  <si>
    <t>현대인베스트 해밀턴레인 EO 일반 사모투자신탁22호</t>
  </si>
  <si>
    <t>2022.10.13</t>
  </si>
  <si>
    <t>1212.98</t>
  </si>
  <si>
    <t xml:space="preserve"> </t>
  </si>
  <si>
    <t>박희찬</t>
  </si>
  <si>
    <t>지수금리연계전문투자형사모증권3호(DLS-파생형)</t>
  </si>
  <si>
    <t>박성진</t>
  </si>
  <si>
    <t xml:space="preserve">금리지수연계전문투자형사모증권투자신탁21호(채권) </t>
  </si>
  <si>
    <t xml:space="preserve">금리지수연계전문투자형사모증권투자신탁20호(채권) </t>
  </si>
  <si>
    <r>
      <rPr>
        <sz val="11"/>
        <rFont val="돋움"/>
        <family val="3"/>
        <charset val="129"/>
      </rPr>
      <t xml:space="preserve">CVC CLO </t>
    </r>
    <r>
      <rPr>
        <sz val="11"/>
        <rFont val="Noto Sans CJK SC"/>
        <family val="2"/>
        <charset val="1"/>
      </rPr>
      <t>사모특별자산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(CLO)</t>
    </r>
  </si>
  <si>
    <t>설정일</t>
  </si>
  <si>
    <r>
      <rPr>
        <sz val="11"/>
        <rFont val="돋움"/>
        <family val="3"/>
        <charset val="129"/>
      </rPr>
      <t>DGB</t>
    </r>
    <r>
      <rPr>
        <sz val="11"/>
        <rFont val="Noto Sans CJK SC"/>
        <family val="2"/>
        <charset val="1"/>
      </rPr>
      <t>잔액보유</t>
    </r>
  </si>
  <si>
    <t>유진자산</t>
  </si>
  <si>
    <t>육성홍</t>
  </si>
  <si>
    <t>KRZ501948030</t>
  </si>
  <si>
    <t>유진렉싱턴글로벌세컨더리사모증권2호</t>
  </si>
  <si>
    <t>KRZ501948040</t>
  </si>
  <si>
    <t>유진렉싱턴글로벌세컨더리사모증권3호</t>
  </si>
  <si>
    <t>KRZ502016340</t>
  </si>
  <si>
    <t>유진MIF사모증권1호</t>
  </si>
  <si>
    <t>KRZ502090020</t>
  </si>
  <si>
    <t>유진해밀턴레인세컨더리전문투자형사모1호</t>
  </si>
  <si>
    <t>KRZ502208690</t>
  </si>
  <si>
    <t>유진포모나세컨더리 전문투자형 사모투자신탁1호</t>
  </si>
  <si>
    <t>KRZ502208700</t>
  </si>
  <si>
    <t>유진포모나세컨더리 전문투자형 사모투자신탁2호</t>
  </si>
  <si>
    <t>KRZ502112511</t>
  </si>
  <si>
    <t>유진글로벌인프라전문투자형사모</t>
  </si>
  <si>
    <t>KRZ502211911</t>
  </si>
  <si>
    <t>유진DEXUS호주부동산일반사모투자신탁[H]적격 1호</t>
  </si>
  <si>
    <t>KRZ502267111</t>
  </si>
  <si>
    <t>유진DEXUS호주부동산일반사모투자신탁[H]적격 2호</t>
  </si>
  <si>
    <t>KRZ502324671</t>
  </si>
  <si>
    <t>유진DEXUS호주부동산일반사모투자신탁[H]적격 3호</t>
  </si>
  <si>
    <t>KRZ502376011</t>
  </si>
  <si>
    <t>유진DEXUS호주부동산일반사모투자신탁[H]적격 4호</t>
  </si>
  <si>
    <t>KRZ502259990</t>
  </si>
  <si>
    <t xml:space="preserve">유진ASP CO INVESTMENT 전문 사모 1호 </t>
  </si>
  <si>
    <t>KRZ502394530</t>
  </si>
  <si>
    <t>유진미국VC전문투자형사모투자신탁1호</t>
  </si>
  <si>
    <t>KRZ502367881</t>
  </si>
  <si>
    <t>유진챔피언글로벌월배당ETF혼합자산자투자신탁(H)(재간접형)</t>
  </si>
  <si>
    <t>KRZ502534120</t>
  </si>
  <si>
    <t>유진디딤플레인바닐라OCIO증권투자신탁(혼합-재간접형)</t>
  </si>
  <si>
    <t>KRZ502547364</t>
  </si>
  <si>
    <t>유진챔피언성과연동TDF2030증권투자신탁(혼합-재간접형)</t>
  </si>
  <si>
    <t>KRZ502547385</t>
  </si>
  <si>
    <t>유진챔피언성과연동TDF2040증권투자신탁(혼합-재간접형)</t>
  </si>
  <si>
    <t>김유리</t>
  </si>
  <si>
    <t>KRZ502246741</t>
  </si>
  <si>
    <t>유진글로벌AI플러스증권자투자신탁(H)(주식) Class A</t>
  </si>
  <si>
    <t>57150</t>
  </si>
  <si>
    <t xml:space="preserve">최문희 </t>
  </si>
  <si>
    <t xml:space="preserve">유진챔피언글로벌상장인프라증권(채권혼합) </t>
  </si>
  <si>
    <t>00300</t>
  </si>
  <si>
    <t xml:space="preserve">유진AI휴먼투게더EMP전문투자형사모투자신탁 </t>
  </si>
  <si>
    <t>민여경</t>
  </si>
  <si>
    <t>유진에이펙스전문투자형사모투자신탁4호</t>
  </si>
  <si>
    <t>유진에이펙스전문투자형사모투자신탁5호</t>
  </si>
  <si>
    <t>예탁원 종목코드</t>
  </si>
  <si>
    <t>담당</t>
  </si>
  <si>
    <t>골든브릿지</t>
  </si>
  <si>
    <t>KRZ501701430</t>
  </si>
  <si>
    <t>조국진 팀장, 박정호 수석</t>
  </si>
  <si>
    <r>
      <rPr>
        <sz val="11"/>
        <rFont val="돋움"/>
        <family val="3"/>
        <charset val="129"/>
      </rPr>
      <t xml:space="preserve">GB Global Opportunity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</si>
  <si>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골든브릿지미국DIP사모특별자산투자신탁1호(대출채권-재간접형)</t>
  </si>
  <si>
    <t>유리자산</t>
  </si>
  <si>
    <t>KRZ502051111</t>
  </si>
  <si>
    <t>안재정</t>
  </si>
  <si>
    <t>유리글로벌거래소연금저축증권자투자신탁(주식)</t>
  </si>
  <si>
    <t>KRZ500328831</t>
  </si>
  <si>
    <t xml:space="preserve">유리글로벌거래소증권자1(주식)-운용 </t>
  </si>
  <si>
    <t>KRZ502035651</t>
  </si>
  <si>
    <t xml:space="preserve">유리베트남알파증권자투자신탁(주식) </t>
  </si>
  <si>
    <t>KRZ502098838</t>
  </si>
  <si>
    <t xml:space="preserve">유리베트남공모주증권자투자신탁(채권혼합) </t>
  </si>
  <si>
    <t>KRZ502065541</t>
  </si>
  <si>
    <t xml:space="preserve">유리베트남알파연금저축자투자신탁(주식) </t>
  </si>
  <si>
    <t>KRZ502394500</t>
  </si>
  <si>
    <t xml:space="preserve">유리필라델피아반도체인덱스증권모투자신탁(주식) </t>
  </si>
  <si>
    <t>KRZ502394551</t>
  </si>
  <si>
    <t xml:space="preserve">유리필라델피아반도체인덱스증권자투자신탁H(주식)-운용 </t>
  </si>
  <si>
    <t>KRZ502456910</t>
  </si>
  <si>
    <t>유리글로벌top10 플러스증권모투자신탁(주식)</t>
  </si>
  <si>
    <t>KRZ502457541</t>
  </si>
  <si>
    <t xml:space="preserve">유리글로벌Top10주식과단기채증권자투자신탁(채권혼합) </t>
  </si>
  <si>
    <t>유리쿼터백글로벌BBIG주식EMP증권투자신탁(주식-재간접형)</t>
  </si>
  <si>
    <t>한국투신</t>
  </si>
  <si>
    <t>KRZ502022130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</si>
  <si>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</si>
  <si>
    <t>한국투자글로벌프라임전문투자형사모특별자산투자신탁2호(대출-재간접형)</t>
  </si>
  <si>
    <t>KRZ502022120</t>
  </si>
  <si>
    <t>한국투자글로벌프라임전문투자형사모특별자산투자신탁1호(대출-재간접형)</t>
  </si>
  <si>
    <t>KRZ502080230</t>
  </si>
  <si>
    <t>한국투자 글로벌 CM VII 일반 사모 투자신탁(파생형)</t>
  </si>
  <si>
    <t>KRZ502067230</t>
  </si>
  <si>
    <t>한국투자글로벌SPVII전문투자형사모증권투자신탁(주식-재간접형)</t>
  </si>
  <si>
    <t>KRZ502169371</t>
  </si>
  <si>
    <t>한국투자글로벌ACED전문투자형사모특별자산투자신탁(대출채권-재간접형)(모)</t>
  </si>
  <si>
    <t>KRZ502183080</t>
  </si>
  <si>
    <t>한국투자KPIDoum전문투자형사모투자신탁1호</t>
  </si>
  <si>
    <t>KRZ502191160</t>
  </si>
  <si>
    <t>한국투자글로벌PCOPII전문투자형사모투자신탁</t>
  </si>
  <si>
    <t>KRZ502103000</t>
  </si>
  <si>
    <t>한국투자BSP전문투자형사모특별자산투자신탁(대출채권-재간접형)</t>
  </si>
  <si>
    <t>KRZ502211660</t>
  </si>
  <si>
    <t>한국투자글로벌KPI멀티스트래티지전문투자형사모투자신탁</t>
  </si>
  <si>
    <t>KRZ502057010</t>
  </si>
  <si>
    <t>최윤영사원(FI팀)</t>
  </si>
  <si>
    <t>한국투자금리연계일반사모증권투자신탁11호(채권-파생형)</t>
  </si>
  <si>
    <t>KRZ502071590</t>
  </si>
  <si>
    <t>한국투자금리연계일반사모증권투자신탁15호(채권-파생형)</t>
  </si>
  <si>
    <t>KRZ502258790</t>
  </si>
  <si>
    <t>한국투자글로벌KPIACIV전문투자형사모투자신탁</t>
  </si>
  <si>
    <t>06H98</t>
  </si>
  <si>
    <t>KRZ502272050</t>
  </si>
  <si>
    <t>한국투자글로벌KPI구겐하임전문투자형사모투자신탁</t>
  </si>
  <si>
    <t>KRZ502285330</t>
  </si>
  <si>
    <t>한국투자글로벌BDLIII전문투자형사모투자신탁</t>
  </si>
  <si>
    <t>KRZ502285310</t>
  </si>
  <si>
    <t>한국투자글로벌ADLIII전문투자형사모투자신탁</t>
  </si>
  <si>
    <t>KRZ502305860</t>
  </si>
  <si>
    <t>한국투자글로벌KPIVEPVII일반사모투자신탁</t>
  </si>
  <si>
    <t>KRZ502292870</t>
  </si>
  <si>
    <t>한국투자GGARF전문투자형사모투자신탁1호</t>
  </si>
  <si>
    <t>KRZ502289920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</si>
  <si>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주승현</t>
    </r>
    <r>
      <rPr>
        <sz val="11"/>
        <rFont val="돋움"/>
        <family val="3"/>
        <charset val="129"/>
      </rPr>
      <t>)</t>
    </r>
  </si>
  <si>
    <t>한국투자글로벌KPIResoluteIV전문투자형사모투자신탁</t>
  </si>
  <si>
    <t>KRZ502334910</t>
  </si>
  <si>
    <t>한국투자글로벌유럽PDF전문투자형사모투자신탁</t>
  </si>
  <si>
    <t>KRZ502350510</t>
  </si>
  <si>
    <t>한국투자글로벌KPI ASP전문투자형사모투자신탁</t>
  </si>
  <si>
    <t>KRZ502344060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</si>
  <si>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김민희</t>
    </r>
    <r>
      <rPr>
        <sz val="11"/>
        <rFont val="돋움"/>
        <family val="3"/>
        <charset val="129"/>
      </rPr>
      <t>)</t>
    </r>
  </si>
  <si>
    <t>한국투자글로벌KPI VARDE XIII전문투자형사모투자신탁</t>
  </si>
  <si>
    <t>KRZ502356400</t>
  </si>
  <si>
    <t>한국투자글로벌KPIHIGV일반사모투자신탁</t>
  </si>
  <si>
    <t>KRZ502366510</t>
  </si>
  <si>
    <t>한국투자글로벌OSSFII전문투자형사모투자신탁</t>
  </si>
  <si>
    <t>KRZ502135210</t>
  </si>
  <si>
    <t>한국투자글로벌AEPFIII전문투자형사모투자신탁</t>
  </si>
  <si>
    <t>KRZ502080370</t>
  </si>
  <si>
    <t>한국투자글로벌HPSIII전문투자형사모증권투자신탁(주식혼합-재간접형)</t>
  </si>
  <si>
    <t>KRZ502397610</t>
  </si>
  <si>
    <t>한국투자글로벌KPILending전문투자형사모투자신탁</t>
  </si>
  <si>
    <t>06K78</t>
  </si>
  <si>
    <t>KRZ502403220</t>
  </si>
  <si>
    <t>글로벌운용본부</t>
  </si>
  <si>
    <t xml:space="preserve">한국투자 차이나 GI전문투자형 사모투자신탁 1호 </t>
  </si>
  <si>
    <t>06K84</t>
  </si>
  <si>
    <t>KRZ502407890</t>
  </si>
  <si>
    <t>홍현 매니저</t>
  </si>
  <si>
    <t xml:space="preserve">한국투자베이직전문투자형사모증권투자신탁97호(채권-파생형) </t>
  </si>
  <si>
    <t>KRZ502481200</t>
  </si>
  <si>
    <t>이주호사원(FI팀)</t>
  </si>
  <si>
    <t>한국투자글로벌플렉스증권투자신탁(채권혼합-재간접형)(모)</t>
  </si>
  <si>
    <t>KRZ502434130</t>
  </si>
  <si>
    <t>한국투자글로벌KPIDoverX전문투자형사모투자신탁</t>
  </si>
  <si>
    <t>06W20</t>
  </si>
  <si>
    <t>KRZ502439870</t>
  </si>
  <si>
    <t>한국투자글로벌KPIPG2020전문투자형사모투자신탁</t>
  </si>
  <si>
    <t>06W56</t>
  </si>
  <si>
    <t>KRZ502472780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</si>
  <si>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 xml:space="preserve">/ </t>
    </r>
    <r>
      <rPr>
        <sz val="11"/>
        <rFont val="Noto Sans CJK SC"/>
        <family val="2"/>
        <charset val="1"/>
      </rPr>
      <t>이동석</t>
    </r>
  </si>
  <si>
    <t xml:space="preserve">한국투자Multi-Selection전문투자형사모신탁1호 </t>
  </si>
  <si>
    <t>06W74</t>
  </si>
  <si>
    <t>KRZ502482930</t>
  </si>
  <si>
    <r>
      <rPr>
        <sz val="11"/>
        <rFont val="돋움"/>
        <family val="3"/>
        <charset val="129"/>
      </rPr>
      <t>FI</t>
    </r>
    <r>
      <rPr>
        <sz val="11"/>
        <rFont val="Noto Sans CJK SC"/>
        <family val="2"/>
        <charset val="1"/>
      </rPr>
      <t xml:space="preserve">팀 </t>
    </r>
  </si>
  <si>
    <t xml:space="preserve">한국투자베이직전문투자형사모증권투자신탁111호(채권-재간접형) </t>
  </si>
  <si>
    <t>06Y47</t>
  </si>
  <si>
    <t>KRZ502554570</t>
  </si>
  <si>
    <t>한국투자 글로벌 VV SEA&amp;INDIA 5 일반사모투자신탁(파생형)</t>
  </si>
  <si>
    <t>08K58</t>
  </si>
  <si>
    <t>KRZ502601680</t>
  </si>
  <si>
    <t>전유진</t>
  </si>
  <si>
    <t>한국투자칼라일CLO일반사모자투자신탁4호H</t>
  </si>
  <si>
    <t>KRZ500223611</t>
  </si>
  <si>
    <t>위탁운용팀</t>
  </si>
  <si>
    <t>한국투자차이나증권1(주식-재간접형)(모)</t>
  </si>
  <si>
    <t>KRZ500312651</t>
  </si>
  <si>
    <t>한국투자차이나베트남증권1(주식)(모)</t>
  </si>
  <si>
    <t>KRZ500403931</t>
  </si>
  <si>
    <t>한국투자그레이터차이나증권자투자신탁1호(주식)(모)</t>
  </si>
  <si>
    <t>KRZ501485362</t>
  </si>
  <si>
    <t>한국투자골드플랜차이나연금증권전환형자투자신탁1호(주식)(모)</t>
  </si>
  <si>
    <t>KRZ500608691</t>
  </si>
  <si>
    <t>한국투자네비게이터중국본토증권자투자신탁H(주식)(모)</t>
  </si>
  <si>
    <t>KRZ500612372</t>
  </si>
  <si>
    <t>한국투자셀렉트중국본토ETF증권자투자신탁H(주식-재간접형)(모)</t>
  </si>
  <si>
    <t>KRZ501816851</t>
  </si>
  <si>
    <t>한국투자연금셀렉트중국본토ETF증권전환형자투자신탁(주식-재)</t>
  </si>
  <si>
    <t>KRZ501906680</t>
  </si>
  <si>
    <t>한국투자신종개인연금네비게이터중국본토증권전환형자신탁2호H(주식)</t>
  </si>
  <si>
    <t>KRZ502033111</t>
  </si>
  <si>
    <t>한국투자베트남그로스증권자신탁(주식)(모)</t>
  </si>
  <si>
    <t>KRZ502046881</t>
  </si>
  <si>
    <t>한국투자퇴직연금베트남그로스40증권자투자신탁(채권혼합)(모) 종류 C</t>
  </si>
  <si>
    <t>KRZ502055551</t>
  </si>
  <si>
    <r>
      <rPr>
        <sz val="11"/>
        <rFont val="돋움"/>
        <family val="3"/>
        <charset val="129"/>
      </rPr>
      <t>GIS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김민혜</t>
    </r>
    <r>
      <rPr>
        <sz val="11"/>
        <rFont val="돋움"/>
        <family val="3"/>
        <charset val="129"/>
      </rPr>
      <t>)</t>
    </r>
  </si>
  <si>
    <t>한국투자웰링턴글로벌퀄리티증권자신탁(H)(A)</t>
  </si>
  <si>
    <t>KRZ502048754</t>
  </si>
  <si>
    <t>한국투자연금베트남그로스증권자투자신탁(주식)(모)</t>
  </si>
  <si>
    <t>KRZ502228201</t>
  </si>
  <si>
    <t>한국투자중국4차산업탄소제로증권신탁(주식)(모)</t>
  </si>
  <si>
    <t>05F09</t>
  </si>
  <si>
    <t>KRZ501699740</t>
  </si>
  <si>
    <r>
      <rPr>
        <sz val="11"/>
        <rFont val="돋움"/>
        <family val="3"/>
        <charset val="129"/>
      </rPr>
      <t>GAI HF</t>
    </r>
    <r>
      <rPr>
        <sz val="11"/>
        <rFont val="Noto Sans CJK SC"/>
        <family val="2"/>
        <charset val="1"/>
      </rPr>
      <t>팀 김태현</t>
    </r>
  </si>
  <si>
    <t>한국투자사모퍼스트CTA증권투자신탁3호(주식혼합-재간접형)</t>
  </si>
  <si>
    <t>2011.05.16</t>
  </si>
  <si>
    <t>리테일</t>
  </si>
  <si>
    <t>05H12</t>
  </si>
  <si>
    <t>KRZ501901990</t>
  </si>
  <si>
    <t>한국투자사모StableIncome증권투자신탁2호</t>
  </si>
  <si>
    <t>2014.6.26</t>
  </si>
  <si>
    <t>06X92</t>
  </si>
  <si>
    <t>KRZ502525671</t>
  </si>
  <si>
    <t>한국투자HLGLOBALPRIVATEASSET일반사모자투자신탁4호H(재간접형)(모)</t>
  </si>
  <si>
    <t>2022.09.22</t>
  </si>
  <si>
    <t>06Y13</t>
  </si>
  <si>
    <t>KRZ502537131</t>
  </si>
  <si>
    <t>한국투자HLGLOBALPRIVATEASSET일반사모자투자신탁5호H(재간접)(모)</t>
  </si>
  <si>
    <t>2023.01.19</t>
  </si>
  <si>
    <t>KRZ502553931</t>
  </si>
  <si>
    <t>한국투자아폴로AAA일반사모자투자신탁H(모)</t>
  </si>
  <si>
    <t>2023.06.19</t>
  </si>
  <si>
    <t>06Z07</t>
  </si>
  <si>
    <t>KRZ502565910</t>
  </si>
  <si>
    <t>한국투자Hamilton lane SCOPE일반사모자투자신탁H</t>
  </si>
  <si>
    <t>2023.10.24</t>
  </si>
  <si>
    <t>06Z24</t>
  </si>
  <si>
    <t>KRZ502573650</t>
  </si>
  <si>
    <t>한국투자글로벌칼라일일반사모투자신탁</t>
  </si>
  <si>
    <t>2023.12.11</t>
  </si>
  <si>
    <t>06Z55</t>
  </si>
  <si>
    <t>KRZ502580200</t>
  </si>
  <si>
    <t>한국투자칼라일CLO일반사모자투자신탁3호H</t>
  </si>
  <si>
    <t>2024.02.18</t>
  </si>
  <si>
    <t>06Y97</t>
  </si>
  <si>
    <t>KRZ502587560</t>
  </si>
  <si>
    <t>한국투자글로벌해밀턴레인GPA일반사모투자신탁H</t>
  </si>
  <si>
    <t>2024.04.30</t>
  </si>
  <si>
    <t>06Z03</t>
  </si>
  <si>
    <t>KRZ502591700</t>
  </si>
  <si>
    <t>한국투자글로벌월지급식아폴로ADS일반사모투자신탁</t>
  </si>
  <si>
    <t>2024.06.11</t>
  </si>
  <si>
    <t>08K51</t>
  </si>
  <si>
    <t>KRZ502597950</t>
  </si>
  <si>
    <t>정수연</t>
  </si>
  <si>
    <t>한국투자파트너스그룹GlobalValue일반사모자투자신탁(H)</t>
  </si>
  <si>
    <t>2024.07.16</t>
  </si>
  <si>
    <t>08K60</t>
  </si>
  <si>
    <t>KRZ502604160</t>
  </si>
  <si>
    <t>한국투자글로벌월지급식골드만삭스BDC일반사모자투자신탁(H)</t>
  </si>
  <si>
    <t>2024.09.10</t>
  </si>
  <si>
    <t>KRZ502604750</t>
  </si>
  <si>
    <t>한국투자글로벌아폴로대체자산일반사모자투자신탁(H)</t>
  </si>
  <si>
    <t>2024.10.07</t>
  </si>
  <si>
    <t>08K94</t>
  </si>
  <si>
    <t>KRZ502610970</t>
  </si>
  <si>
    <t>NHSEC</t>
  </si>
  <si>
    <t>한국투자Multi-Selection일반사모투자신탁2호</t>
  </si>
  <si>
    <t>2024.11.25</t>
  </si>
  <si>
    <t>KRZ502579680</t>
  </si>
  <si>
    <t>김형철</t>
  </si>
  <si>
    <t>한국투자글로벌장기종합투자 솔루션 일반사모투자신탁</t>
  </si>
  <si>
    <t>2024.2.2</t>
  </si>
  <si>
    <t>08L06</t>
  </si>
  <si>
    <t>KRZ502615350</t>
  </si>
  <si>
    <t>한국투자칼라일CLO일반사모자투자신탁5호(H)</t>
  </si>
  <si>
    <t>2025.01.10</t>
  </si>
  <si>
    <t>08L28</t>
  </si>
  <si>
    <t>KRZ502616580</t>
  </si>
  <si>
    <t>한국투자글로벌칼라일일반사모투자신탁2호</t>
  </si>
  <si>
    <t>2025.01.14</t>
  </si>
  <si>
    <t>08K98</t>
  </si>
  <si>
    <t>KRZ502615290</t>
  </si>
  <si>
    <t>이진형</t>
  </si>
  <si>
    <t>한국투자글로벌해밀턴레인GPA일반사모자투자신탁2호(H)</t>
  </si>
  <si>
    <t>2025.01.20</t>
  </si>
  <si>
    <t>08L47</t>
  </si>
  <si>
    <t>KRZ502619561</t>
  </si>
  <si>
    <t>한국투자글로벌월지급식아폴로ADS일반 사모 자투자신탁 2호(H)</t>
  </si>
  <si>
    <t>2025.02.12</t>
  </si>
  <si>
    <t>08L68</t>
  </si>
  <si>
    <t>KRZ502620390</t>
  </si>
  <si>
    <t>한국투자파트너스그룹GlobalValue일반사모자투자신탁2호(H)</t>
  </si>
  <si>
    <t>2025.02.26</t>
  </si>
  <si>
    <t>08L71</t>
  </si>
  <si>
    <t>KRZ502621150</t>
  </si>
  <si>
    <t>한국투자글로벌월지급식블랙록BDEBT일반사모자투자신탁(H)</t>
  </si>
  <si>
    <t>2025.03.11</t>
  </si>
  <si>
    <t>08L63</t>
  </si>
  <si>
    <t>KRZ502619840</t>
  </si>
  <si>
    <t>한국투자글로벌월지급식베어링BPCC일반사모자투자신탁(H)</t>
  </si>
  <si>
    <t>2025.03.19</t>
  </si>
  <si>
    <t>08L74</t>
  </si>
  <si>
    <t>KRZ502621940</t>
  </si>
  <si>
    <t>한국투자LIT ARF 일반사모투자신탁2호(H)</t>
  </si>
  <si>
    <t>2025.03.20</t>
  </si>
  <si>
    <t>KRZ500608670</t>
  </si>
  <si>
    <t>한국투자네비게이터중국본토증권모투자신탁(주식)</t>
  </si>
  <si>
    <t>2010.2.05</t>
  </si>
  <si>
    <t>KRZ501958390</t>
  </si>
  <si>
    <t>한국투자달러표시중국채권증권모투자신탁(채권)</t>
  </si>
  <si>
    <t>KRZ502363840</t>
  </si>
  <si>
    <t>한국투자아시아플러스ex-China증권모투자신탁(채권)</t>
  </si>
  <si>
    <t>KRZ502033100</t>
  </si>
  <si>
    <t>한국투자베트남그로스증권모투자신탁(주식)</t>
  </si>
  <si>
    <t>2016.02.17</t>
  </si>
  <si>
    <t>06G95</t>
  </si>
  <si>
    <t>KRZ502131550</t>
  </si>
  <si>
    <t>한국투자글로벌CIPVI일반사모투자신탁</t>
  </si>
  <si>
    <t>2017.04.04</t>
  </si>
  <si>
    <t>KRZ500612350</t>
  </si>
  <si>
    <t>한국투자셀렉트중국본토ETF증권모투자신탁(주식-재간접형)</t>
  </si>
  <si>
    <t>2010.03.04</t>
  </si>
  <si>
    <t>KRZ502623941</t>
  </si>
  <si>
    <t>한국투자글로벌콜러EQUITY일반사모자투자신탁(H)</t>
  </si>
  <si>
    <t>09C54</t>
  </si>
  <si>
    <t>KRZ502624343</t>
  </si>
  <si>
    <t>한국투자UBP캠벨스마트알파증권자투자신탁H(혼합-재간접형)</t>
  </si>
  <si>
    <t>08M16</t>
  </si>
  <si>
    <t>KRZ502627281</t>
  </si>
  <si>
    <t>김민희</t>
  </si>
  <si>
    <t>한국투자글로벌스텝스톤SCRED 일반사모 투자신탁</t>
  </si>
  <si>
    <t>08M19</t>
  </si>
  <si>
    <t>KRZ502627961</t>
  </si>
  <si>
    <t>한국투자글로벌 하버베스트 GPS 일반사모(H)</t>
  </si>
  <si>
    <t>08M12</t>
  </si>
  <si>
    <t>KRZ502625960</t>
  </si>
  <si>
    <t>한국투자글로벌GolubGCRED 일반사모투자신탁</t>
  </si>
  <si>
    <t>06Z66</t>
  </si>
  <si>
    <t>KRZ502581620</t>
  </si>
  <si>
    <t>선제우</t>
  </si>
  <si>
    <t>한국투자옐로우엄브렐러이머징절대수익형일반사모투자신탁Redwheel KZ(G) 2025-2호</t>
  </si>
  <si>
    <t>06X23</t>
  </si>
  <si>
    <t>KRZ502502880</t>
  </si>
  <si>
    <t>한국투자옐로우엄브렐러글로벌절대수익형일반사모투자신탁KZ2022-1호</t>
  </si>
  <si>
    <t>08K93</t>
  </si>
  <si>
    <t>KRZ502609290</t>
  </si>
  <si>
    <t>글로벌버크셔XI 일반사모투자신탁</t>
  </si>
  <si>
    <t>08M44</t>
  </si>
  <si>
    <t>KRZ502630661</t>
  </si>
  <si>
    <t>박준열</t>
  </si>
  <si>
    <t>한국투자글로벌칼라일MonedaCLO일반사모자투자신탁(H)</t>
  </si>
  <si>
    <t>2025.06.12</t>
  </si>
  <si>
    <t>08M26</t>
  </si>
  <si>
    <t>KRZ502628001</t>
  </si>
  <si>
    <t>한국투자글로벌월지급식뮤지니치일반사모투자신탁</t>
  </si>
  <si>
    <t>2025.05.22</t>
  </si>
  <si>
    <t>08M51</t>
  </si>
  <si>
    <t>KRZ502631281</t>
  </si>
  <si>
    <t>한국투자글로벌월지급식골드만삭스BDC일반사모자투자신탁2호(H)</t>
  </si>
  <si>
    <t>08M77</t>
  </si>
  <si>
    <t>KRZ502637670</t>
  </si>
  <si>
    <t>NH SEC</t>
  </si>
  <si>
    <t>한국투자 유러피언 크레딧 일반사모투자신탁</t>
  </si>
  <si>
    <t>08M79</t>
  </si>
  <si>
    <t>KRZ502639210</t>
  </si>
  <si>
    <t>한국투자블랙록CLO Equity 일반사모 투자신탁</t>
  </si>
  <si>
    <t>08M76</t>
  </si>
  <si>
    <t>KRZ502637520</t>
  </si>
  <si>
    <t>한국투자 Multi-selection 일반사모투자신탁 3호</t>
  </si>
  <si>
    <t>08M66</t>
  </si>
  <si>
    <t>KRZ502635160</t>
  </si>
  <si>
    <t>한국투자 Multi-selection 일반사모투자신탁 3호(H)</t>
  </si>
  <si>
    <t>08M72</t>
  </si>
  <si>
    <t>KRZ502635431</t>
  </si>
  <si>
    <t>한국투자 글로벌 칼라일 CAPM 일반사모 자투자신탁(H)</t>
  </si>
  <si>
    <t>08N12</t>
  </si>
  <si>
    <t>KRZ502642631</t>
  </si>
  <si>
    <t>한국투자 Franklin Lexington 세컨더리 일반사모자투자신탁(H)(A)</t>
  </si>
  <si>
    <t>08N13</t>
  </si>
  <si>
    <t>KRZ502642632</t>
  </si>
  <si>
    <t>한국투자 Franklin Lexington 세컨더리 일반사모자투자신탁(H)(A1)</t>
  </si>
  <si>
    <t>08N18</t>
  </si>
  <si>
    <t>KRZ502643031</t>
  </si>
  <si>
    <t xml:space="preserve">한국투자글로벌월지급식블랙록BDEBT일반사모자투자신탁2호(H)모 </t>
  </si>
  <si>
    <t>08N36</t>
  </si>
  <si>
    <t>KRZ502646430</t>
  </si>
  <si>
    <t>연기금HLSCOPE일반사모투자신탁1호</t>
  </si>
  <si>
    <r>
      <rPr>
        <sz val="11"/>
        <rFont val="돋움"/>
        <family val="3"/>
        <charset val="129"/>
      </rPr>
      <t>2025.10</t>
    </r>
    <r>
      <rPr>
        <sz val="11"/>
        <rFont val="Noto Sans CJK SC"/>
        <family val="2"/>
        <charset val="1"/>
      </rPr>
      <t>월</t>
    </r>
  </si>
  <si>
    <t>08P16</t>
  </si>
  <si>
    <t>KRZ502656801</t>
  </si>
  <si>
    <t>한국투자글로벌콜러EQUITY일반사모자투자신탁2호(H)</t>
  </si>
  <si>
    <t>08P30</t>
  </si>
  <si>
    <t>KRZ502660111</t>
  </si>
  <si>
    <t>한국투자글로벌칼라일CAPM일반사모자투자신탁2호(H)</t>
  </si>
  <si>
    <t>08N11</t>
  </si>
  <si>
    <t>거래가능펀드</t>
  </si>
  <si>
    <t>05C02</t>
  </si>
  <si>
    <t xml:space="preserve">멀티에셋운용부 </t>
  </si>
  <si>
    <t>한국투자TDF알아서증권투자신탁(채권혼합-재간접형)(모)</t>
  </si>
  <si>
    <t>05C14</t>
  </si>
  <si>
    <t>한국투자TDF알아서2020증권모투자신탁(채권혼합-재간접형)</t>
  </si>
  <si>
    <t>05C30</t>
  </si>
  <si>
    <t>한국투자TDF알아서2025증권투자신탁(주식혼합-재간접형)(모)</t>
  </si>
  <si>
    <t>05C44</t>
  </si>
  <si>
    <t>한국투자TDF알아서2030증권투자신탁(주식혼합-재간접형)(모)</t>
  </si>
  <si>
    <t>05C58</t>
  </si>
  <si>
    <t>한국투자TDF알아서2035증권투자신탁(주식혼합-재간접형)(모)</t>
  </si>
  <si>
    <t>05C72</t>
  </si>
  <si>
    <t>한국투자TDF알아서2040증권투자신탁(주식혼합-재간접형)(모)</t>
  </si>
  <si>
    <t>05C86</t>
  </si>
  <si>
    <t>한국투자TDF알아서2045증권투자신탁(주식혼합-재간접형)(모)</t>
  </si>
  <si>
    <t>05N22</t>
  </si>
  <si>
    <t>한국투자글로벌자산배분증권모투자신탁(채권혼합-재간접형)</t>
  </si>
  <si>
    <t>05N23</t>
  </si>
  <si>
    <t>한국투자글로벌채권증권모투자신탁(채권-재간접형)</t>
  </si>
  <si>
    <t>05W22</t>
  </si>
  <si>
    <r>
      <rPr>
        <sz val="11"/>
        <rFont val="돋움"/>
        <family val="3"/>
        <charset val="129"/>
      </rPr>
      <t>SPOT(</t>
    </r>
    <r>
      <rPr>
        <sz val="11"/>
        <rFont val="Noto Sans CJK SC"/>
        <family val="2"/>
        <charset val="1"/>
      </rPr>
      <t>환전만</t>
    </r>
    <r>
      <rPr>
        <sz val="11"/>
        <rFont val="돋움"/>
        <family val="3"/>
        <charset val="129"/>
      </rPr>
      <t>)</t>
    </r>
  </si>
  <si>
    <t>한국투자TDF알아서2050증권모투자신탁(주식혼합-재간접형)</t>
  </si>
  <si>
    <t>05W24</t>
  </si>
  <si>
    <t>한국투자TDF알아서2050증권자투자신탁(주식혼합-재간접형)(모)</t>
  </si>
  <si>
    <t>07A77</t>
  </si>
  <si>
    <t>한국투자신종개인연금TDF알아서2050전환형자H(주식혼합-재간접형)(모)</t>
  </si>
  <si>
    <t>07H33</t>
  </si>
  <si>
    <t>한국투자TDF알아서2055증권자투자신탁H(주식혼합-재간접형)</t>
  </si>
  <si>
    <t>07H32</t>
  </si>
  <si>
    <t>한국투자TDF알아서2055증권모투자신탁H(주식혼합-재간접형)</t>
  </si>
  <si>
    <t>07H68</t>
  </si>
  <si>
    <t>한국투자TDF알아서2060증권자투자신탁H(주식혼합-재간접형)</t>
  </si>
  <si>
    <t>07H67</t>
  </si>
  <si>
    <t>한국투자TDF알아서2060증권모투자신탁H(주식혼합-재간접형)</t>
  </si>
  <si>
    <t>한국투자든든한달러표시채권목표전환형증권투자신탁1호(채권혼합)</t>
  </si>
  <si>
    <t>한국투자든든한달러표시채권목표전환형증권투자신탁2호(채권혼합)</t>
  </si>
  <si>
    <t>한국투자베트남IPO증권투자신탁(채권혼합)(모)</t>
  </si>
  <si>
    <t>한국투자KP전문투자형사모증권투자신탁10호(채권)</t>
  </si>
  <si>
    <t>한국투자KP전문투자형사모증권투자신탁11호(채권)</t>
  </si>
  <si>
    <t>한국투자KP전문투자형사모증권투자신탁12호(채권)</t>
  </si>
  <si>
    <t>한국투자KP전문투자형사모증권투자신탁13호(USD)(채권)</t>
  </si>
  <si>
    <t>한국투자KP전문투자형사모증권투자신탁14호(채권)</t>
  </si>
  <si>
    <t>한국투자KP전문투자형사모증권투자신탁15호(채권)</t>
  </si>
  <si>
    <t>한국투자KOIC베트남IPO전문투자형사모투자신탁</t>
  </si>
  <si>
    <t>06H99</t>
  </si>
  <si>
    <t>한국투자글로벌KPS구겐하임전문투자형사모투자신탁</t>
  </si>
  <si>
    <t>한국투자글로벌KPS멀티스트래티지전문투자형사모투자신탁</t>
  </si>
  <si>
    <t xml:space="preserve">한국투자베이직전문투자형사모증권투자신탁103호(채권-재간접형) </t>
  </si>
  <si>
    <t>한국투자베이직전문투자형사모증권투자신탁104호(채권-재간접형)</t>
  </si>
  <si>
    <t>06W07</t>
  </si>
  <si>
    <t>글로벌운영본부</t>
  </si>
  <si>
    <t>한국투자중국공모주투자일반사모투자신탁1호</t>
  </si>
  <si>
    <t>한국투자HLGLOBALPRIVATEASSET전문투자형사모모투자신탁(재간접형)(USD)</t>
  </si>
  <si>
    <t>한국투자HLGLOBALPRIVATEASSET전문투자형사모자투자신탁(재간접형)(모)</t>
  </si>
  <si>
    <t>한국투자HLGLOBALPRIVATEASSET전문투자형사모자투자신탁UH(재간접형)</t>
  </si>
  <si>
    <t>한국투자중국공모주투자증권모투자신탁(주식혼합)</t>
  </si>
  <si>
    <t>한국투자중국공모주투자증권자투자신탁H(주식혼합)(모)</t>
  </si>
  <si>
    <t>한국투자중국공모주투자증권자투자신탁2호H(주식혼합)(모)</t>
  </si>
  <si>
    <t>08F07</t>
  </si>
  <si>
    <t>한국투자베이직전문투자형사모증권투자신탁35호(DLS-파생형)</t>
  </si>
  <si>
    <t>08F09</t>
  </si>
  <si>
    <t>한국투자금리연계전문투자형사모증권투자신탁12호(DLS-파생형)</t>
  </si>
  <si>
    <t>한국투자사모글로벌프라임증권투자신탁1호(주식혼합-재간접형)</t>
  </si>
  <si>
    <t>06W82</t>
  </si>
  <si>
    <t>한국투자MF전문투자형사모증권투자신탁9호(채권-재간접형)</t>
  </si>
  <si>
    <t xml:space="preserve">한국투자글로벌HPS SLF V 전문투자형 사모투자신탁 </t>
  </si>
  <si>
    <t>한국투자KIARA일반사모투자신탁 (파생형)</t>
  </si>
  <si>
    <t xml:space="preserve">한국투자글로벌포모나X전문투자형사모투자신탁 </t>
  </si>
  <si>
    <t>KRZ500227720</t>
  </si>
  <si>
    <t>한국투자사모월드와이드베트남증권투자신탁1호(주식혼합)</t>
  </si>
  <si>
    <t>06X20</t>
  </si>
  <si>
    <t>SHB -&gt; HANA (3/16)</t>
  </si>
  <si>
    <t>투자풀글로벌ETF일반사모증권투자신탁제1-1호(채권-재간접형)</t>
  </si>
  <si>
    <t>06X21</t>
  </si>
  <si>
    <t>투자풀글로벌ETF일반사모증권투자신탁제1-2호(채권-재간접형)</t>
  </si>
  <si>
    <t>카디안</t>
  </si>
  <si>
    <t>공 모</t>
  </si>
  <si>
    <t>KRZ501714671</t>
  </si>
  <si>
    <t>트레이딩팀</t>
  </si>
  <si>
    <t>카디안 미국 하이일드 증권자투자신탁(H)[채권-재간접형]</t>
  </si>
  <si>
    <t>KRZ501714681</t>
  </si>
  <si>
    <t>카디안 월지급 미국 하이일드 증권자투자신탁(H)[채권-재간접형]</t>
  </si>
  <si>
    <t>KRZ502092124</t>
  </si>
  <si>
    <t>카디안 미국 투자적격 회사채 증권자투자신탁 제2호(H)[채권-재간접형]</t>
  </si>
  <si>
    <t>KRZ501778361</t>
  </si>
  <si>
    <t>카디안 미국 투자적격 회사채 증권자투자신탁(H)[채권-재간접형]</t>
  </si>
  <si>
    <t>KRZ501778371</t>
  </si>
  <si>
    <t>카디안 월지급 미국 투자적격 회사채 증권자투자신탁(H)[채권-재간접형]</t>
  </si>
  <si>
    <t>KRZ501349891</t>
  </si>
  <si>
    <t>카디안 퇴직연금 글로벌 리더스 40 증권자투자신탁[채권혼합]</t>
  </si>
  <si>
    <t>KRZ501859052</t>
  </si>
  <si>
    <t>카디안 차이나 드래곤 A Share 40 증권자투자신탁(H)[채권혼합]</t>
  </si>
  <si>
    <t>KRZ501829511</t>
  </si>
  <si>
    <t>카디안 아시아 퍼시픽 고배당 증권자투자신탁(H)[주식-재간접형]</t>
  </si>
  <si>
    <t>KRZ501914111</t>
  </si>
  <si>
    <t>카디안 월지급 아시아 퍼시픽 고배당 증권자투자신탁(H)[주식-재간접형]</t>
  </si>
  <si>
    <t>KRZ502324382</t>
  </si>
  <si>
    <t>카디안 아시아 로우볼 증권자투자신탁(H)[주식-재간접형]</t>
  </si>
  <si>
    <t>KRZ500147624</t>
  </si>
  <si>
    <t>카디안 글로벌 이머징 증권자투자신탁 제1호[주식-재간접형]</t>
  </si>
  <si>
    <t>KRZ500168834</t>
  </si>
  <si>
    <t>카디안 글로벌 이머징 증권자투자신탁 제2호[주식-재간접형]</t>
  </si>
  <si>
    <t>KRZ500222442</t>
  </si>
  <si>
    <t>카디안 글로벌 이머징 증권자투자신탁 제3호[주식-재간접형]</t>
  </si>
  <si>
    <t>KRZ500321151</t>
  </si>
  <si>
    <t>카디안 유러피언 리더스 증권자투자신탁[주식-재간접형]</t>
  </si>
  <si>
    <t>KRZ500588581</t>
  </si>
  <si>
    <t>카디안 차이나 드래곤 A Share 증권자투자신탁(H)[주식]</t>
  </si>
  <si>
    <t>KRZ500628471</t>
  </si>
  <si>
    <t>카디안차이나리더스증권자투자신탁(H)[주식-재간접형]</t>
  </si>
  <si>
    <t>KRZ502047229</t>
  </si>
  <si>
    <t>카디안 유러피언 리더스 20 증권자투자신탁(H)[채권혼합]</t>
  </si>
  <si>
    <t>KRZ502047236</t>
  </si>
  <si>
    <t>카디안 유러피언 리더스 40 증권자투자신탁(H)[채권혼합]</t>
  </si>
  <si>
    <t>KRZ501757550</t>
  </si>
  <si>
    <t>카디안 미국 하이일드 증권모투자신탁[채권-재간접형]</t>
  </si>
  <si>
    <t>KRZ501778350</t>
  </si>
  <si>
    <t>카디안 미국 투자적격 회사채 증권모투자신탁(미달러)[채권-재간접형]</t>
  </si>
  <si>
    <t>KRZ50239305F</t>
  </si>
  <si>
    <t>카디안 K단기채 알파 증권투자신탁[채권혼합]</t>
  </si>
  <si>
    <t>KRZ501830430</t>
  </si>
  <si>
    <t>카디안 아시아 퍼시픽 고배당 증권모투자신탁[주식-재간접형]</t>
  </si>
  <si>
    <t>KRZ502043060</t>
  </si>
  <si>
    <t>카디안 글로벌 이머징 증권모투자신탁(미달러)[주식-재간접형]</t>
  </si>
  <si>
    <t>KRZ500265132</t>
  </si>
  <si>
    <t>카디안 글로벌 리더스 증권자투자신탁[주식]</t>
  </si>
  <si>
    <t>KRZ500321240</t>
  </si>
  <si>
    <t>카디안 유러피언 리더스 증권모투자신탁[주식-재간접형]</t>
  </si>
  <si>
    <t>KRZ500585870</t>
  </si>
  <si>
    <t>카디안 차이나 드래곤 A Share 증권모투자신탁(미달러)[주식]</t>
  </si>
  <si>
    <t>KRZ501889310</t>
  </si>
  <si>
    <t>카디안 미국 뱅크론 특별자산모투자신탁(미달러)[대출채권-재간접형]</t>
  </si>
  <si>
    <t>KRZ501889386</t>
  </si>
  <si>
    <t>카디안 미국 뱅크론 특별자산자투자신탁(H)[대출채권-재간접형]</t>
  </si>
  <si>
    <t>등록중</t>
  </si>
  <si>
    <t>KRZ502007017</t>
  </si>
  <si>
    <t>카디안 미국 뱅크론 특별자산자투자신탁(UH)[대출채권-재간접형]</t>
  </si>
  <si>
    <t>KRZ501964300</t>
  </si>
  <si>
    <t>카디안 다이나믹 재팬 증권모투자신탁[주식-재간접형]</t>
  </si>
  <si>
    <t>KRZ501964311</t>
  </si>
  <si>
    <t>카디안 다이나믹 재팬 증권자투자신탁(H)[주식-재간접형]</t>
  </si>
  <si>
    <t>KRZ502557162</t>
  </si>
  <si>
    <t>카디안 글로벌온콜로지증권자투자신탁(H)[주식-재간접형]</t>
  </si>
  <si>
    <t>KRZ50255718A</t>
  </si>
  <si>
    <t>카디안 글로벌온콜로지증권자투자신탁(UH)[주식-재간접형]</t>
  </si>
  <si>
    <t>KRZ502432940</t>
  </si>
  <si>
    <t>카디안 차이나리더스 증권모투자신탁(미달러)[주식-재간접형]</t>
  </si>
  <si>
    <t>KRZ500628461</t>
  </si>
  <si>
    <t>카디안 차이나리더스 증권자투자신탁(UH)[주식-재간접형]</t>
  </si>
  <si>
    <t>KRZ502669160</t>
  </si>
  <si>
    <t>카디안 글로벌디지털자산밸류체인증권모투자신탁[주식]</t>
  </si>
  <si>
    <t>KRZ502669057</t>
  </si>
  <si>
    <t>카디안 글로벌디지털자산밸류체인증권자투자신탁(H)[주식]</t>
  </si>
  <si>
    <t>PCA</t>
  </si>
  <si>
    <t>카디안 코리아 차이나 지수연계 증권투자신탁 제1호[주식혼합-파생형]</t>
  </si>
  <si>
    <t>사 모</t>
  </si>
  <si>
    <t>카디안 유럽 뱅크론 전문투자형 사모 특별자산투자신탁(H)[대출채권-재간접형]</t>
  </si>
  <si>
    <t>카디안 차이나 증권자투자신탁(H)[주식]</t>
  </si>
  <si>
    <t>카디안 차이나 증권모투자신탁[주식]</t>
  </si>
  <si>
    <t>카디안 친디아 증권자투자신탁[주식]</t>
  </si>
  <si>
    <t>카디안 글로벌 스마트 베타 EMP 증권자투자신탁(H)[주식-재간접형]</t>
  </si>
  <si>
    <t>카디안 변액보험 코리아 원자재 지수연계 증권투자신탁 제2호[주식혼합-파생형]</t>
  </si>
  <si>
    <t>연번</t>
  </si>
  <si>
    <t>우리자산</t>
  </si>
  <si>
    <t>KRZ502144820</t>
  </si>
  <si>
    <t>고현정</t>
  </si>
  <si>
    <t>우리세이프플러스일반사모증권투자신탁S-6호(DLS-파생형)</t>
  </si>
  <si>
    <t>2017-05-22</t>
  </si>
  <si>
    <t>KRZ502372490</t>
  </si>
  <si>
    <t>윤여준</t>
  </si>
  <si>
    <t>우리글로벌인컴일반사모증권투자신탁1-1호 (채권)</t>
  </si>
  <si>
    <t>2019-09-26</t>
  </si>
  <si>
    <t>KRZ502390380</t>
  </si>
  <si>
    <t>송준호</t>
  </si>
  <si>
    <t>우리글로벌인컴일반사모증권투자신탁1-2호 (채권)</t>
  </si>
  <si>
    <t>2019-12-20</t>
  </si>
  <si>
    <t>KRZ500648411</t>
  </si>
  <si>
    <t>박매화</t>
  </si>
  <si>
    <t>우리차이나본토주식증권자투자신탁H호(주식)</t>
  </si>
  <si>
    <t>2010-09-15</t>
  </si>
  <si>
    <t>KRZ502340747</t>
  </si>
  <si>
    <t>임정택</t>
  </si>
  <si>
    <t>우리차이나전환사채증권자투자신탁H(채권혼합)</t>
  </si>
  <si>
    <t>2019-05-27</t>
  </si>
  <si>
    <t>KRZ502418330</t>
  </si>
  <si>
    <t>서우석</t>
  </si>
  <si>
    <t>우리옐로우엄브렐라글로벌전문투자형사모투자신탁KZ-19호</t>
  </si>
  <si>
    <t>2020-07-02</t>
  </si>
  <si>
    <t>KRZ502438012</t>
  </si>
  <si>
    <t>우리과창판50바스켓증권자투자신탁H(주식)</t>
  </si>
  <si>
    <t>2020-11-11</t>
  </si>
  <si>
    <t>KRZ502419662</t>
  </si>
  <si>
    <t>우리다같이TDF2025증권투자신탁(혼합-재간접형)</t>
  </si>
  <si>
    <t>2020-09-21</t>
  </si>
  <si>
    <t>KRZ502419751</t>
  </si>
  <si>
    <t>우리다같이TDF2030증권투자신탁(혼합-재간접형)</t>
  </si>
  <si>
    <t>KRZ502419891</t>
  </si>
  <si>
    <t>우리다같이TDF2035증권투자신탁(혼합-재간접형)</t>
  </si>
  <si>
    <t>KRZ502419921</t>
  </si>
  <si>
    <t>우리다같이TDF2040증권투자신탁(혼합-재간접형)</t>
  </si>
  <si>
    <t>KRZ502419954</t>
  </si>
  <si>
    <t>우리다같이TDF2045증권투자신탁(혼합-재간접형)</t>
  </si>
  <si>
    <t>KRZ502420591</t>
  </si>
  <si>
    <t>우리다같이TDF2050증권투자신탁(혼합-재간접형)</t>
  </si>
  <si>
    <t>KRZ50154662E</t>
  </si>
  <si>
    <t>우리베트남증권자투자신탁H호(주식혼합)</t>
  </si>
  <si>
    <t>2009-02-02</t>
  </si>
  <si>
    <t>KRZ501829231</t>
  </si>
  <si>
    <t>우리파워연금저축베트남적립식증권전환형자투자신탁H호(주식혼합)</t>
  </si>
  <si>
    <t>2013-06-25</t>
  </si>
  <si>
    <t>FT02</t>
  </si>
  <si>
    <t>KRZ502504881</t>
  </si>
  <si>
    <t>양홍하</t>
  </si>
  <si>
    <t>우리프랭클린테크놀로지증권자투자신탁(H)(주식-재간접형)</t>
  </si>
  <si>
    <t>KRZ502510201</t>
  </si>
  <si>
    <t>정미정</t>
  </si>
  <si>
    <t>우리다같이OCIO타겟리턴증권모투자신탁(채권혼합-재간접형)</t>
  </si>
  <si>
    <t>KR7444490007</t>
  </si>
  <si>
    <t>우리WOORI미국S&amp;P500증권상장지수투자신탁(주식)</t>
  </si>
  <si>
    <t>KRZ502537521</t>
  </si>
  <si>
    <t>우리퀀팃OCIO일반사모투자신탁1호</t>
  </si>
  <si>
    <t>KZ22</t>
  </si>
  <si>
    <t>KRZ502503450</t>
  </si>
  <si>
    <t>우리예로우엄브렐라글로벌주식일반사무투자신탁KZ(G)2022-6</t>
  </si>
  <si>
    <t>KZ23</t>
  </si>
  <si>
    <t>KRZ502542870</t>
  </si>
  <si>
    <t>우리KBIZ글로벌채권일반사모증권모투자신탁1호(USD)(채권-재간접형)</t>
  </si>
  <si>
    <t>KZ24</t>
  </si>
  <si>
    <t>KRZ502542880</t>
  </si>
  <si>
    <t>우리KBIZ글로벌채권일반사모증권모투자신탁1호(H)(채권-재간접형)</t>
  </si>
  <si>
    <t>US09</t>
  </si>
  <si>
    <t>KRZ502351844</t>
  </si>
  <si>
    <t>우리하이플러스채권증권자투자신탁3호(USD)[채권]</t>
  </si>
  <si>
    <t>KR5707016T47</t>
  </si>
  <si>
    <t>키움옐로우엄블렐러글로벌전문투자형사모투자신탁KZ-35호</t>
  </si>
  <si>
    <t>KR5707016TB2</t>
  </si>
  <si>
    <t>키움옐로우엄블렐러글로벌전문투자형사모투자신탁KZ-29호</t>
  </si>
  <si>
    <t>DL09</t>
  </si>
  <si>
    <t>KRZ502574501</t>
  </si>
  <si>
    <t>우리미국채목표전환형증권투자신탁2호(H)[채권-재간접형]</t>
  </si>
  <si>
    <t>UI02</t>
  </si>
  <si>
    <t>KRZ502599445</t>
  </si>
  <si>
    <t>정연화</t>
  </si>
  <si>
    <t>우리정말쉬운미국공모주증권자투자신탁1호(H)(채권혼합)</t>
  </si>
  <si>
    <t>TB01</t>
  </si>
  <si>
    <t>KRZ502604068</t>
  </si>
  <si>
    <t>우리디딤미국테크와바이오증권자투자신탁[채권혼합-재간접형]</t>
  </si>
  <si>
    <t>AB02</t>
  </si>
  <si>
    <t>KRZ502620901</t>
  </si>
  <si>
    <t>우리미국부자따라하기EMP증권자투자신탁(H)[채권혼합-재간접형]</t>
  </si>
  <si>
    <t>Q337</t>
  </si>
  <si>
    <t>KRZ502461390</t>
  </si>
  <si>
    <t>옐로우엄브렐러 글로벌 일반사모투자신탁 KZ-41호</t>
  </si>
  <si>
    <t>FB18</t>
  </si>
  <si>
    <t>KRZ500282280</t>
  </si>
  <si>
    <t>우리템플턴글로벌증권모투자신탁(채권-재간접형)</t>
  </si>
  <si>
    <t>2006-10-23</t>
  </si>
  <si>
    <t>FB20</t>
  </si>
  <si>
    <t>KRZ501282081</t>
  </si>
  <si>
    <t>우리템플턴글로벌증권자투자신탁(채권-재간접형)</t>
  </si>
  <si>
    <t>2006-10-20</t>
  </si>
  <si>
    <t>FB19</t>
  </si>
  <si>
    <t>KRZ500282090</t>
  </si>
  <si>
    <t>우리템플턴글로벌증권자투자신탁(E)(채권-재간접형)</t>
  </si>
  <si>
    <t>FB32</t>
  </si>
  <si>
    <t>KRZ500582960</t>
  </si>
  <si>
    <t>우리템플턴퇴직연금글로벌증권자투자신탁(채권-재간접형)</t>
  </si>
  <si>
    <t>2009-09-08</t>
  </si>
  <si>
    <t>FB24</t>
  </si>
  <si>
    <t>KRZ501828172</t>
  </si>
  <si>
    <t>우리템플턴연금저축글로벌증권자투자신탁(채권-재간접형)</t>
  </si>
  <si>
    <t>2013-06-20</t>
  </si>
  <si>
    <t>FB01</t>
  </si>
  <si>
    <t>KRZ501764931</t>
  </si>
  <si>
    <t>우리프랭클린글로벌스트레티지증권자투자신탁(채권)</t>
  </si>
  <si>
    <t>2012-06-19</t>
  </si>
  <si>
    <t>FB33</t>
  </si>
  <si>
    <t>KRZ501731690</t>
  </si>
  <si>
    <t>우리템플턴퇴직연금글로벌채권50증권자투자신탁(채권-재간접형)</t>
  </si>
  <si>
    <t>2011-12-02</t>
  </si>
  <si>
    <t>FB34</t>
  </si>
  <si>
    <t>KRZ501698790</t>
  </si>
  <si>
    <t>우리프랭클린미국하이일드증권모투자신탁(채권-재간접형)</t>
  </si>
  <si>
    <t>2011-05-13</t>
  </si>
  <si>
    <t>FB35</t>
  </si>
  <si>
    <t>KRZ500571592</t>
  </si>
  <si>
    <t>우리프랭클린미국하이일드증권자투자신탁(채권-재간접형)</t>
  </si>
  <si>
    <t>2009-07-06</t>
  </si>
  <si>
    <t>FB41</t>
  </si>
  <si>
    <t>KRZ501701731</t>
  </si>
  <si>
    <t>우리프랭클린월지급미국하이일드증권자투자신탁(채권-재간접형)</t>
  </si>
  <si>
    <t>2011-05-27</t>
  </si>
  <si>
    <t>FE53</t>
  </si>
  <si>
    <t>KRZ501791390</t>
  </si>
  <si>
    <t>우리프랭클린미국인컴증권모투자신탁(주식혼합-재간접형)</t>
  </si>
  <si>
    <t>2012-12-18</t>
  </si>
  <si>
    <t>FE54</t>
  </si>
  <si>
    <t>KRZ501791402</t>
  </si>
  <si>
    <t>우리프랭클린미국인컴증권자투자신탁(주식혼합-재간접형)</t>
  </si>
  <si>
    <t>FE61</t>
  </si>
  <si>
    <t>KRZ501791412</t>
  </si>
  <si>
    <t>우리프랭클린월지급미국인컴증권자투자신탁(주식혼합-재간접형)</t>
  </si>
  <si>
    <t>2013-01-23</t>
  </si>
  <si>
    <t>FE78</t>
  </si>
  <si>
    <t>KRZ501804840</t>
  </si>
  <si>
    <t>우리프랭클린재형미국인컴증권자투자신탁(주식혼합-재간접형)</t>
  </si>
  <si>
    <t>2013-03-06</t>
  </si>
  <si>
    <t>FE42</t>
  </si>
  <si>
    <t>KRZ501824241</t>
  </si>
  <si>
    <t>우리프랭클린미국바이오헬스케어증권모투자신탁(주식-재간접형)</t>
  </si>
  <si>
    <t>2013-05-31</t>
  </si>
  <si>
    <t>FE43</t>
  </si>
  <si>
    <t>KRZ50182424A</t>
  </si>
  <si>
    <t>우리프랭클린미국바이오헬스케어증권자투자신탁(주식-재간접형)</t>
  </si>
  <si>
    <t>FE01</t>
  </si>
  <si>
    <t>KRZ500368290</t>
  </si>
  <si>
    <t>우리템플턴이스턴유럽증권모투자신탁(주식-재간접형)</t>
  </si>
  <si>
    <t>2007-06-19</t>
  </si>
  <si>
    <t>FE02</t>
  </si>
  <si>
    <t>KRZ500367641</t>
  </si>
  <si>
    <t>우리템플턴이스턴유럽증권자투자신탁(주식-재간접형)</t>
  </si>
  <si>
    <t>2007-06-18</t>
  </si>
  <si>
    <t>FE66</t>
  </si>
  <si>
    <t>KRZ500367010</t>
  </si>
  <si>
    <t>우리프랭클린인디아증권모투자신탁(주식-재간접형)</t>
  </si>
  <si>
    <t>2007-06-15</t>
  </si>
  <si>
    <t>FE67</t>
  </si>
  <si>
    <t>KRZ50136641J</t>
  </si>
  <si>
    <t>우리프랭클린인디아증권자투자신탁(UH)(주식-재간접형)</t>
  </si>
  <si>
    <t>2007-06-14</t>
  </si>
  <si>
    <t>FE79</t>
  </si>
  <si>
    <t>KRZ500366431</t>
  </si>
  <si>
    <t>우리프랭클린친디아증권자투자신탁(주식-재간접형)</t>
  </si>
  <si>
    <t>FE13</t>
  </si>
  <si>
    <t>KRZ500367020</t>
  </si>
  <si>
    <t>우리템플턴차이나증권모투자신탁(주식-재간접형)</t>
  </si>
  <si>
    <t>FE11</t>
  </si>
  <si>
    <t>KRZ501391211</t>
  </si>
  <si>
    <t>우리템플턴차이나드래곤증권자투자신탁(주식-재간접형)</t>
  </si>
  <si>
    <t>2007-08-29</t>
  </si>
  <si>
    <t>FE10</t>
  </si>
  <si>
    <t>KRZ500395690</t>
  </si>
  <si>
    <t>우리템플턴차이나드래곤증권자투자신탁(E)(주식-재간접형)</t>
  </si>
  <si>
    <t>2007-09-11</t>
  </si>
  <si>
    <t>FE32</t>
  </si>
  <si>
    <t>KRZ500413830</t>
  </si>
  <si>
    <t>우리프랭클린내츄럴리소스증권모투자신탁(주식-재간접형)</t>
  </si>
  <si>
    <t>2007-10-31</t>
  </si>
  <si>
    <t>FE33</t>
  </si>
  <si>
    <t>KRZ500413131</t>
  </si>
  <si>
    <t>우리프랭클린내츄럴리소스증권자투자신탁(주식-재간접형)</t>
  </si>
  <si>
    <t>2007-10-30</t>
  </si>
  <si>
    <t>FE14</t>
  </si>
  <si>
    <t>KRZ501957080</t>
  </si>
  <si>
    <t>우리프랭클린K2멀티전략증권모투자신탁(주식혼합-재간접형)</t>
  </si>
  <si>
    <t>2015-02-27</t>
  </si>
  <si>
    <t>FE15</t>
  </si>
  <si>
    <t>KRZ501957093</t>
  </si>
  <si>
    <t>우리프랭클린K2멀티전략증권자투자신탁(주식혼합-재간접형)</t>
  </si>
  <si>
    <t>2015-02-26</t>
  </si>
  <si>
    <t>FS19</t>
  </si>
  <si>
    <t>KRZ500237470</t>
  </si>
  <si>
    <t>우리재팬증권모투자신탁(주식)</t>
  </si>
  <si>
    <t>2006-05-09</t>
  </si>
  <si>
    <t>FS28</t>
  </si>
  <si>
    <t>KRZ501237481</t>
  </si>
  <si>
    <t>우리재팬증권자투자신탁(주식)</t>
  </si>
  <si>
    <t>FS21</t>
  </si>
  <si>
    <t>KRZ501316105</t>
  </si>
  <si>
    <t>우리재팬증권자투자신탁(UH)(주식)</t>
  </si>
  <si>
    <t>2007-02-02</t>
  </si>
  <si>
    <t>FS20</t>
  </si>
  <si>
    <t>KRZ500311320</t>
  </si>
  <si>
    <t>우리재팬증권자투자신탁(E)(주식)</t>
  </si>
  <si>
    <t>2007-01-22</t>
  </si>
  <si>
    <t>FS15</t>
  </si>
  <si>
    <t>KRZ501982201</t>
  </si>
  <si>
    <t>우리연금재팬증권자투자신탁(주식)</t>
  </si>
  <si>
    <t>2015-05-22</t>
  </si>
  <si>
    <t>FS01</t>
  </si>
  <si>
    <t>KRZ500251970</t>
  </si>
  <si>
    <t>우리템플턴글로벌증권모투자신탁(주식)</t>
  </si>
  <si>
    <t>2006-07-04</t>
  </si>
  <si>
    <t>FS03</t>
  </si>
  <si>
    <t>KRZ501252111</t>
  </si>
  <si>
    <t>우리템플턴글로벌증권자투자신탁(주식)</t>
  </si>
  <si>
    <t>KRZ500305420</t>
  </si>
  <si>
    <t>우리템플턴글로벌증권자투자신탁(E)(주식)</t>
  </si>
  <si>
    <t>2007-01-03</t>
  </si>
  <si>
    <t>FB06</t>
  </si>
  <si>
    <t>KRZ500366090</t>
  </si>
  <si>
    <t>우리템플턴퇴직연금글로벌40증권자투자신탁(채권혼합)</t>
  </si>
  <si>
    <t>2007-06-13</t>
  </si>
  <si>
    <t>FS08</t>
  </si>
  <si>
    <t>KRZ500363650</t>
  </si>
  <si>
    <t>우리템플턴유로피언증권모투자신탁(주식)</t>
  </si>
  <si>
    <t>2007-06-07</t>
  </si>
  <si>
    <t>FS10</t>
  </si>
  <si>
    <t>KRZ501362901</t>
  </si>
  <si>
    <t>우리템플턴유로피언증권자투자신탁(주식)</t>
  </si>
  <si>
    <t>2007-06-05</t>
  </si>
  <si>
    <t>FS09</t>
  </si>
  <si>
    <t>KRZ500362910</t>
  </si>
  <si>
    <t>우리템플턴유로피언증권자투자신탁(E)(주식)</t>
  </si>
  <si>
    <t>기준가 400미만 취급불가</t>
  </si>
  <si>
    <t>우리템플턴월지급글로벌증권자투자신탁(채권-재간접형)</t>
  </si>
  <si>
    <t>TF80</t>
  </si>
  <si>
    <t>KRZ502655768</t>
  </si>
  <si>
    <t>우리다같이TDF2060증권투자신탁(혼합-재간접형)</t>
  </si>
  <si>
    <t>7S22</t>
  </si>
  <si>
    <t>KRZ502676438</t>
  </si>
  <si>
    <t>우리다같이행복은퇴EMP증권투자신탁(혼합-재간접형)</t>
  </si>
  <si>
    <t>FB07</t>
  </si>
  <si>
    <t>우리프랭클린미국금리연동특별자산모투자신탁(대출채권)</t>
  </si>
  <si>
    <t>2014-04-29</t>
  </si>
  <si>
    <t>FB08</t>
  </si>
  <si>
    <t>우리프랭클린미국금리연동특별자산자투자신탁(대출채권)</t>
  </si>
  <si>
    <t>FE28</t>
  </si>
  <si>
    <t>우리프랭클린NextStep밸런스드그로스증권투자신탁(주식혼합-재간접형)</t>
  </si>
  <si>
    <t>2016-04-11</t>
  </si>
  <si>
    <t>FE24</t>
  </si>
  <si>
    <t>우리프랭클린NextStep다이나믹그로스증권투자신탁(주식혼합-재간접형)</t>
  </si>
  <si>
    <t>우리차이나전환사채증권모투자신탁(채권혼합)</t>
  </si>
  <si>
    <t>우리 글로벌 REF 사모혼합 투자신탁 1호</t>
  </si>
  <si>
    <t>2005-05-19</t>
  </si>
  <si>
    <t>우리 글로벌 REF 사모 재간접 투자신탁 2호</t>
  </si>
  <si>
    <t>우리재형베트남적립식증권자투자신탁H호(주식혼합)</t>
  </si>
  <si>
    <t>2013-03-08</t>
  </si>
  <si>
    <t>FL02</t>
  </si>
  <si>
    <t>우리레그메이슨브랜디와인글로벌인컴증권자투자신탁(H)(채권-재간접형)</t>
  </si>
  <si>
    <t>우리미국채목표전환형증권투자신탁(H)[채권-재간접형]</t>
  </si>
  <si>
    <t>거래펀드</t>
  </si>
  <si>
    <t>키움자산</t>
  </si>
  <si>
    <t>KRZ500354770</t>
  </si>
  <si>
    <t>글로벌퍼블릭팀</t>
  </si>
  <si>
    <t>키움중국인덱스증권모투자신탁(주식-파생재간접형)</t>
  </si>
  <si>
    <t>KRZ500366710</t>
  </si>
  <si>
    <t>키움글로벌인덱스증권모투자신탁 (주식-재간접형)</t>
  </si>
  <si>
    <t>KRZ502046731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</si>
  <si>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</si>
  <si>
    <t>키움쿼터백글로벌EMP로보어드바이저증권투자신탁[채권혼합-재간접형]</t>
  </si>
  <si>
    <t>KRZ502061841</t>
  </si>
  <si>
    <t>키움글로벌파도타기EMP증권투자신탁[주식혼합-재간접형]</t>
  </si>
  <si>
    <t>KRZ502073991</t>
  </si>
  <si>
    <t>키움글로벌주식트렌드EMP증권투자신탁[주식-재간접형]</t>
  </si>
  <si>
    <t>KRZ502393995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</si>
  <si>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신승혜</t>
    </r>
    <r>
      <rPr>
        <sz val="11"/>
        <rFont val="돋움"/>
        <family val="3"/>
        <charset val="129"/>
      </rPr>
      <t>)</t>
    </r>
  </si>
  <si>
    <t>키움똑똑한4차산업혁명ETF분할매수증권투자신탁(혼합-재간접형)</t>
  </si>
  <si>
    <t>KRZ50035665B</t>
  </si>
  <si>
    <t>키움 러시아 익스플로러 증권 투자신탁 제1호[주식]</t>
  </si>
  <si>
    <t>KRZ502405320</t>
  </si>
  <si>
    <t>글로벌퍼블릭팀(이루다)</t>
  </si>
  <si>
    <t xml:space="preserve">키움퇴직연금MERCER글로벌멀티에셋전문투자형사모투자신탁 </t>
  </si>
  <si>
    <t>KRZ502384141</t>
  </si>
  <si>
    <t>키움불리오글로벌멀티에셋EMP증권자투자신탁(H) (혼합-재간접형)</t>
  </si>
  <si>
    <t>KRZ502336840</t>
  </si>
  <si>
    <t>글로벌프라이빗팀</t>
  </si>
  <si>
    <t>키움 라르고 전문투자형 사모증권 투자신탁 4-N</t>
  </si>
  <si>
    <t>KRZ502315840</t>
  </si>
  <si>
    <t>키움아르테미스전문투자형사모증권투자신탁1-S[재간접형]</t>
  </si>
  <si>
    <t>KRZ502315860</t>
  </si>
  <si>
    <t>키움아르테미스전문투자형사모증권투자신탁1-P[재간접형]</t>
  </si>
  <si>
    <t>KRZ502383770</t>
  </si>
  <si>
    <t xml:space="preserve">키움 HM4 메자닌 전문투자형 사모투자신탁(재간접형) </t>
  </si>
  <si>
    <t>KRZ502243102</t>
  </si>
  <si>
    <t>키움키워드림TDF2025증권투자신탁제1호[혼합-재간접형]</t>
  </si>
  <si>
    <t>KRZ502243122</t>
  </si>
  <si>
    <t>키움키워드림TDF2030증권투자신탁제1호[혼합-재간접형]</t>
  </si>
  <si>
    <t>KRZ502243132</t>
  </si>
  <si>
    <t>키움키워드림TDF2035증권투자신탁제1호[혼합-재간접형]</t>
  </si>
  <si>
    <t>KRZ502644253</t>
  </si>
  <si>
    <t>키움키워드림TDF2040증권투자신탁제1호[혼합-재간접형]</t>
  </si>
  <si>
    <t>KRZ502243172</t>
  </si>
  <si>
    <t>키움키워드림TDF2045증권투자신탁제1호[혼합-재간접형]</t>
  </si>
  <si>
    <t>KRZ502384080</t>
  </si>
  <si>
    <t>키움불리오글로벌멀티에셋EMP증권모투자신탁 (혼합-재간접형)</t>
  </si>
  <si>
    <t>KRZ502644323</t>
  </si>
  <si>
    <t>키움키워드림TDF2050증권투자신탁제1호(혼합-재간접형)</t>
  </si>
  <si>
    <t>KRZ502477081</t>
  </si>
  <si>
    <t>키움글로벌구독경제증권자투자신탁2호(H)[주식]</t>
  </si>
  <si>
    <t>KRZ502500090</t>
  </si>
  <si>
    <t>키움PIMCO아시아Strategic채권증권모투자신탁(채권-재간접형)</t>
  </si>
  <si>
    <t>KRZ502500118</t>
  </si>
  <si>
    <t>키움PIMCO아시아Strategic채권증권자투자신탁(H)(채권-재간접형)</t>
  </si>
  <si>
    <t>KRZ502464640</t>
  </si>
  <si>
    <t>KRZ502464620</t>
  </si>
  <si>
    <t>KRZ502559812</t>
  </si>
  <si>
    <t>경영전략본부 오퍼레이션팀</t>
  </si>
  <si>
    <t>키움JP모간일본증권자투자신탁(H)[주식-재간접형]</t>
  </si>
  <si>
    <t>KRZ502568452</t>
  </si>
  <si>
    <t>글로벌주식팀</t>
  </si>
  <si>
    <t>키움키워드림TDF2055증권투자신탁제1호[혼합-재간접형]</t>
  </si>
  <si>
    <t>KRZ502587141</t>
  </si>
  <si>
    <t>키움글로벌반도체Smart Investor분할매수증권투자신탁</t>
  </si>
  <si>
    <t>KRZ502595140</t>
  </si>
  <si>
    <t>키움CU글로벌EMP일반사모증권투자신탁제1호[주식-재간접형]</t>
  </si>
  <si>
    <t>KRZ502601152</t>
  </si>
  <si>
    <t>키움키워드림TDF2060증권자투자신탁제1호(H)[혼합-재간접형]</t>
  </si>
  <si>
    <t>KRZ502504221</t>
  </si>
  <si>
    <t>키움누버거버먼미국Small Cap증권자투자신탁(H)[주식-재간접형]</t>
  </si>
  <si>
    <t>KRZ502631041</t>
  </si>
  <si>
    <t>키움키워드림TDF2065증권자투자신탁제1호(H)[혼합-재간접형]</t>
  </si>
  <si>
    <t>KRZ502613831</t>
  </si>
  <si>
    <t>키움 인도 제조업 증권자투자신탁(H)[주식]</t>
  </si>
  <si>
    <t>KRZ502644240</t>
  </si>
  <si>
    <t>키움 키워드림다이나믹 TDF 2040 증권자투자신탁제1호(H)[혼합-재간접형]</t>
  </si>
  <si>
    <t>KRZ502644310</t>
  </si>
  <si>
    <t>키움 키워드림다이나믹 TDF 2050 증권자투자신탁제1호(H)[혼합-재간접형]</t>
  </si>
  <si>
    <t>KRZ502645400</t>
  </si>
  <si>
    <t>키움 키워드림다이나믹 TDF 2060 증권자투자신탁제1호(H)[혼합-재간접형]</t>
  </si>
  <si>
    <t>KRZ502404561</t>
  </si>
  <si>
    <t xml:space="preserve">키움 글로벌 구독경제 증권자투자신탁(H/UH) (주식) </t>
  </si>
  <si>
    <t>KRZ502662760</t>
  </si>
  <si>
    <t>SAM_SEC</t>
  </si>
  <si>
    <t xml:space="preserve">키움 SEMA 글로벌 EMP 일반사모투자신탁1호[주식-재간접형] </t>
  </si>
  <si>
    <t>키움 해외주식글로벌일반사모증권투자신탁CW-1호</t>
  </si>
  <si>
    <t>투자풀전문투자형글로벌ETF사모증권투자신탁제22-3</t>
  </si>
  <si>
    <t>연기금전문투자형 사모증권투자신탁 제 1-S2호[주식-재간접형]</t>
  </si>
  <si>
    <t>키움비바체 사모증권투자신탁</t>
  </si>
  <si>
    <t>글로벌채권팀</t>
  </si>
  <si>
    <t xml:space="preserve">연기금전문투자형사모증권투자신탁 제1-B3호(채권-재간접형) </t>
  </si>
  <si>
    <t xml:space="preserve">글로벌채권팀 </t>
  </si>
  <si>
    <t>키움OCIO퇴직연금일반사모투자신탁제1호(채권혼합-재간접형)</t>
  </si>
  <si>
    <t>키움KOSEF미국S&amp;P500증권상장지수투자신탁[주식]</t>
  </si>
  <si>
    <t>키움KOSEF미국S&amp;P500증권상장지수투자신탁[주식](H)</t>
  </si>
  <si>
    <t>키움KOSEF미국나스닥100증권상장지수투자신탁[주식](H)</t>
  </si>
  <si>
    <t>키움글로벌반도체Smart Investor목표전환증권투자신탁제2호</t>
  </si>
  <si>
    <t xml:space="preserve">솔루션운용팀 </t>
  </si>
  <si>
    <t>키움마켓시그널미국대표지수증권투자신탁H[혼합-재간접형]</t>
  </si>
  <si>
    <t>키움CU글로벌전문투자형사모증권투자신탁제1호 [주식-재간접형]</t>
  </si>
  <si>
    <t>키움TUGF전문투자형사모증권투자신탁제2호</t>
  </si>
  <si>
    <t>키움TUGF전문투자형사모증권투자신탁제3호</t>
  </si>
  <si>
    <t>키움TUGF전문투자형사모증권투자신탁제1호</t>
  </si>
  <si>
    <t xml:space="preserve">키움해외주식미국주식형전문투자형사모증권투자신탁제1호 </t>
  </si>
  <si>
    <t>글로벌퍼블릭팀(오효정)</t>
  </si>
  <si>
    <t>키움글로벌멀티전략증권자투자신탁 제1호(주식)</t>
  </si>
  <si>
    <t xml:space="preserve">키움글로벌멀티전략증권자투자신탁 제3호(주식) </t>
  </si>
  <si>
    <t>키움글로벌멀티전략증권자투자신탁제6호(주식)</t>
  </si>
  <si>
    <t>키움글로벌멀티전략증권자투자신탁제5호(주식)</t>
  </si>
  <si>
    <t>키움글로벌멀티전략증권자투자신탁 제2호(주식)</t>
  </si>
  <si>
    <t>키움해외주식글로벌전문투자형사모증권투자신탁</t>
  </si>
  <si>
    <t>키움 해외주식 글로벌 전문투자형사모증권투자신탁제2호 (주식-재간접형)</t>
  </si>
  <si>
    <t>한화</t>
  </si>
  <si>
    <t>008785</t>
  </si>
  <si>
    <t>KRZ502316031</t>
  </si>
  <si>
    <t>조희상</t>
  </si>
  <si>
    <t>한화 GlobalCreditStrategy  전문투자형 사모특별자산투자신탁 2호</t>
  </si>
  <si>
    <t>002881</t>
  </si>
  <si>
    <t>KRZ502377140</t>
  </si>
  <si>
    <t>손경아,이경원</t>
  </si>
  <si>
    <t xml:space="preserve">한화글로벌전문투자형사모증권투자신탁5호(주식-재간접형) </t>
  </si>
  <si>
    <t>x</t>
  </si>
  <si>
    <t>KRZ502022630</t>
  </si>
  <si>
    <t xml:space="preserve">형성하과장님 </t>
  </si>
  <si>
    <t>한화글로벌매크로증권 모투자신탁(주식혼합-재간접형)</t>
  </si>
  <si>
    <t>KRZ501810870</t>
  </si>
  <si>
    <t>한화글로벌멀티인컴증권 모투자신탁(주식혼합-재간접형)</t>
  </si>
  <si>
    <t>KRZ500422640</t>
  </si>
  <si>
    <t>한화차이나증권 모투자신탁 (주식-재간접형)</t>
  </si>
  <si>
    <t>KRZ502387330</t>
  </si>
  <si>
    <t>한화미국대표증권 모투자신탁(주식-재간접형)</t>
  </si>
  <si>
    <t>KRZ500409130</t>
  </si>
  <si>
    <t>한화아세안증권 모투자신탁 (주식-재간접형)</t>
  </si>
  <si>
    <t>KRZ501851730</t>
  </si>
  <si>
    <t>한화유럽대표증권 모투자신탁(주식-재간접형)</t>
  </si>
  <si>
    <t>KRZ501851641</t>
  </si>
  <si>
    <t>한화유럽대표증권 자투자신탁(H) (주식-재간접형)</t>
  </si>
  <si>
    <t>KRZ501908361</t>
  </si>
  <si>
    <t>한화유럽대표증권 자투자신탁(H)II (주식-재간접형)</t>
  </si>
  <si>
    <t>001621</t>
  </si>
  <si>
    <t>KRZ500151981</t>
  </si>
  <si>
    <t>지은송대리님</t>
  </si>
  <si>
    <t>한화 Japan REITs 부동산 투자신탁 1호 (리츠-재간접형)</t>
  </si>
  <si>
    <t>001900</t>
  </si>
  <si>
    <t>KRZ501819270</t>
  </si>
  <si>
    <t>한화아시아리츠부동산 모투자신탁 (리츠-재간접형)</t>
  </si>
  <si>
    <t>008011</t>
  </si>
  <si>
    <t>KRZ502434721</t>
  </si>
  <si>
    <t xml:space="preserve">한화K리츠플러스부동산자투자신탁(H)(리츠-재간접형) </t>
  </si>
  <si>
    <t>008031</t>
  </si>
  <si>
    <t>KRZ502434731</t>
  </si>
  <si>
    <t>한화K리츠플러스분기배당형부동산자투자신탁(H)(리츠-재간접형)</t>
  </si>
  <si>
    <t>008300</t>
  </si>
  <si>
    <t>KRZ501924330</t>
  </si>
  <si>
    <t>한화글로벌리츠 모투자신탁(리츠-재간접형)</t>
  </si>
  <si>
    <t>008010</t>
  </si>
  <si>
    <t>KRZ502434710</t>
  </si>
  <si>
    <t xml:space="preserve">한화K리츠플러스부동산모투자신탁(리츠-재간접형) </t>
  </si>
  <si>
    <t>KRZ502384731</t>
  </si>
  <si>
    <t xml:space="preserve">오미선대리님 </t>
  </si>
  <si>
    <t>한화글로벌본드인컴증권 자투자신탁H(채권 - 재간접형)</t>
  </si>
  <si>
    <t>KRZ502384811</t>
  </si>
  <si>
    <t>한화월지급글로벌본드인컴증권 자투자신탁H(채권 - 재간접형)</t>
  </si>
  <si>
    <t>KRZ502384710</t>
  </si>
  <si>
    <t>한화글로벌본드인컴증권 모투자신탁(채권 - 재간접형)</t>
  </si>
  <si>
    <t>KRZ502384751</t>
  </si>
  <si>
    <t>한화글로벌인컴증권 자투자신탁UH(채권 - 재간접형)</t>
  </si>
  <si>
    <t>KRZ502457760</t>
  </si>
  <si>
    <t xml:space="preserve">한화KBIZ 멀티에셋 NB 전문투자형 사모 자투자신탁 </t>
  </si>
  <si>
    <t>002893</t>
  </si>
  <si>
    <t>KRZ502458840</t>
  </si>
  <si>
    <t>이경원대리님</t>
  </si>
  <si>
    <t>한화TUGS전문투자형사모자투자신탁1호</t>
  </si>
  <si>
    <t>KRZ502461325</t>
  </si>
  <si>
    <t xml:space="preserve">한화OCIO솔루션증권투자신탁(혼합-재간접형) </t>
  </si>
  <si>
    <t>002891</t>
  </si>
  <si>
    <t>KRZ502458860</t>
  </si>
  <si>
    <t>002892</t>
  </si>
  <si>
    <t>KRZ502458850</t>
  </si>
  <si>
    <t>한화TUGS전문투자형사모자투자신탁2호</t>
  </si>
  <si>
    <t>002911</t>
  </si>
  <si>
    <t>KRZ502473660</t>
  </si>
  <si>
    <t xml:space="preserve">한화KBIZ 멀티에셋 DWS 전문투자형 사모 자투자신탁 </t>
  </si>
  <si>
    <t>KRZ502459380</t>
  </si>
  <si>
    <t>한화옐로우엄브렐라전문투자형사모투자신탁 KZ-37호</t>
  </si>
  <si>
    <t>008420</t>
  </si>
  <si>
    <t xml:space="preserve">공모 </t>
  </si>
  <si>
    <t>KRZ501772290</t>
  </si>
  <si>
    <t>정겨운대리님</t>
  </si>
  <si>
    <t>한화꿈에그린차이나증권모투자신탁(주식)</t>
  </si>
  <si>
    <t>005330</t>
  </si>
  <si>
    <t>KRZ500587991</t>
  </si>
  <si>
    <t>한화꿈에그린차이나A주증권자투자신탁H-1호(주식)</t>
  </si>
  <si>
    <t>KRZ502496570</t>
  </si>
  <si>
    <t xml:space="preserve">임정민대리님 </t>
  </si>
  <si>
    <t>한화퇴직연금 OCIO 솔루션일반사모증권투자신탁(혼합-재간접형)</t>
  </si>
  <si>
    <t>002910</t>
  </si>
  <si>
    <t>KRZ502473650</t>
  </si>
  <si>
    <t>한화KBIZ멀티에셋DWS일반사모모투자신탁</t>
  </si>
  <si>
    <t>KRZ502459390</t>
  </si>
  <si>
    <t>한화옐로우엄브렐러일반사모모투자신탁KZ-2호</t>
  </si>
  <si>
    <t>KRZ502544240</t>
  </si>
  <si>
    <t>박세영차장</t>
  </si>
  <si>
    <t>한화글로벌매크로퀀트EMP증권모투자신탁(혼합-재간접형)</t>
  </si>
  <si>
    <t>2023.04.17</t>
  </si>
  <si>
    <t>002906</t>
  </si>
  <si>
    <t>KRZ502597410</t>
  </si>
  <si>
    <t>형성하</t>
  </si>
  <si>
    <t>한화 CU 글로벌 일반사모 증권 자투자신탁 19호</t>
  </si>
  <si>
    <t>002237</t>
  </si>
  <si>
    <t>KRZ502622650</t>
  </si>
  <si>
    <t>이성주</t>
  </si>
  <si>
    <t>한화일반사모증권투자신탁134호(USD)(채권)</t>
  </si>
  <si>
    <t>2025.03.21</t>
  </si>
  <si>
    <t>002887</t>
  </si>
  <si>
    <t>KRZ502625470</t>
  </si>
  <si>
    <t>구다은</t>
  </si>
  <si>
    <t>한화글로벌일반사모증권투자신탁7호(주식-재간접형)</t>
  </si>
  <si>
    <t>2025.04.15</t>
  </si>
  <si>
    <t>009500</t>
  </si>
  <si>
    <t>KRZ502630461</t>
  </si>
  <si>
    <t>한화 오크트리 크레딧 일반사모투자신탁 1호</t>
  </si>
  <si>
    <t>009560</t>
  </si>
  <si>
    <t>KRZ502648080</t>
  </si>
  <si>
    <t>한화 주피터글로벌에쿼티롱숏일반사모증권 모투자신탁(주식-재간접형)</t>
  </si>
  <si>
    <t>009561</t>
  </si>
  <si>
    <t>KRZ502648060</t>
  </si>
  <si>
    <t>한화 주피터글로벌에쿼티롱숏일반사모증권 자투자신탁(H)(주식-재간접형)</t>
  </si>
  <si>
    <t xml:space="preserve">KRZ502651790 </t>
  </si>
  <si>
    <t>한화 글로벌 채권ETF 일반사모증권투자신탁 12호(채권-재간접형)</t>
  </si>
  <si>
    <t>002236</t>
  </si>
  <si>
    <t>KRZ502658630</t>
  </si>
  <si>
    <t>강은혜</t>
  </si>
  <si>
    <t>한화일반사모증권투자신탁137호(USD)(채권)</t>
  </si>
  <si>
    <t>003130</t>
  </si>
  <si>
    <t>KRZ502665560</t>
  </si>
  <si>
    <t>염다혜</t>
  </si>
  <si>
    <t>한화 해외주식글로벌일반사모증권투자신탁CW-1호(주식-재간접형)</t>
  </si>
  <si>
    <t>002444</t>
  </si>
  <si>
    <t>KRZ502664520</t>
  </si>
  <si>
    <t>박서영</t>
  </si>
  <si>
    <t>한화일반사모증권투자신탁141호(USD)(채권)</t>
  </si>
  <si>
    <t>`</t>
  </si>
  <si>
    <t xml:space="preserve">한화글로벌전문투자형사모증권투자신탁13호(채권-재간접형) </t>
  </si>
  <si>
    <t>한화TUGF전문투자형사모증권투자신탁제1호(채권-재간접형)</t>
  </si>
  <si>
    <t>한화글로벌전문투자형사모증권투자신탁15호(주식-재간접형)</t>
  </si>
  <si>
    <t>한화아시아퍼시픽인컴증권모투자신탁(주식혼합-재간접형)</t>
  </si>
  <si>
    <t>한화중남미증권 모투자신탁(주식-재간접형)</t>
  </si>
  <si>
    <t>한화러시아증권 모투자신탁 (주식-재간접형)</t>
  </si>
  <si>
    <t>한화글로벌리얼에셋혼합자산 모투자신탁(혼합-재간접형)</t>
  </si>
  <si>
    <t xml:space="preserve">한화글로벌전문투자형사모증권투자신탁14호 (채권-재간접형) </t>
  </si>
  <si>
    <t xml:space="preserve">한화글로벌전문투자형사모증권투자신탁10호 (채권) </t>
  </si>
  <si>
    <t>한화글로벌전문투자형사모증권투자신탁12호(채권)</t>
  </si>
  <si>
    <t>한화옐로우엄브렐러멀티에셋전문투자형사모 모KZ-1호</t>
  </si>
  <si>
    <t xml:space="preserve">구다은대리님 </t>
  </si>
  <si>
    <t>한화글로벌채권ETF전문투자형사모증권투자신탁11호(채권-재간접형)</t>
  </si>
  <si>
    <t>이인제과장님</t>
  </si>
  <si>
    <t>플러스UP변액연금V파생혼합형</t>
  </si>
  <si>
    <t>한화옐로우엄브렐러멀티에셋전문투자형사모투자신탁1호</t>
  </si>
  <si>
    <t>한화퇴직연금 OCIO 솔루션일반사모증권투자신탁2호(혼합-재간접형)</t>
  </si>
  <si>
    <r>
      <rPr>
        <sz val="11"/>
        <rFont val="돋움"/>
        <family val="3"/>
        <charset val="129"/>
      </rPr>
      <t>x (</t>
    </r>
    <r>
      <rPr>
        <sz val="11"/>
        <rFont val="Noto Sans CJK SC"/>
        <family val="2"/>
        <charset val="1"/>
      </rPr>
      <t>펀드해지</t>
    </r>
    <r>
      <rPr>
        <sz val="11"/>
        <rFont val="돋움"/>
        <family val="3"/>
        <charset val="129"/>
      </rPr>
      <t>)</t>
    </r>
  </si>
  <si>
    <t xml:space="preserve">연기금글로벌리츠일반사모부동산투자신탁2호(리츠-재간접) </t>
  </si>
  <si>
    <t>한화글로벌인컴전문투자형사모증권투자신탁1호(채권)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</si>
  <si>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 xml:space="preserve">에셋 </t>
    </r>
  </si>
  <si>
    <t>0F0310</t>
  </si>
  <si>
    <t>KRZ500521141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</si>
  <si>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월드광업주 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</si>
  <si>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0F0410</t>
  </si>
  <si>
    <t>KRZ500521151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</si>
  <si>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월드에너지증권자투자신탁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</si>
  <si>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060110</t>
  </si>
  <si>
    <t>KRZ500579591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</si>
  <si>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글로벌자산배분증권투자신탁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)(H)</t>
    </r>
  </si>
  <si>
    <t>061610</t>
  </si>
  <si>
    <t>KRZ501989351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</si>
  <si>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월드헬스사이언스증권투자신탁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))</t>
    </r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</si>
  <si>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</si>
  <si>
    <t>KRZ502612550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</si>
  <si>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  <r>
      <rPr>
        <sz val="11"/>
        <rFont val="돋움"/>
        <family val="3"/>
        <charset val="129"/>
      </rPr>
      <t>CU</t>
    </r>
    <r>
      <rPr>
        <sz val="11"/>
        <rFont val="Noto Sans CJK SC"/>
        <family val="2"/>
        <charset val="1"/>
      </rPr>
      <t>글로벌 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[H][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</si>
  <si>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브이자산운용</t>
  </si>
  <si>
    <t>KRZ501971461</t>
  </si>
  <si>
    <t>파인만 글로벌인프라증권모투자신탁(주식-재간접형)</t>
  </si>
  <si>
    <t>KRZ500317261</t>
  </si>
  <si>
    <t>파인만 파워아시아증권투자신탁1호 (주식)</t>
  </si>
  <si>
    <t>파인만 글로벌 인프라증권투자신탁(주식-재간접형)</t>
  </si>
  <si>
    <t>폐쇄</t>
  </si>
  <si>
    <t>파인만 글로벌 인프라 목표전환형 증권 자투자신탁(주식-재간접형)</t>
  </si>
  <si>
    <t>라인개설 미비</t>
  </si>
  <si>
    <t>KRZ500674101</t>
  </si>
  <si>
    <t>파인만 차이나 Bull 1.5배 증권자투자신탁 (주식-파생형)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</si>
  <si>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자산운용</t>
    </r>
  </si>
  <si>
    <t>해외투자팀</t>
  </si>
  <si>
    <t>김경준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</si>
  <si>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 xml:space="preserve">일반 사모증권투자신탁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</si>
  <si>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투자풀 글로벌 ETF 일반 사모증권투자신탁 제22-13호[주식-재간접형]</t>
  </si>
  <si>
    <t>문정현</t>
  </si>
  <si>
    <t>연기금일반사모증권투자신탁제2-S17호[주식-재간접형]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</si>
  <si>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선진국 주식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</si>
  <si>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KRZ502460620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</si>
  <si>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</si>
  <si>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KRZ502460600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</si>
  <si>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</si>
  <si>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KRZ502643690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</si>
  <si>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글로벌 채권 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</si>
  <si>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KRZ502297892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</si>
  <si>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플레인바닐라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>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</si>
  <si>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골드마이닝증권투자신탁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)</t>
    </r>
  </si>
  <si>
    <t>담당자</t>
  </si>
  <si>
    <t>펀드명</t>
  </si>
  <si>
    <t>NAV</t>
  </si>
  <si>
    <t>현대자산운용</t>
  </si>
  <si>
    <t>KRZ501844120</t>
  </si>
  <si>
    <t>김수영</t>
  </si>
  <si>
    <t>현대파워사모특별자산투자신탁2호[대출채권]</t>
  </si>
  <si>
    <t>KRZ502029950</t>
  </si>
  <si>
    <t>박수민</t>
  </si>
  <si>
    <t>현대AVIATION일반사모투자신탁 8호</t>
  </si>
  <si>
    <t>KRZ502193520</t>
  </si>
  <si>
    <t>성준오</t>
  </si>
  <si>
    <t>현대AVIATION일반사모투자신탁14-2호[사모사채]</t>
  </si>
  <si>
    <t>KRZ502193570</t>
  </si>
  <si>
    <t>현대AVIATION일반사모투자신탁14-3호[사모사채]</t>
  </si>
  <si>
    <t>KRZ502302660</t>
  </si>
  <si>
    <t>박건웅대리님</t>
  </si>
  <si>
    <t>현대 AVIATION 전문투자형 사모 투자신탁 19호</t>
  </si>
  <si>
    <t>KRZ502163410</t>
  </si>
  <si>
    <t>현대 AVIATION 일반사모투자신탁 13호</t>
  </si>
  <si>
    <t>2017.08.03</t>
  </si>
  <si>
    <t>KRZ502430790</t>
  </si>
  <si>
    <t>현대글로벌EMP증권자투자신탁1(혼합-재간접형)</t>
  </si>
  <si>
    <t>KRZ502006850</t>
  </si>
  <si>
    <t>현대 AVIATION 사모특별자산투자신탁 6호[대출채권]</t>
  </si>
  <si>
    <t>KRZ502061200</t>
  </si>
  <si>
    <t>현대 Star일반사모부동산투자신탁 4호</t>
  </si>
  <si>
    <t>KRZ500654990</t>
  </si>
  <si>
    <t>김태영매니저</t>
  </si>
  <si>
    <t>현대중국본토대표지수사모11호[주식-재간접형]</t>
  </si>
  <si>
    <t>KRZ500665170</t>
  </si>
  <si>
    <t>현대차이나섹터밸런스사모1호[주식-재간접형]</t>
  </si>
  <si>
    <t>현대중국본토대표지수사모7호[주식-재간접형]</t>
  </si>
  <si>
    <t>현대중국본토대표지수사모8호[주식-재간접형]</t>
  </si>
  <si>
    <t>현대차이나A지수사모1호[주식-재간접형]</t>
  </si>
  <si>
    <t>현대차이나섹터포커스ETF사모1호[주식-재간접형]</t>
  </si>
  <si>
    <t xml:space="preserve">차은호대리님 </t>
  </si>
  <si>
    <t>현대Star전문투자형사모부동산투자신탁1호</t>
  </si>
  <si>
    <t>현대AVIATION전문투자형사모투자신탁9-2호[사모사채]</t>
  </si>
  <si>
    <t>현대AVIATION전문투자형사모투자신탁17-2호[사모사채]</t>
  </si>
  <si>
    <r>
      <rPr>
        <sz val="11"/>
        <rFont val="돋움"/>
        <family val="3"/>
        <charset val="129"/>
      </rPr>
      <t>AVIATION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항공기</t>
    </r>
    <r>
      <rPr>
        <sz val="11"/>
        <rFont val="돋움"/>
        <family val="3"/>
        <charset val="129"/>
      </rPr>
      <t>)</t>
    </r>
  </si>
  <si>
    <t>현대 AVIATION 전문투자형 사모 투자신탁 14-1호[사모사채]</t>
  </si>
  <si>
    <t>김수영매니저</t>
  </si>
  <si>
    <t>현대 AVIATION 전문투자형 사모 투자신탁 10호[채무증권]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</si>
  <si>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자산</t>
    </r>
  </si>
  <si>
    <t>KRZ502138070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</si>
  <si>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</si>
  <si>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KRZ502299890</t>
  </si>
  <si>
    <r>
      <rPr>
        <sz val="11"/>
        <rFont val="돋움"/>
        <family val="3"/>
        <charset val="129"/>
      </rPr>
      <t xml:space="preserve">DB Mirai Creation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</si>
  <si>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KRZ502270590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</si>
  <si>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33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>]</t>
    </r>
  </si>
  <si>
    <t>KRZ502118880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</si>
  <si>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24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</si>
  <si>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KRZ502097530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</si>
  <si>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일반사모사모특별자산투자신탁</t>
    </r>
    <r>
      <rPr>
        <sz val="11"/>
        <rFont val="돋움"/>
        <family val="3"/>
        <charset val="129"/>
      </rPr>
      <t>25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</si>
  <si>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KRZ502120370</t>
  </si>
  <si>
    <r>
      <rPr>
        <sz val="11"/>
        <rFont val="돋움"/>
        <family val="3"/>
        <charset val="129"/>
      </rPr>
      <t>DB Hancock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</si>
  <si>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KRZ502367190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</si>
  <si>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AMP</t>
    </r>
    <r>
      <rPr>
        <sz val="11"/>
        <rFont val="Noto Sans CJK SC"/>
        <family val="2"/>
        <charset val="1"/>
      </rPr>
      <t>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</si>
  <si>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 KRZ502416450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</si>
  <si>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 xml:space="preserve">LNG </t>
    </r>
    <r>
      <rPr>
        <sz val="11"/>
        <rFont val="Noto Sans CJK SC"/>
        <family val="2"/>
        <charset val="1"/>
      </rPr>
      <t>터미널 전문투자형사모특별자산투자신탁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 xml:space="preserve">) </t>
    </r>
  </si>
  <si>
    <t>KRZ502441510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</si>
  <si>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블랙록인프라일반사모투자신탁제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</si>
  <si>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KRZ502008710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</si>
  <si>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일반사모특별자산투자신탁제</t>
    </r>
    <r>
      <rPr>
        <sz val="11"/>
        <rFont val="돋움"/>
        <family val="3"/>
        <charset val="129"/>
      </rPr>
      <t>19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</si>
  <si>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KRZ502229280</t>
  </si>
  <si>
    <r>
      <rPr>
        <sz val="11"/>
        <rFont val="돋움"/>
        <family val="3"/>
        <charset val="129"/>
      </rPr>
      <t xml:space="preserve">DB Asia Private Credit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</si>
  <si>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KRZ502388480</t>
  </si>
  <si>
    <r>
      <rPr>
        <sz val="11"/>
        <rFont val="돋움"/>
        <family val="3"/>
        <charset val="129"/>
      </rPr>
      <t xml:space="preserve">DB Manulife Private Equity 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</si>
  <si>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KRZ502418790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</si>
  <si>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</si>
  <si>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KRZ502418820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</si>
  <si>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</si>
  <si>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KRZ502437140</t>
  </si>
  <si>
    <r>
      <rPr>
        <sz val="11"/>
        <rFont val="돋움"/>
        <family val="3"/>
        <charset val="129"/>
      </rPr>
      <t>DB IFM</t>
    </r>
    <r>
      <rPr>
        <sz val="11"/>
        <rFont val="Noto Sans CJK SC"/>
        <family val="2"/>
        <charset val="1"/>
      </rPr>
      <t>인프라전문투자형사모투자신탁제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</si>
  <si>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KRZ502396640</t>
  </si>
  <si>
    <r>
      <rPr>
        <sz val="11"/>
        <rFont val="돋움"/>
        <family val="3"/>
        <charset val="129"/>
      </rPr>
      <t xml:space="preserve">DB Deerpath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</t>
    </r>
  </si>
  <si>
    <t>KRZ502485150</t>
  </si>
  <si>
    <r>
      <rPr>
        <sz val="11"/>
        <rFont val="돋움"/>
        <family val="3"/>
        <charset val="129"/>
      </rPr>
      <t xml:space="preserve">DB Manulife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</si>
  <si>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KRZ502536970</t>
  </si>
  <si>
    <r>
      <rPr>
        <sz val="11"/>
        <rFont val="돋움"/>
        <family val="3"/>
        <charset val="129"/>
      </rPr>
      <t xml:space="preserve">DB Manulife Secondary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</si>
  <si>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(USD) 27,029,791.18</t>
  </si>
  <si>
    <t>KRZ502575430</t>
  </si>
  <si>
    <r>
      <rPr>
        <sz val="11"/>
        <rFont val="돋움"/>
        <family val="3"/>
        <charset val="129"/>
      </rPr>
      <t>DB MetlifeMiddleMarket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</si>
  <si>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KRZ502606260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</si>
  <si>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유럽</t>
    </r>
    <r>
      <rPr>
        <sz val="11"/>
        <rFont val="돋움"/>
        <family val="3"/>
        <charset val="129"/>
      </rPr>
      <t>PrivateLoan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</si>
  <si>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KRZ502598600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</si>
  <si>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</si>
  <si>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KRZ502617210</t>
  </si>
  <si>
    <r>
      <rPr>
        <sz val="11"/>
        <rFont val="돋움"/>
        <family val="3"/>
        <charset val="129"/>
      </rPr>
      <t xml:space="preserve">DB crescent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</si>
  <si>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KRZ502628220</t>
  </si>
  <si>
    <r>
      <rPr>
        <sz val="11"/>
        <rFont val="돋움"/>
        <family val="3"/>
        <charset val="129"/>
      </rPr>
      <t xml:space="preserve">DB AdamsStreet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</si>
  <si>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KRZ502629150</t>
  </si>
  <si>
    <r>
      <rPr>
        <sz val="11"/>
        <rFont val="돋움"/>
        <family val="3"/>
        <charset val="129"/>
      </rPr>
      <t xml:space="preserve">DB Ardian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</si>
  <si>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KRZ502649770</t>
  </si>
  <si>
    <r>
      <rPr>
        <sz val="11"/>
        <rFont val="돋움"/>
        <family val="3"/>
        <charset val="129"/>
      </rPr>
      <t xml:space="preserve">DB Adams 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</si>
  <si>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KRZ502669560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</si>
  <si>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</si>
  <si>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KRZ502654490 </t>
  </si>
  <si>
    <r>
      <rPr>
        <sz val="11"/>
        <rFont val="돋움"/>
        <family val="3"/>
        <charset val="129"/>
      </rPr>
      <t xml:space="preserve">DB SoundPoint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</si>
  <si>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 xml:space="preserve">발전소전문투자형사모특별자산투자신탁 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</si>
  <si>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아시아인컴 사모증권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 xml:space="preserve">)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</si>
  <si>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글로벌크레딧일반사모증권투자신탁제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</si>
  <si>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AUD 10,000,000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</si>
  <si>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유로화표시자산전문투자형 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</si>
  <si>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글로벌원자재전문투자형사모투자신탁제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</si>
  <si>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US Private Loan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</si>
  <si>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>TALF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</si>
  <si>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KRZ502325850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</si>
  <si>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36</t>
    </r>
    <r>
      <rPr>
        <sz val="11"/>
        <rFont val="Noto Sans CJK SC"/>
        <family val="2"/>
        <charset val="1"/>
      </rPr>
      <t>호</t>
    </r>
  </si>
  <si>
    <t>KRZ502325840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</si>
  <si>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35</t>
    </r>
    <r>
      <rPr>
        <sz val="11"/>
        <rFont val="Noto Sans CJK SC"/>
        <family val="2"/>
        <charset val="1"/>
      </rPr>
      <t>호</t>
    </r>
  </si>
  <si>
    <t xml:space="preserve">캐피탈콜 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</si>
  <si>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>자산</t>
    </r>
  </si>
  <si>
    <t>18F7</t>
  </si>
  <si>
    <t>KRZ502412180</t>
  </si>
  <si>
    <r>
      <rPr>
        <sz val="11"/>
        <rFont val="돋움"/>
        <family val="3"/>
        <charset val="129"/>
      </rPr>
      <t xml:space="preserve">KB CVC </t>
    </r>
    <r>
      <rPr>
        <sz val="11"/>
        <rFont val="Noto Sans CJK SC"/>
        <family val="2"/>
        <charset val="1"/>
      </rPr>
      <t>북미 일반 사모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</si>
  <si>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2020.05.12</t>
  </si>
  <si>
    <t>18I7</t>
  </si>
  <si>
    <t>KRZ502458390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</si>
  <si>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ICG PDF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</si>
  <si>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2021.06.07</t>
  </si>
  <si>
    <t>189I</t>
  </si>
  <si>
    <t>KRZ502271810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</si>
  <si>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</si>
  <si>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2018.09.27</t>
  </si>
  <si>
    <t>189G</t>
  </si>
  <si>
    <t>KRZ502271820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</si>
  <si>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</si>
  <si>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18E4</t>
  </si>
  <si>
    <t>KRZ502387890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</si>
  <si>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</si>
  <si>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2019.12.19</t>
  </si>
  <si>
    <t>18S1</t>
  </si>
  <si>
    <t>KRZ502552260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</si>
  <si>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Jefferies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</si>
  <si>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2023.06.13</t>
  </si>
  <si>
    <t>18S6</t>
  </si>
  <si>
    <t>KRZ502555680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</si>
  <si>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모투자신탁 제</t>
    </r>
    <r>
      <rPr>
        <sz val="11"/>
        <rFont val="돋움"/>
        <family val="3"/>
        <charset val="129"/>
      </rPr>
      <t>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</si>
  <si>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2023.06.22</t>
  </si>
  <si>
    <t>18S7</t>
  </si>
  <si>
    <t>KRZ502555690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</si>
  <si>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</si>
  <si>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18S8</t>
  </si>
  <si>
    <t>KRZ502555700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</si>
  <si>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</si>
  <si>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1B03</t>
  </si>
  <si>
    <t>KRZ502600150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</si>
  <si>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롬바르오디에 글로벌세컨더리 일반사모혼합자산투자신탁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</si>
  <si>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ㅇ</t>
  </si>
  <si>
    <t>18U4</t>
  </si>
  <si>
    <t>KRZ502577400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</si>
  <si>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</si>
  <si>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1B02</t>
  </si>
  <si>
    <t>KRZ502575520</t>
  </si>
  <si>
    <r>
      <rPr>
        <sz val="11"/>
        <rFont val="돋움"/>
        <family val="3"/>
        <charset val="129"/>
      </rPr>
      <t xml:space="preserve">KB Apax </t>
    </r>
    <r>
      <rPr>
        <sz val="11"/>
        <rFont val="Noto Sans CJK SC"/>
        <family val="2"/>
        <charset val="1"/>
      </rPr>
      <t>글로벌 바이아웃 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</si>
  <si>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19S1</t>
  </si>
  <si>
    <t>KRZ502576720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</si>
  <si>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</si>
  <si>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2024.01.25</t>
  </si>
  <si>
    <t>19S5</t>
  </si>
  <si>
    <t>KRZ502576771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</si>
  <si>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</si>
  <si>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19S2</t>
  </si>
  <si>
    <t>KRZ502576761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</si>
  <si>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</si>
  <si>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18U8</t>
  </si>
  <si>
    <t>KRZ502579360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</si>
  <si>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Sound Point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</si>
  <si>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2024.02.07</t>
  </si>
  <si>
    <t>1B05</t>
  </si>
  <si>
    <t>KRZ502577891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</si>
  <si>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</si>
  <si>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2024.02.20</t>
  </si>
  <si>
    <t>1F88</t>
  </si>
  <si>
    <t>KRZ502590381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</si>
  <si>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</si>
  <si>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CME6</t>
  </si>
  <si>
    <t>KRZ502590570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</si>
  <si>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47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</si>
  <si>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1F78</t>
  </si>
  <si>
    <t>KRZ502615690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</si>
  <si>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선순위 </t>
    </r>
    <r>
      <rPr>
        <sz val="11"/>
        <rFont val="돋움"/>
        <family val="3"/>
        <charset val="129"/>
      </rPr>
      <t xml:space="preserve">Private Debt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</si>
  <si>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18W2</t>
  </si>
  <si>
    <t>KRZ502599930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</si>
  <si>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</si>
  <si>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18U5</t>
  </si>
  <si>
    <t>KRZ502442920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</si>
  <si>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</si>
  <si>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1B13</t>
  </si>
  <si>
    <t>KRZ502601361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</si>
  <si>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</si>
  <si>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18W6</t>
  </si>
  <si>
    <t>KRZ502603970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</si>
  <si>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</si>
  <si>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2024.10.21</t>
  </si>
  <si>
    <t>18X4</t>
  </si>
  <si>
    <t>KRZ502612540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</si>
  <si>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북미 누버거버먼 일반 사모 특별자산투자신탁 제</t>
    </r>
    <r>
      <rPr>
        <sz val="11"/>
        <rFont val="돋움"/>
        <family val="3"/>
        <charset val="129"/>
      </rPr>
      <t>5</t>
    </r>
    <r>
      <rPr>
        <sz val="11"/>
        <rFont val="Noto Sans CJK SC"/>
        <family val="2"/>
        <charset val="1"/>
      </rPr>
      <t>호</t>
    </r>
  </si>
  <si>
    <t>2024.12.</t>
  </si>
  <si>
    <t>18X3</t>
  </si>
  <si>
    <t>KRZ502612500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</si>
  <si>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아시아 </t>
    </r>
    <r>
      <rPr>
        <sz val="11"/>
        <rFont val="돋움"/>
        <family val="3"/>
        <charset val="129"/>
      </rPr>
      <t xml:space="preserve">KKR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</si>
  <si>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1B19</t>
  </si>
  <si>
    <t>KRZ502603570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</si>
  <si>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판테온 글로벌 세컨더리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</si>
  <si>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1B29</t>
  </si>
  <si>
    <t>KRZ502617461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</si>
  <si>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슈로더 </t>
    </r>
    <r>
      <rPr>
        <sz val="11"/>
        <rFont val="돋움"/>
        <family val="3"/>
        <charset val="129"/>
      </rPr>
      <t xml:space="preserve">GPE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</si>
  <si>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18Y6</t>
  </si>
  <si>
    <t>KRZ502621300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</si>
  <si>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 xml:space="preserve">골럽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</si>
  <si>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1B35</t>
  </si>
  <si>
    <t>KRZ502622021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</si>
  <si>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</si>
  <si>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1B46</t>
  </si>
  <si>
    <t>KRZ502625731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</si>
  <si>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EQT </t>
    </r>
    <r>
      <rPr>
        <sz val="11"/>
        <rFont val="Noto Sans CJK SC"/>
        <family val="2"/>
        <charset val="1"/>
      </rPr>
      <t>넥서스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</si>
  <si>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CME8</t>
  </si>
  <si>
    <t>KRZ502627670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</si>
  <si>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한국단기채 프리미엄 일반 사모 증권 투자신탁 제</t>
    </r>
    <r>
      <rPr>
        <sz val="11"/>
        <rFont val="돋움"/>
        <family val="3"/>
        <charset val="129"/>
      </rPr>
      <t>49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</si>
  <si>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1B53</t>
  </si>
  <si>
    <t>KRZ502630120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</si>
  <si>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오크트리 사모대출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</si>
  <si>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2025.06.17</t>
  </si>
  <si>
    <t>1B54</t>
  </si>
  <si>
    <t>KRZ502630990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</si>
  <si>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</si>
  <si>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2025.06.16</t>
  </si>
  <si>
    <t>1B61</t>
  </si>
  <si>
    <t>KRZ502632251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</si>
  <si>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GOLUB </t>
    </r>
    <r>
      <rPr>
        <sz val="11"/>
        <rFont val="Noto Sans CJK SC"/>
        <family val="2"/>
        <charset val="1"/>
      </rPr>
      <t>사모대출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</si>
  <si>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2025.06.26</t>
  </si>
  <si>
    <t>1B71</t>
  </si>
  <si>
    <t>KRZ502641151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</si>
  <si>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 </t>
    </r>
    <r>
      <rPr>
        <sz val="11"/>
        <rFont val="돋움"/>
        <family val="3"/>
        <charset val="129"/>
      </rPr>
      <t>NB </t>
    </r>
    <r>
      <rPr>
        <sz val="11"/>
        <rFont val="Noto Sans CJK SC"/>
        <family val="2"/>
        <charset val="1"/>
      </rPr>
      <t>사모주식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</si>
  <si>
    <t>2025.09.24</t>
  </si>
  <si>
    <t>1F80</t>
  </si>
  <si>
    <t>KRZ502590351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</si>
  <si>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</si>
  <si>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18BQ</t>
  </si>
  <si>
    <t>KRZ502657091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</si>
  <si>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</si>
  <si>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18BT</t>
  </si>
  <si>
    <t>KRZ502657101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</si>
  <si>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</si>
  <si>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18AH</t>
  </si>
  <si>
    <t>KRZ502632880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</si>
  <si>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제</t>
    </r>
    <r>
      <rPr>
        <sz val="11"/>
        <rFont val="돋움"/>
        <family val="3"/>
        <charset val="129"/>
      </rPr>
      <t>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) </t>
    </r>
  </si>
  <si>
    <t>CMF1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</si>
  <si>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</si>
  <si>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CMF3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</si>
  <si>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</si>
  <si>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18AI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</si>
  <si>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투자신탁 제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</si>
  <si>
    <t>단축코드</t>
  </si>
  <si>
    <t xml:space="preserve">삼성자산 </t>
  </si>
  <si>
    <t>KRZ501982690</t>
  </si>
  <si>
    <t>김경은 사원</t>
  </si>
  <si>
    <t>삼성 파워플랜트전문투자형사모특별자산 제1호</t>
  </si>
  <si>
    <t>KRZ502017870</t>
  </si>
  <si>
    <t>삼성 CDB 전문투자형사모특별자산 제1호</t>
  </si>
  <si>
    <t>KRZ502006730</t>
  </si>
  <si>
    <r>
      <rPr>
        <sz val="11"/>
        <rFont val="돋움"/>
        <family val="3"/>
        <charset val="129"/>
      </rPr>
      <t>SC</t>
    </r>
    <r>
      <rPr>
        <sz val="11"/>
        <rFont val="Noto Sans CJK SC"/>
        <family val="2"/>
        <charset val="1"/>
      </rPr>
      <t>제일</t>
    </r>
  </si>
  <si>
    <r>
      <rPr>
        <sz val="11"/>
        <rFont val="돋움"/>
        <family val="3"/>
        <charset val="129"/>
      </rPr>
      <t>PE</t>
    </r>
    <r>
      <rPr>
        <sz val="11"/>
        <rFont val="Noto Sans CJK SC"/>
        <family val="2"/>
        <charset val="1"/>
      </rPr>
      <t>팀</t>
    </r>
  </si>
  <si>
    <t>삼성 글로벌 Private Equity Manager 전문투자형 사모증권투자신탁 (채권혼합-재간접형)</t>
  </si>
  <si>
    <t>KRZ502364900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</si>
  <si>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공항 후순위대출 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</si>
  <si>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KRZ502378790</t>
  </si>
  <si>
    <t xml:space="preserve">삼성PEManager2019 전문투자형 사모투자신탁 제1호 </t>
  </si>
  <si>
    <t>KRZ500555500</t>
  </si>
  <si>
    <t>국민</t>
  </si>
  <si>
    <t xml:space="preserve">삼성CHINA 2.0본토증권모(주식) </t>
  </si>
  <si>
    <t>KRZ501802840</t>
  </si>
  <si>
    <t>삼성재형차이나본토증권자1(주식)</t>
  </si>
  <si>
    <t>KRZ502480720</t>
  </si>
  <si>
    <t>삼성NHFG대체투자DB솔루션전문투자형사모투자신탁제1호</t>
  </si>
  <si>
    <t>KRZ501988260</t>
  </si>
  <si>
    <t xml:space="preserve">삼성일본중소형FOCUS증권모투자신탁(주식) </t>
  </si>
  <si>
    <t>KRZ502093640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</si>
  <si>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바이오매스발전일반사모투자신탁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</si>
  <si>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KRZ502100790</t>
  </si>
  <si>
    <t>유미래 사원</t>
  </si>
  <si>
    <t>삼성 가지안텝 전문투자형 사모투자신탁 제1호</t>
  </si>
  <si>
    <t>2016.10</t>
  </si>
  <si>
    <t>EUR 88,000,000</t>
  </si>
  <si>
    <t>KRZ502132530</t>
  </si>
  <si>
    <t>Kookmin</t>
  </si>
  <si>
    <t>삼성IFM글로벌인프라선순위전문투자형사모투자신탁 제1호</t>
  </si>
  <si>
    <t>KRZ502126450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</si>
  <si>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</si>
  <si>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KRZ502126460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</si>
  <si>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</si>
  <si>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KRZ502131630</t>
  </si>
  <si>
    <t>삼성Ardian일반사모 제1호</t>
  </si>
  <si>
    <t>KRZ502191970</t>
  </si>
  <si>
    <t>삼성미국태양광전문투자형사모 제1호</t>
  </si>
  <si>
    <t>KRZ502190990</t>
  </si>
  <si>
    <t>삼성AXIUM전문투자형사모 제1호</t>
  </si>
  <si>
    <t>KRZ502191000</t>
  </si>
  <si>
    <t>삼성AXIUM전문투자형사모 제2호</t>
  </si>
  <si>
    <t>KRZ502198250</t>
  </si>
  <si>
    <t xml:space="preserve">삼성THL전문투자형 사모증권투자신탁제1호 </t>
  </si>
  <si>
    <t>KRZ502204150</t>
  </si>
  <si>
    <t xml:space="preserve">삼성DYAL전문투자형사모투자신탁제1호 </t>
  </si>
  <si>
    <t>KRZ502219430</t>
  </si>
  <si>
    <t>삼성 GoldPoint 전문투자형 사모투자신탁 제3호 (재간접형)</t>
  </si>
  <si>
    <t>KRZ502229420</t>
  </si>
  <si>
    <t>삼성칠레Solar전문투자형사모 제1호</t>
  </si>
  <si>
    <t>KRZ502242080</t>
  </si>
  <si>
    <t xml:space="preserve">삼성DYAL전문투자형사모투자신탁제2호 </t>
  </si>
  <si>
    <t>KRZ502242070</t>
  </si>
  <si>
    <t xml:space="preserve">삼성DYAL전문투자형사모투자신탁제3호 </t>
  </si>
  <si>
    <t>KRZ502274980</t>
  </si>
  <si>
    <t>삼성바이아웃전문투자형사모투자신탁제1호</t>
  </si>
  <si>
    <t>KRZ502289000</t>
  </si>
  <si>
    <t xml:space="preserve">이동언 매니저님 </t>
  </si>
  <si>
    <t>삼성NB전문투자형사모투자신탁 제1호</t>
  </si>
  <si>
    <t>KRZ502342690</t>
  </si>
  <si>
    <t>삼성AXIUM전문투자형사모투자신탁 제3호</t>
  </si>
  <si>
    <t>KRZ502342700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</si>
  <si>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</si>
  <si>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KRZ502477990</t>
  </si>
  <si>
    <t>Shinhan</t>
  </si>
  <si>
    <t>삼성미주인프라선순위일반사모투자신탁 제1호</t>
  </si>
  <si>
    <t>KRZ502502850</t>
  </si>
  <si>
    <t xml:space="preserve">삼성 BAIN CAPITAL CREDIT 일반사모투자신탁 제1호 </t>
  </si>
  <si>
    <t>KRZ502137930</t>
  </si>
  <si>
    <t xml:space="preserve">삼성팔콘메자닌전문투자형사모투자신탁제1호 </t>
  </si>
  <si>
    <t>KRZ502402590</t>
  </si>
  <si>
    <t>삼성솔루션Monroe Capital 전문투자형사모투자신탁</t>
  </si>
  <si>
    <t>KRZ502457200</t>
  </si>
  <si>
    <t>삼성DIF글로벌인프라전문투자형사모투자신탁 제1호</t>
  </si>
  <si>
    <t>KRZ502434760</t>
  </si>
  <si>
    <t>삼성 글로벌인프라전문투자형사모투자신탁 제1호</t>
  </si>
  <si>
    <t>KRZ502469380</t>
  </si>
  <si>
    <t>농협</t>
  </si>
  <si>
    <t xml:space="preserve">삼성ING-RiverRock 유럽PDF전문투자형사모투자신탁제1호 </t>
  </si>
  <si>
    <t>KRZ502502300</t>
  </si>
  <si>
    <t>삼성 글로벌 인프라 일반사모투자신탁 제2-1호</t>
  </si>
  <si>
    <t>KRZ502499960</t>
  </si>
  <si>
    <t>삼성 PE Manager 2019 일반사모투자신탁 제2호</t>
  </si>
  <si>
    <t>KRZ502517510</t>
  </si>
  <si>
    <t>삼성 인프라전략 일반사모투자신탁 제1호</t>
  </si>
  <si>
    <t>KRZ502522990</t>
  </si>
  <si>
    <t xml:space="preserve">삼성 BAIN CAPITAL CREDIT 일반사모투자신탁 제2호 </t>
  </si>
  <si>
    <t>KRZ502552750</t>
  </si>
  <si>
    <t>삼성DIF글로벌인프라일반사모투자신탁 제2호</t>
  </si>
  <si>
    <t>KRZ502530080</t>
  </si>
  <si>
    <t>삼성BlackstonePE일반사모투자신탁 제1호</t>
  </si>
  <si>
    <t>KRZ502532000</t>
  </si>
  <si>
    <t>삼성Blackstone글로벌인프라일반사모투자신탁 제1호</t>
  </si>
  <si>
    <t>KRZ502542000</t>
  </si>
  <si>
    <t>삼성 Puccini 글로벌인수금융 일반사모투자신탁 제1호</t>
  </si>
  <si>
    <t>KRZ502561890</t>
  </si>
  <si>
    <t>삼성 Cerberus Global NPL 일반사모투자신탁 제1호</t>
  </si>
  <si>
    <t>KRZ502545480</t>
  </si>
  <si>
    <t>삼성유럽인프라대출일반사모투자신탁제1호</t>
  </si>
  <si>
    <t>KRZ502548560</t>
  </si>
  <si>
    <t>삼성유럽통신타워인수금융일반사모투자신탁 제1호</t>
  </si>
  <si>
    <t>KRZ502553540</t>
  </si>
  <si>
    <t>삼성글로벌세컨더리2023일반사모투자신탁 제1호</t>
  </si>
  <si>
    <t>KRZ502559210</t>
  </si>
  <si>
    <t>삼성 Carlyle PE 일반사모투자신탁 제1호</t>
  </si>
  <si>
    <t>KRZ502558540</t>
  </si>
  <si>
    <t>삼성통신타워대출일반사모투자신탁 제2호[인프라]</t>
  </si>
  <si>
    <t>KRZ502565030</t>
  </si>
  <si>
    <t>삼성RiverRock유럽PDF 일반사모투자신탁 제3호</t>
  </si>
  <si>
    <t>KRZ502576630</t>
  </si>
  <si>
    <t>삼성Pemberton MMDF IV일반사모투자신탁제1호</t>
  </si>
  <si>
    <t>2024.01.</t>
  </si>
  <si>
    <t>EUR 60000000</t>
  </si>
  <si>
    <t>KRZ502570690</t>
  </si>
  <si>
    <t xml:space="preserve">삼성PEManager 2022 일반사모투자신탁 제2호 </t>
  </si>
  <si>
    <t>2023.11.10</t>
  </si>
  <si>
    <t>KRZ502569560</t>
  </si>
  <si>
    <t>삼성인프라전략일반사모투자신탁 제2호</t>
  </si>
  <si>
    <t>2023.10.25</t>
  </si>
  <si>
    <t>KRZ502576450</t>
  </si>
  <si>
    <t>삼성 PE 프라임 리턴 일반사모투자신탁 제1호</t>
  </si>
  <si>
    <t>2024.01.05</t>
  </si>
  <si>
    <t>USD 420000000</t>
  </si>
  <si>
    <t>KRZ500559711</t>
  </si>
  <si>
    <t>삼성CHINA 2.0본토30증권자1(채권)</t>
  </si>
  <si>
    <t>1MGZ00</t>
  </si>
  <si>
    <t>KRZ502406821</t>
  </si>
  <si>
    <t>삼성 PIS 글로벌 인프라 전문투자형 사모투자신탁 제1호</t>
  </si>
  <si>
    <t>1MI600</t>
  </si>
  <si>
    <t xml:space="preserve"> 공모 </t>
  </si>
  <si>
    <t>KRZ502415971</t>
  </si>
  <si>
    <t>조성호 매니저님</t>
  </si>
  <si>
    <t xml:space="preserve">삼성MAN투자밸런스증권투자신탁H(혼합-재간접형) </t>
  </si>
  <si>
    <t>KRZ500555521</t>
  </si>
  <si>
    <t>삼성CHINA 2.0 본토증권자 제1호(주식)</t>
  </si>
  <si>
    <t>KRZ501806530</t>
  </si>
  <si>
    <t xml:space="preserve">삼성클래식차이나본토연금증권H(주식) </t>
  </si>
  <si>
    <t>KRZ502027820</t>
  </si>
  <si>
    <r>
      <rPr>
        <sz val="11"/>
        <rFont val="돋움"/>
        <family val="3"/>
        <charset val="129"/>
      </rPr>
      <t>UK Solar</t>
    </r>
    <r>
      <rPr>
        <sz val="11"/>
        <rFont val="Noto Sans CJK SC"/>
        <family val="2"/>
        <charset val="1"/>
      </rPr>
      <t>선순위대출채권전문사모특별자산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]</t>
    </r>
  </si>
  <si>
    <t>KRZ502448520</t>
  </si>
  <si>
    <t>삼성 CU Global Alpha Spectrum 전문투자형 사모증권투자신탁</t>
  </si>
  <si>
    <t>삼성재형차이나본토40증권자1(채권혼합)</t>
  </si>
  <si>
    <t>KRZ502065910</t>
  </si>
  <si>
    <t xml:space="preserve">삼성 GoldPoint Partner 메자닌 전문투자형 사모증권투자신탁 제1호 </t>
  </si>
  <si>
    <t>KRZ502098920</t>
  </si>
  <si>
    <t xml:space="preserve">삼성 GoldPoint Partner 메자닌 전문투자형 사모증권투자신탁 제2호 </t>
  </si>
  <si>
    <t>KRZ502491460</t>
  </si>
  <si>
    <t>삼성 Co-Investment 2021 일반사모1</t>
  </si>
  <si>
    <t>KRZ502502310</t>
  </si>
  <si>
    <t>삼성 글로벌 인프라 일반사모투자신탁 제2-2호</t>
  </si>
  <si>
    <t>KRZ502507110</t>
  </si>
  <si>
    <t>삼성AXIUM일반사모 제4호</t>
  </si>
  <si>
    <t>KRZ502531170</t>
  </si>
  <si>
    <t>삼성 PE Manager 2022 일반사모 제1호</t>
  </si>
  <si>
    <t>KRZ502559170</t>
  </si>
  <si>
    <t>삼성 CIP IX 일반사모투자신탁 제1호</t>
  </si>
  <si>
    <t>KRZ502551440</t>
  </si>
  <si>
    <t>삼성 통신타워대출일반사모투자신탁 제1호</t>
  </si>
  <si>
    <t>KRZ502560590</t>
  </si>
  <si>
    <t>삼성 글로벌 인프라 일반사모투자신탁 제3호</t>
  </si>
  <si>
    <t>EUR 400,000,000</t>
  </si>
  <si>
    <t>1MO900</t>
  </si>
  <si>
    <t>KRZ502628511</t>
  </si>
  <si>
    <t>삼성블랙스톤BCRED-O일반사모투자신탁제1-1호(H)</t>
  </si>
  <si>
    <t>KRZ502657680</t>
  </si>
  <si>
    <t>삼성블랙스톤BCRED-O일반사모투자신탁제2호</t>
  </si>
  <si>
    <r>
      <rPr>
        <sz val="11"/>
        <rFont val="돋움"/>
        <family val="3"/>
        <charset val="129"/>
      </rPr>
      <t>200</t>
    </r>
    <r>
      <rPr>
        <sz val="11"/>
        <rFont val="Noto Sans CJK SC"/>
        <family val="2"/>
        <charset val="1"/>
      </rPr>
      <t>억</t>
    </r>
  </si>
  <si>
    <t xml:space="preserve">삼성퇴직연금코코알파전문투자형사모증권투자신탁제2호 (채권) </t>
  </si>
  <si>
    <t>황준연 팀장님</t>
  </si>
  <si>
    <t xml:space="preserve">삼성탑티어글로벌헤지펀드증권모투자신탁(혼합-재간접형) </t>
  </si>
  <si>
    <t>신한자산</t>
  </si>
  <si>
    <t>2P2010</t>
  </si>
  <si>
    <t>KRZ502585320</t>
  </si>
  <si>
    <t>공모주달러인컴일반사모제1호(USD)[채권]</t>
  </si>
  <si>
    <t>USD 20,000,000</t>
  </si>
  <si>
    <t>2P2047</t>
  </si>
  <si>
    <t>KRZ502620570</t>
  </si>
  <si>
    <t>신한법인용달러자금일반사모증권투자신탁제1호(USD)[채권]</t>
  </si>
  <si>
    <t>2P2051</t>
  </si>
  <si>
    <t>KRZ502622970</t>
  </si>
  <si>
    <t>신한달러인컴일반사모증권투자신탁제9호(USD)[채권혼합]</t>
  </si>
  <si>
    <t>9P1019</t>
  </si>
  <si>
    <t>~</t>
  </si>
  <si>
    <t>신한아폴로크레딧일반사모투자신탁제1-A호(H)</t>
  </si>
  <si>
    <t>2025-07</t>
  </si>
  <si>
    <t>흥국자산운용</t>
  </si>
  <si>
    <t>KRZ502405330</t>
  </si>
  <si>
    <t>강상석</t>
  </si>
  <si>
    <t>흥국하이클래스전문투자형사모증권449호 (파생형)</t>
  </si>
  <si>
    <t>2020.03.23</t>
  </si>
  <si>
    <t>KRZ501972750</t>
  </si>
  <si>
    <t>최미나대리</t>
  </si>
  <si>
    <t>흥국 차이나플러스 증권모투자신탁[채권혼합]</t>
  </si>
  <si>
    <t>2015.04.13</t>
  </si>
  <si>
    <t>KRZ501972771</t>
  </si>
  <si>
    <t>정채은/이용준</t>
  </si>
  <si>
    <t xml:space="preserve">흥국차이나플러스증권자투자신탁 1호 (H) (채권혼합) </t>
  </si>
  <si>
    <t>KRZ501985841</t>
  </si>
  <si>
    <t>흥국퇴직연금차이나플러스증권자투자신탁(H)[채권혼합]</t>
  </si>
  <si>
    <t>M240</t>
  </si>
  <si>
    <t>KRZ502445580</t>
  </si>
  <si>
    <t>박상건팀장, 정채은과장</t>
  </si>
  <si>
    <t>흥국글로벌AI이코노미증권모투자신탁[주식]</t>
  </si>
  <si>
    <t>2021.01.08</t>
  </si>
  <si>
    <t>KRZ502445621</t>
  </si>
  <si>
    <t>정채은</t>
  </si>
  <si>
    <t>흥국글로벌AI이코노미증권자투자신탁1호(H)[주식]</t>
  </si>
  <si>
    <t>KRZ502481141</t>
  </si>
  <si>
    <t xml:space="preserve">오현지 </t>
  </si>
  <si>
    <t xml:space="preserve">흥국글로벌이노베이션증권자투자신탁1호 </t>
  </si>
  <si>
    <t>2021.08.30</t>
  </si>
  <si>
    <t>MM20</t>
  </si>
  <si>
    <t>KRZ502030190</t>
  </si>
  <si>
    <t>이용준</t>
  </si>
  <si>
    <t xml:space="preserve">흥국미국배당우선주 증권자투자신탁1호(주식) </t>
  </si>
  <si>
    <t>2016.01.25</t>
  </si>
  <si>
    <t>KRZ502077831</t>
  </si>
  <si>
    <t xml:space="preserve">흥국미국배당우선주 전문투자형사모증권투자신탁(주식혼합) </t>
  </si>
  <si>
    <t>2016.08.31</t>
  </si>
  <si>
    <t>D575</t>
  </si>
  <si>
    <t>KRZ502091021</t>
  </si>
  <si>
    <t>이주연</t>
  </si>
  <si>
    <t>흥국더파트너스일반사모투자신탁(H)</t>
  </si>
  <si>
    <t>KRZ502605460</t>
  </si>
  <si>
    <t>흥국 글로벌인컴 증권모투자신탁[채권혼합-재간접]</t>
  </si>
  <si>
    <t>M191</t>
  </si>
  <si>
    <t>KRZ502605501</t>
  </si>
  <si>
    <t>흥국디딤연금플러스증권자투자신탁[혼합-재간접형]</t>
  </si>
  <si>
    <t>M340</t>
  </si>
  <si>
    <t>KRZ502651525</t>
  </si>
  <si>
    <t>흥국TDF2040증권자투자신탁1호(H)[혼합-재간접형]</t>
  </si>
  <si>
    <t>2025.12.15</t>
  </si>
  <si>
    <t>M360</t>
  </si>
  <si>
    <t>KRZ502651565</t>
  </si>
  <si>
    <t>흥국TDF2050증권자투자신탁1호(H)[혼합-재간접형]</t>
  </si>
  <si>
    <t>M380</t>
  </si>
  <si>
    <t>KRZ502651595</t>
  </si>
  <si>
    <t>흥국TDF2060증권자투자신탁1호(H)[혼합-재간접형]</t>
  </si>
  <si>
    <t>KRZ502654000</t>
  </si>
  <si>
    <t>박나연</t>
  </si>
  <si>
    <t>흥국옐로우엄브렐라글로벌채권일반사모증권투자신탁1호[재간접파생형]</t>
  </si>
  <si>
    <t>KRZ502669691</t>
  </si>
  <si>
    <t>흥국글로벌채권EMP증권투자신탁(H)[채권-재간접형]</t>
  </si>
  <si>
    <t>펀드삭제</t>
  </si>
  <si>
    <t>KRZ502139142</t>
  </si>
  <si>
    <t>흥국탑티어미국배당우선주전문투자형증권사모투자신탁(주식)</t>
  </si>
  <si>
    <t>2017.04.27</t>
  </si>
  <si>
    <t>흥국하이클래스전문투자형사모증권투자신탁433호(DLS-파생형)</t>
  </si>
  <si>
    <t>2018.03.27</t>
  </si>
  <si>
    <t>D9394</t>
  </si>
  <si>
    <t>KRZ502429230</t>
  </si>
  <si>
    <t>흥국 싱가포르 리츠 플러스 부동산 모투자신탁(리츠-재간접형)</t>
  </si>
  <si>
    <t>2020.09.03</t>
  </si>
  <si>
    <t xml:space="preserve">설정예정일 </t>
  </si>
  <si>
    <t>하나자산운용</t>
  </si>
  <si>
    <t>KRZ500650111</t>
  </si>
  <si>
    <t>하나 SmartUpChinaAShare증권투자신탁(제1호)[주식혼합-재간접형]</t>
  </si>
  <si>
    <t>3G401</t>
  </si>
  <si>
    <t>KRZ501715050</t>
  </si>
  <si>
    <t>하나 글로벌이머징국공채증권모투자신탁[채권-재간접형]</t>
  </si>
  <si>
    <t>KRZ501850320</t>
  </si>
  <si>
    <t>하나 유럽포커스증권모투자신탁[주식-재간접형]</t>
  </si>
  <si>
    <t>KRZ501918450</t>
  </si>
  <si>
    <t>하나 미국토탈일드증권모투자신탁[주식-재간접형]</t>
  </si>
  <si>
    <t>KRZ501198891</t>
  </si>
  <si>
    <t>하나 재팬코어플러스증권투자신탁[주식]</t>
  </si>
  <si>
    <t>KRZ500656010</t>
  </si>
  <si>
    <t>하나 중국소비재사모증권투자신탁[주식-재간접형]</t>
  </si>
  <si>
    <t>KRZ502518880</t>
  </si>
  <si>
    <t>하나 글로벌리츠부동산모투자신탁[재간접형]</t>
  </si>
  <si>
    <t>3G720</t>
  </si>
  <si>
    <t>KRZ501980190</t>
  </si>
  <si>
    <t>하나 유럽오퍼튜니티증권모투자신탁[주식-재간접형]</t>
  </si>
  <si>
    <t>3G252</t>
  </si>
  <si>
    <t>KRZ501925570</t>
  </si>
  <si>
    <t>하나 글로벌증권모투자신탁[주식-재간접형]</t>
  </si>
  <si>
    <t>3G251</t>
  </si>
  <si>
    <t>KRZ501925560</t>
  </si>
  <si>
    <t>하나 글로벌증권모투자신탁[채권-재간접형]</t>
  </si>
  <si>
    <t>KRZ501872940</t>
  </si>
  <si>
    <t>하나 차이나대표증권모투자신탁[주식-재간접형]</t>
  </si>
  <si>
    <t>KRZ500343080</t>
  </si>
  <si>
    <t>하나UBS China증권모투자신탁(주식)</t>
  </si>
  <si>
    <t>KRZ500236671</t>
  </si>
  <si>
    <t>하나 아시안리츠부동산투자신탁[재간접형]</t>
  </si>
  <si>
    <t>KRZ500323660</t>
  </si>
  <si>
    <t>하나 글로벌인프라증권모투자신탁[주식]</t>
  </si>
  <si>
    <t>KRZ502193850</t>
  </si>
  <si>
    <t>하나 글로벌4차산업1등주플러스증권모투자신탁[주식]</t>
  </si>
  <si>
    <t>KRZ502201200</t>
  </si>
  <si>
    <t>하나 PIMCO글로벌인컴혼합자산모투자신탁[재간접형]</t>
  </si>
  <si>
    <r>
      <rPr>
        <sz val="11"/>
        <rFont val="돋움"/>
        <family val="3"/>
        <charset val="129"/>
      </rPr>
      <t>610,046(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</si>
  <si>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545,228(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</si>
  <si>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KRZ502201211</t>
  </si>
  <si>
    <t>하나 PIMCO글로벌인컴혼합자산자투자신탁(H)[재간접형]</t>
  </si>
  <si>
    <t>KRZ502388360</t>
  </si>
  <si>
    <t>하나 올차이나증권모투자신탁[주식-재간접형]</t>
  </si>
  <si>
    <t>KRZ502520600</t>
  </si>
  <si>
    <t>하나 미국테크증권모투자신탁[주식-재간접형]</t>
  </si>
  <si>
    <t>KRZ502520611</t>
  </si>
  <si>
    <t>하나 미국테크증권자투자신탁(H)[주식-재간접형]</t>
  </si>
  <si>
    <t>KRZ502458701</t>
  </si>
  <si>
    <t>하나 월지급PIMCO글로벌인컴혼합자산자투자신탁[재간접형](H)</t>
  </si>
  <si>
    <t>KRZ502317590</t>
  </si>
  <si>
    <t>하나 글로벌마켓알파일반사모투자신탁1호</t>
  </si>
  <si>
    <t>KRZ502406450</t>
  </si>
  <si>
    <t>하나 글로벌리츠온리원부동산모투자신탁[재간접형]</t>
  </si>
  <si>
    <t>2020.04.20</t>
  </si>
  <si>
    <t>3G900</t>
  </si>
  <si>
    <t>KRZ502370360</t>
  </si>
  <si>
    <t>하나레그메이슨아시안본드혼합자산모투자신탁[재간접형]</t>
  </si>
  <si>
    <t>2019.09.20</t>
  </si>
  <si>
    <t>KR7472350008</t>
  </si>
  <si>
    <t>하나KTOP차이나H증권상장지주투자신탁[주식](H)</t>
  </si>
  <si>
    <t>2023.12.08</t>
  </si>
  <si>
    <t>KRZ502545730</t>
  </si>
  <si>
    <t xml:space="preserve"> 사모</t>
  </si>
  <si>
    <t>하나CU글로벌EMP일반사모증권투자신탁[주식-재간접형](전문)</t>
  </si>
  <si>
    <t>2023.11.27</t>
  </si>
  <si>
    <t>KRZ502580600</t>
  </si>
  <si>
    <t>하나 글로벌ETF일반사모투자신탁제5호(전문)</t>
  </si>
  <si>
    <t>2024.02.14</t>
  </si>
  <si>
    <t>KRZ502394870</t>
  </si>
  <si>
    <t>하나 글로벌 ETF 일반사모투자신탁제2호(전문)</t>
  </si>
  <si>
    <t>3G800</t>
  </si>
  <si>
    <t>KRZ502249720</t>
  </si>
  <si>
    <t>하나 레그메이슨매크로오퍼튜니티혼합자산모[재간접형]</t>
  </si>
  <si>
    <t>2018.07.16</t>
  </si>
  <si>
    <t>KRZ502193760</t>
  </si>
  <si>
    <t>하나 중국1등주플러스증권모[주식]</t>
  </si>
  <si>
    <t>2017.12.04</t>
  </si>
  <si>
    <t>KRZ502600725</t>
  </si>
  <si>
    <t>하나 더 넥스트 TDF 2030 증권투자신탁[혼합-재간접형]</t>
  </si>
  <si>
    <t>KRZ502600785</t>
  </si>
  <si>
    <t>하나 더 넥스트 TDF 2035 증권투자신탁[혼합-재간접형]</t>
  </si>
  <si>
    <t>KRZ502600795</t>
  </si>
  <si>
    <t>하나 더 넥스트 TDF 2040 증권투자신탁[혼합-재간접형]</t>
  </si>
  <si>
    <t>KRZ502600805</t>
  </si>
  <si>
    <t>하나 더 넥스트 TDF 2045 증권투자신탁[혼합-재간접형]</t>
  </si>
  <si>
    <t>KRZ502600861</t>
  </si>
  <si>
    <t>하나 더 넥스트 TDF 2050 증권투자신탁[혼합-재간접형]</t>
  </si>
  <si>
    <t>KRZ502600881</t>
  </si>
  <si>
    <t>하나 더 넥스트 TDF 2055 증권투자신탁[혼합-재간접형]</t>
  </si>
  <si>
    <t>KRZ502599770</t>
  </si>
  <si>
    <t>하나해외주식미국주식일반사모증권투자신탁CW-1호[주식-재간접형](전문)</t>
  </si>
  <si>
    <t>KRZ500163641</t>
  </si>
  <si>
    <t>하나 글로벌리츠부동산자투자신탁 [재간접형] (종류C3)</t>
  </si>
  <si>
    <t>KRZ50132367K</t>
  </si>
  <si>
    <t>하나 글로벌인프라 증권 자투자신탁[주식] (종류 S-P2)</t>
  </si>
  <si>
    <t>KRZ500242610</t>
  </si>
  <si>
    <t>대한FirstClassGlobalHedge사모해외재간접투자신탁(제1호)</t>
  </si>
  <si>
    <t>3G551</t>
  </si>
  <si>
    <t>KRZ501784460</t>
  </si>
  <si>
    <t>하나 유로하이일드증권모투자신탁[채권-재간접형]</t>
  </si>
  <si>
    <t>KRZ502611185</t>
  </si>
  <si>
    <t>하나원큐안정형OCIO증권투자신탁[채권혼합-재간접형]</t>
  </si>
  <si>
    <t>KRZ502611205</t>
  </si>
  <si>
    <t>하나원큐성장형OCIO증권투자신탁[혼합-재간접형]</t>
  </si>
  <si>
    <t>3G461</t>
  </si>
  <si>
    <t>KRZ501949251</t>
  </si>
  <si>
    <t>하나 월지급식 글로벌 인프라 증권 자투자신탁[주식]</t>
  </si>
  <si>
    <t>2025.01.12</t>
  </si>
  <si>
    <t>KRZ502653791</t>
  </si>
  <si>
    <t>하나 더넥스트 TDF2060 증권투자신탁[혼합-재간접형]</t>
  </si>
  <si>
    <t>2025.12.31</t>
  </si>
  <si>
    <t>KRZ502662740</t>
  </si>
  <si>
    <t>하나해외주식글로벌일반사모증권투자신탁CW-1호[주식-재간접형]</t>
  </si>
  <si>
    <t>2026.03.31</t>
  </si>
  <si>
    <t>청산 펀드</t>
  </si>
  <si>
    <t>하나UBS글로벌지속성장가능기업증권자투자신탁(H)[주식-재간접형]</t>
  </si>
  <si>
    <r>
      <rPr>
        <sz val="11"/>
        <rFont val="돋움"/>
        <family val="3"/>
        <charset val="129"/>
      </rPr>
      <t>27(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</si>
  <si>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24(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</si>
  <si>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상환완료</t>
  </si>
  <si>
    <t>KRZ502604370</t>
  </si>
  <si>
    <t>하나달러단기채증권모투자신탁(USD)[채권]</t>
  </si>
  <si>
    <t>2024.09.13</t>
  </si>
  <si>
    <t>KRZ501863660</t>
  </si>
  <si>
    <t>하나 글로벌롱숏플러스증권모투자신탁[주식혼합-재간접형]</t>
  </si>
  <si>
    <t>미래에셋자산운용</t>
  </si>
  <si>
    <t>KRZ500396330</t>
  </si>
  <si>
    <t>미래에셋브라질하이인컴채권증권모투자신탁[채권]</t>
  </si>
  <si>
    <t>2007-09</t>
  </si>
  <si>
    <t>959.46</t>
  </si>
  <si>
    <t>53696M</t>
  </si>
  <si>
    <t>KRZ502258200</t>
  </si>
  <si>
    <t>미래에셋달러단기자금증권모투자신탁(USD)(채권)</t>
  </si>
  <si>
    <t>2018-05</t>
  </si>
  <si>
    <t>10.5552</t>
  </si>
  <si>
    <t>KRZ50216533E</t>
  </si>
  <si>
    <t>미래에셋글로벌4차산업전환사채증권자투자신탁H[채권]</t>
  </si>
  <si>
    <t>2017-08</t>
  </si>
  <si>
    <t>1098.94</t>
  </si>
  <si>
    <t>KRZ500282370</t>
  </si>
  <si>
    <t>미래에셋글로벌증권모투자신탁(채권)</t>
  </si>
  <si>
    <t>2009-06</t>
  </si>
  <si>
    <t>980.94</t>
  </si>
  <si>
    <t>KRZ50175348D</t>
  </si>
  <si>
    <t>미래에셋글로벌다이나믹플러스증권자투자신탁1호(채권)</t>
  </si>
  <si>
    <t>2012-04</t>
  </si>
  <si>
    <t>941.23</t>
  </si>
  <si>
    <t>KRZ50215287A</t>
  </si>
  <si>
    <t>미래에셋이머징달러우량국공채증권자투자신탁(H)(채권)</t>
  </si>
  <si>
    <t>2017-07</t>
  </si>
  <si>
    <t>847.03</t>
  </si>
  <si>
    <t>KRZ50205100A</t>
  </si>
  <si>
    <t>미래에셋미국달러우량회사채증권자투자신탁1호(H)(채권)</t>
  </si>
  <si>
    <t>2016-04</t>
  </si>
  <si>
    <t>878.02</t>
  </si>
  <si>
    <t>KRZ502320861</t>
  </si>
  <si>
    <t>미래에셋달러우량중장기채권증권자투자신탁(H)(채권)</t>
  </si>
  <si>
    <t>2019-03</t>
  </si>
  <si>
    <t>875.83</t>
  </si>
  <si>
    <t>KRZ502560630</t>
  </si>
  <si>
    <t>미래에셋AI퀀트미국투자등급회사채증권모투자신탁(채권)</t>
  </si>
  <si>
    <t>2017-03</t>
  </si>
  <si>
    <t>1078</t>
  </si>
  <si>
    <t>KRZ502421008</t>
  </si>
  <si>
    <t>미래에셋글로벌투자적격채권증권자투자신탁(H)(채권)</t>
  </si>
  <si>
    <t>2020-06</t>
  </si>
  <si>
    <t>824.44</t>
  </si>
  <si>
    <t>약칭(C9 첫단어)</t>
  </si>
  <si>
    <t>탭명</t>
  </si>
  <si>
    <t>코드열</t>
  </si>
  <si>
    <t>은행열</t>
  </si>
  <si>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 xml:space="preserve">자동계산 </t>
    </r>
    <r>
      <rPr>
        <sz val="9"/>
        <color rgb="FF808080"/>
        <rFont val="맑은 고딕"/>
        <family val="3"/>
        <charset val="129"/>
      </rPr>
      <t xml:space="preserve">- </t>
    </r>
    <r>
      <rPr>
        <sz val="9"/>
        <color rgb="FF808080"/>
        <rFont val="Noto Sans CJK SC"/>
        <family val="2"/>
        <charset val="1"/>
      </rPr>
      <t>수정금지</t>
    </r>
    <r>
      <rPr>
        <sz val="9"/>
        <color rgb="FF808080"/>
        <rFont val="맑은 고딕"/>
        <family val="3"/>
        <charset val="129"/>
      </rPr>
      <t>)</t>
    </r>
  </si>
  <si>
    <t>다올</t>
  </si>
  <si>
    <t>C</t>
  </si>
  <si>
    <t>F</t>
  </si>
  <si>
    <t>첫단어</t>
  </si>
  <si>
    <t>현대인베</t>
  </si>
  <si>
    <t>유진</t>
  </si>
  <si>
    <t>E</t>
  </si>
  <si>
    <t>골든</t>
  </si>
  <si>
    <t>B</t>
  </si>
  <si>
    <t>유리</t>
  </si>
  <si>
    <t>한투</t>
  </si>
  <si>
    <t>키움</t>
  </si>
  <si>
    <r>
      <rPr>
        <sz val="10"/>
        <rFont val="맑은 고딕"/>
        <family val="3"/>
        <charset val="129"/>
      </rPr>
      <t>IM</t>
    </r>
    <r>
      <rPr>
        <sz val="10"/>
        <rFont val="Noto Sans CJK SC"/>
        <family val="2"/>
        <charset val="1"/>
      </rPr>
      <t>에셋</t>
    </r>
  </si>
  <si>
    <t>브이</t>
  </si>
  <si>
    <t>G</t>
  </si>
  <si>
    <t>현대</t>
  </si>
  <si>
    <t>DB</t>
  </si>
  <si>
    <t>삼성</t>
  </si>
  <si>
    <t>신한</t>
  </si>
  <si>
    <t>흥국</t>
  </si>
  <si>
    <t>하나UBS</t>
  </si>
  <si>
    <t>미래</t>
  </si>
  <si>
    <t>※ 새 운용사 탭 추가 시: 탭 만들고 여기 행 추가 (약칭=딜티켓 CUSTOMER 첫단어, 코드열/은행열=열 문자)</t>
  </si>
  <si>
    <r>
      <rPr>
        <b/>
        <sz val="10"/>
        <rFont val="Noto Sans CJK SC"/>
        <family val="2"/>
        <charset val="1"/>
      </rPr>
      <t>종목코드</t>
    </r>
    <r>
      <rPr>
        <b/>
        <sz val="10"/>
        <rFont val="맑은 고딕"/>
        <family val="3"/>
        <charset val="129"/>
      </rPr>
      <t>(KR)</t>
    </r>
  </si>
  <si>
    <r>
      <rPr>
        <b/>
        <sz val="10"/>
        <rFont val="Noto Sans CJK SC"/>
        <family val="2"/>
        <charset val="1"/>
      </rPr>
      <t>예탁원코드</t>
    </r>
    <r>
      <rPr>
        <b/>
        <sz val="10"/>
        <rFont val="맑은 고딕"/>
        <family val="3"/>
        <charset val="129"/>
      </rPr>
      <t>(KRZ)</t>
    </r>
  </si>
  <si>
    <t>등록일</t>
  </si>
  <si>
    <r>
      <rPr>
        <sz val="9"/>
        <color rgb="FF808080"/>
        <rFont val="Noto Sans CJK SC"/>
        <family val="2"/>
        <charset val="1"/>
      </rPr>
      <t xml:space="preserve">※ 기준일 </t>
    </r>
    <r>
      <rPr>
        <sz val="9"/>
        <color rgb="FF808080"/>
        <rFont val="맑은 고딕"/>
        <family val="3"/>
        <charset val="129"/>
      </rPr>
      <t xml:space="preserve">2026-07-22 (BCI). </t>
    </r>
    <r>
      <rPr>
        <sz val="9"/>
        <color rgb="FF808080"/>
        <rFont val="Noto Sans CJK SC"/>
        <family val="2"/>
        <charset val="1"/>
      </rPr>
      <t>매일 갱신 시 이 탭에 최신 데이터를 붙여넣으세요</t>
    </r>
    <r>
      <rPr>
        <sz val="9"/>
        <color rgb="FF808080"/>
        <rFont val="맑은 고딕"/>
        <family val="3"/>
        <charset val="129"/>
      </rPr>
      <t>.</t>
    </r>
  </si>
  <si>
    <t>KR519250305T</t>
  </si>
  <si>
    <t>2025-03-05</t>
  </si>
  <si>
    <r>
      <rPr>
        <sz val="9"/>
        <color rgb="FFCC0000"/>
        <rFont val="Noto Sans CJK SC"/>
        <family val="2"/>
        <charset val="1"/>
      </rPr>
      <t xml:space="preserve">※ 빨간색 </t>
    </r>
    <r>
      <rPr>
        <sz val="9"/>
        <color rgb="FFCC0000"/>
        <rFont val="맑은 고딕"/>
        <family val="3"/>
        <charset val="129"/>
      </rPr>
      <t xml:space="preserve">= </t>
    </r>
    <r>
      <rPr>
        <sz val="9"/>
        <color rgb="FFCC0000"/>
        <rFont val="Noto Sans CJK SC"/>
        <family val="2"/>
        <charset val="1"/>
      </rPr>
      <t xml:space="preserve">기준가 </t>
    </r>
    <r>
      <rPr>
        <sz val="9"/>
        <color rgb="FFCC0000"/>
        <rFont val="맑은 고딕"/>
        <family val="3"/>
        <charset val="129"/>
      </rPr>
      <t xml:space="preserve">700 </t>
    </r>
    <r>
      <rPr>
        <sz val="9"/>
        <color rgb="FFCC0000"/>
        <rFont val="Noto Sans CJK SC"/>
        <family val="2"/>
        <charset val="1"/>
      </rPr>
      <t xml:space="preserve">이하 </t>
    </r>
    <r>
      <rPr>
        <sz val="9"/>
        <color rgb="FFCC0000"/>
        <rFont val="맑은 고딕"/>
        <family val="3"/>
        <charset val="129"/>
      </rPr>
      <t>(</t>
    </r>
    <r>
      <rPr>
        <sz val="9"/>
        <color rgb="FFCC0000"/>
        <rFont val="Noto Sans CJK SC"/>
        <family val="2"/>
        <charset val="1"/>
      </rPr>
      <t>거래금지 대상</t>
    </r>
    <r>
      <rPr>
        <sz val="9"/>
        <color rgb="FFCC0000"/>
        <rFont val="맑은 고딕"/>
        <family val="3"/>
        <charset val="129"/>
      </rPr>
      <t>)</t>
    </r>
  </si>
  <si>
    <t>KR5152510271</t>
  </si>
  <si>
    <t>2025-10-27</t>
  </si>
  <si>
    <t>KR519250305V</t>
  </si>
  <si>
    <t>KR519250306D</t>
  </si>
  <si>
    <t>2025-03-06</t>
  </si>
  <si>
    <t>KR5122605121</t>
  </si>
  <si>
    <t>KRZ502671550</t>
  </si>
  <si>
    <t>2026-05-12</t>
  </si>
  <si>
    <t>KR519250306Y</t>
  </si>
  <si>
    <t>KR5122603201</t>
  </si>
  <si>
    <t>2026-03-20</t>
  </si>
  <si>
    <t>KR5122502201</t>
  </si>
  <si>
    <t>2025-02-20</t>
  </si>
  <si>
    <t>KR519250307D</t>
  </si>
  <si>
    <t>2025-03-07</t>
  </si>
  <si>
    <t>KR5122603301</t>
  </si>
  <si>
    <t>KRZ502666090</t>
  </si>
  <si>
    <t>2026-03-30</t>
  </si>
  <si>
    <t>KR5122602041</t>
  </si>
  <si>
    <t>2026-02-04</t>
  </si>
  <si>
    <t>KR519250305P</t>
  </si>
  <si>
    <t>KR5192601272</t>
  </si>
  <si>
    <t>2026-01-27</t>
  </si>
  <si>
    <t>KR5152408071</t>
  </si>
  <si>
    <t>2024-08-07</t>
  </si>
  <si>
    <t>KR5192503179</t>
  </si>
  <si>
    <t>2025-03-17</t>
  </si>
  <si>
    <t>KR519250307G</t>
  </si>
  <si>
    <t>KR519250307F</t>
  </si>
  <si>
    <t>KR519250306L</t>
  </si>
  <si>
    <t>KR519250306U</t>
  </si>
  <si>
    <t>KR519250305X</t>
  </si>
  <si>
    <t>KR519250306W</t>
  </si>
  <si>
    <t>KR519250305N</t>
  </si>
  <si>
    <t>KR5112506302</t>
  </si>
  <si>
    <t>2025-06-30</t>
  </si>
  <si>
    <t>KR519250305M</t>
  </si>
  <si>
    <t>KR5192503072</t>
  </si>
  <si>
    <t>KR5182404263</t>
  </si>
  <si>
    <t>2024-04-26</t>
  </si>
  <si>
    <t>KR519240430H</t>
  </si>
  <si>
    <t>KRZ501713391</t>
  </si>
  <si>
    <t>2024-04-30</t>
  </si>
  <si>
    <t>KR5192503175</t>
  </si>
  <si>
    <t>KR519250305H</t>
  </si>
  <si>
    <t>KR5192503177</t>
  </si>
  <si>
    <t>KR519240610B</t>
  </si>
  <si>
    <t>2024-06-10</t>
  </si>
  <si>
    <t>KR5192404307</t>
  </si>
  <si>
    <t>KR5182404265</t>
  </si>
  <si>
    <t>KR5162404302</t>
  </si>
  <si>
    <t>KR519250304F</t>
  </si>
  <si>
    <t>2025-03-04</t>
  </si>
  <si>
    <t>KR5182508132</t>
  </si>
  <si>
    <t>2025-08-13</t>
  </si>
  <si>
    <t>KR519240430K</t>
  </si>
  <si>
    <t>KR5152404301</t>
  </si>
  <si>
    <t>KR5192503049</t>
  </si>
  <si>
    <t>KR519250317G</t>
  </si>
  <si>
    <t>KR5192506242</t>
  </si>
  <si>
    <t>2025-06-24</t>
  </si>
  <si>
    <t>KR5152404302</t>
  </si>
  <si>
    <t>KR5182508131</t>
  </si>
  <si>
    <t>KR519240426H</t>
  </si>
  <si>
    <t>KR519240430J</t>
  </si>
  <si>
    <t>KR5192503064</t>
  </si>
  <si>
    <t>KR5192404192</t>
  </si>
  <si>
    <t>2024-04-19</t>
  </si>
  <si>
    <t>KR5192503178</t>
  </si>
  <si>
    <t>KR5122407082</t>
  </si>
  <si>
    <t>2024-07-08</t>
  </si>
  <si>
    <t>KR5192406108</t>
  </si>
  <si>
    <t>KR5192404225</t>
  </si>
  <si>
    <t>2024-04-22</t>
  </si>
  <si>
    <t>KR519250304B</t>
  </si>
  <si>
    <t>KR5112404304</t>
  </si>
  <si>
    <t>KR519240430O</t>
  </si>
  <si>
    <t>KR5182502102</t>
  </si>
  <si>
    <t>2025-02-10</t>
  </si>
  <si>
    <t>KR519240425M</t>
  </si>
  <si>
    <t>2024-04-25</t>
  </si>
  <si>
    <t>KR518240503B</t>
  </si>
  <si>
    <t>2024-05-03</t>
  </si>
  <si>
    <t>KR518240503E</t>
  </si>
  <si>
    <t>KR5112404306</t>
  </si>
  <si>
    <t>KR519250305U</t>
  </si>
  <si>
    <t>KR5192404303</t>
  </si>
  <si>
    <t>KR5192406101</t>
  </si>
  <si>
    <t>KR5192505092</t>
  </si>
  <si>
    <t>2025-05-09</t>
  </si>
  <si>
    <t>KR519240425V</t>
  </si>
  <si>
    <t>KR5192506233</t>
  </si>
  <si>
    <t>2025-06-23</t>
  </si>
  <si>
    <t>KR5192503068</t>
  </si>
  <si>
    <t>KR519240425S</t>
  </si>
  <si>
    <t>KR519240425W</t>
  </si>
  <si>
    <t>KR5192406107</t>
  </si>
  <si>
    <t>KR519240425U</t>
  </si>
  <si>
    <t>KR5182502066</t>
  </si>
  <si>
    <t>2025-02-06</t>
  </si>
  <si>
    <t>KR519240425Q</t>
  </si>
  <si>
    <t>KR519240425T</t>
  </si>
  <si>
    <t>KR5192404301</t>
  </si>
  <si>
    <t>KR519250305W</t>
  </si>
  <si>
    <t>KR519250304D</t>
  </si>
  <si>
    <t>KR5182502101</t>
  </si>
  <si>
    <t>KR519250317D</t>
  </si>
  <si>
    <t>KR519250305O</t>
  </si>
  <si>
    <t>KR519240430I</t>
  </si>
  <si>
    <t>KR5192404262</t>
  </si>
  <si>
    <t>KR5192502063</t>
  </si>
  <si>
    <t>KR5192404252</t>
  </si>
  <si>
    <t>KR519250304C</t>
  </si>
  <si>
    <t>KR5192503062</t>
  </si>
  <si>
    <t>KR5192404254</t>
  </si>
  <si>
    <t>KR5122408078</t>
  </si>
  <si>
    <t>KR5192503046</t>
  </si>
  <si>
    <t>KRZ501816631</t>
  </si>
  <si>
    <t>KR5192404224</t>
  </si>
  <si>
    <t>KR519250317C</t>
  </si>
  <si>
    <t>KR519240425O</t>
  </si>
  <si>
    <t>KR5192506272</t>
  </si>
  <si>
    <t>2025-06-27</t>
  </si>
  <si>
    <t>KR519240430D</t>
  </si>
  <si>
    <t>KR5192506263</t>
  </si>
  <si>
    <t>2025-06-26</t>
  </si>
  <si>
    <t>KR5112404303</t>
  </si>
  <si>
    <t>KR5182404261</t>
  </si>
  <si>
    <t>KR5192406242</t>
  </si>
  <si>
    <t>2024-06-24</t>
  </si>
  <si>
    <t>KR5192405033</t>
  </si>
  <si>
    <t>KR5202404261</t>
  </si>
  <si>
    <t>KR519240425F</t>
  </si>
  <si>
    <t>KR5192404306</t>
  </si>
  <si>
    <t>KR5122408076</t>
  </si>
  <si>
    <t>KR519250304V</t>
  </si>
  <si>
    <t>KR5192506162</t>
  </si>
  <si>
    <t>2025-06-16</t>
  </si>
  <si>
    <t>KR5192506112</t>
  </si>
  <si>
    <t>2025-06-11</t>
  </si>
  <si>
    <t>KR5122408075</t>
  </si>
  <si>
    <t>KR5192506172</t>
  </si>
  <si>
    <t>2025-06-17</t>
  </si>
  <si>
    <t>KR5162601191</t>
  </si>
  <si>
    <t>2026-01-19</t>
  </si>
  <si>
    <t>KR5192503047</t>
  </si>
  <si>
    <t>KR519240426D</t>
  </si>
  <si>
    <t>KR5192404258</t>
  </si>
  <si>
    <t>KR519250304L</t>
  </si>
  <si>
    <t>KR519250304P</t>
  </si>
  <si>
    <t>KR519240426C</t>
  </si>
  <si>
    <t>KR5192406241</t>
  </si>
  <si>
    <t>KR5192503054</t>
  </si>
  <si>
    <t>KR519250304E</t>
  </si>
  <si>
    <t>KR519240430F</t>
  </si>
  <si>
    <t>KR5202502101</t>
  </si>
  <si>
    <t>KR519240430L</t>
  </si>
  <si>
    <t>KR5192503112</t>
  </si>
  <si>
    <t>2025-03-11</t>
  </si>
  <si>
    <t>KR511240430B</t>
  </si>
  <si>
    <t>KR5192503057</t>
  </si>
  <si>
    <t>KR5202404262</t>
  </si>
  <si>
    <t>KR519250304M</t>
  </si>
  <si>
    <t>KR5182405033</t>
  </si>
  <si>
    <t>KR5192504181</t>
  </si>
  <si>
    <t>2025-04-18</t>
  </si>
  <si>
    <t>KR519240425L</t>
  </si>
  <si>
    <t>KR519240610A</t>
  </si>
  <si>
    <t>KR5192505081</t>
  </si>
  <si>
    <t>2025-05-08</t>
  </si>
  <si>
    <t>KR5192511251</t>
  </si>
  <si>
    <t>2025-11-25</t>
  </si>
  <si>
    <t>KR519250304I</t>
  </si>
  <si>
    <t>KR5192503181</t>
  </si>
  <si>
    <t>2025-03-18</t>
  </si>
  <si>
    <t>KR5192503176</t>
  </si>
  <si>
    <t>KR519250306R</t>
  </si>
  <si>
    <t>KR519250306T</t>
  </si>
  <si>
    <t>KR5112606231</t>
  </si>
  <si>
    <t>2026-06-23</t>
  </si>
  <si>
    <t>KR5192508261</t>
  </si>
  <si>
    <t>2025-08-26</t>
  </si>
  <si>
    <t>KR5152409091</t>
  </si>
  <si>
    <t>2024-09-09</t>
  </si>
  <si>
    <t>KR519250317E</t>
  </si>
  <si>
    <t>KR519240430M</t>
  </si>
  <si>
    <t>KR5192404267</t>
  </si>
  <si>
    <t>KR5112404291</t>
  </si>
  <si>
    <t>2024-04-29</t>
  </si>
  <si>
    <t>KR5192503201</t>
  </si>
  <si>
    <t>2025-03-20</t>
  </si>
  <si>
    <t>KR5192412241</t>
  </si>
  <si>
    <t>2024-12-24</t>
  </si>
  <si>
    <t>KR5192411261</t>
  </si>
  <si>
    <t>2024-11-26</t>
  </si>
  <si>
    <t>KR519250304X</t>
  </si>
  <si>
    <t>KR5192503079</t>
  </si>
  <si>
    <t>KR5182405036</t>
  </si>
  <si>
    <t>KR5192407241</t>
  </si>
  <si>
    <t>2024-07-24</t>
  </si>
  <si>
    <t>KR5192502065</t>
  </si>
  <si>
    <t>KR519250317B</t>
  </si>
  <si>
    <t>KR519250317A</t>
  </si>
  <si>
    <t>KR5192404221</t>
  </si>
  <si>
    <t>KR5182507141</t>
  </si>
  <si>
    <t>2025-07-14</t>
  </si>
  <si>
    <t>KR5192506113</t>
  </si>
  <si>
    <t>KR519250304S</t>
  </si>
  <si>
    <t>KR511240430G</t>
  </si>
  <si>
    <t>KR5192506161</t>
  </si>
  <si>
    <t>KR5192404265</t>
  </si>
  <si>
    <t>KR5192503065</t>
  </si>
  <si>
    <t>KR5112405035</t>
  </si>
  <si>
    <t>KR5192604012</t>
  </si>
  <si>
    <t>2026-04-01</t>
  </si>
  <si>
    <t>KR5192404256</t>
  </si>
  <si>
    <t>KR519250307B</t>
  </si>
  <si>
    <t>KR518240503L</t>
  </si>
  <si>
    <t>KR519240426B</t>
  </si>
  <si>
    <t>KR5192607161</t>
  </si>
  <si>
    <t>2026-07-16</t>
  </si>
  <si>
    <t>KR5192510151</t>
  </si>
  <si>
    <t>2025-10-15</t>
  </si>
  <si>
    <t>KR5192404266</t>
  </si>
  <si>
    <t>KR519250508B</t>
  </si>
  <si>
    <t>KR5192502104</t>
  </si>
  <si>
    <t>KR5192606221</t>
  </si>
  <si>
    <t>2026-06-22</t>
  </si>
  <si>
    <t>KR519250307C</t>
  </si>
  <si>
    <t>KR519240430E</t>
  </si>
  <si>
    <t>KR5192506134</t>
  </si>
  <si>
    <t>2025-06-13</t>
  </si>
  <si>
    <t>KR5192412311</t>
  </si>
  <si>
    <t>2024-12-31</t>
  </si>
  <si>
    <t>KR519250305G</t>
  </si>
  <si>
    <t>KR5192603231</t>
  </si>
  <si>
    <t>2026-03-23</t>
  </si>
  <si>
    <t>KR5192606231</t>
  </si>
  <si>
    <t>KRZ502632910</t>
  </si>
  <si>
    <t>KR5192404259</t>
  </si>
  <si>
    <t>KR519240425N</t>
  </si>
  <si>
    <t>KR5192503052</t>
  </si>
  <si>
    <t>KR5192503101</t>
  </si>
  <si>
    <t>2025-03-10</t>
  </si>
  <si>
    <t>KR5192603111</t>
  </si>
  <si>
    <t>KRZ502651790</t>
  </si>
  <si>
    <t>2026-03-11</t>
  </si>
  <si>
    <t>KR5192505093</t>
  </si>
  <si>
    <t>KR519250306O</t>
  </si>
  <si>
    <t>KR519250305Z</t>
  </si>
  <si>
    <t>KR5182502103</t>
  </si>
  <si>
    <t>KR5112404261</t>
  </si>
  <si>
    <t>KR5192605061</t>
  </si>
  <si>
    <t>2026-05-06</t>
  </si>
  <si>
    <t>KR5122408073</t>
  </si>
  <si>
    <t>KR5192501151</t>
  </si>
  <si>
    <t>2025-01-15</t>
  </si>
  <si>
    <t>KR5122408072</t>
  </si>
  <si>
    <t>KR5192404304</t>
  </si>
  <si>
    <t>KR5112506301</t>
  </si>
  <si>
    <t>KR5192603101</t>
  </si>
  <si>
    <t>2026-03-10</t>
  </si>
  <si>
    <t>KR5192407081</t>
  </si>
  <si>
    <t>KR5122407041</t>
  </si>
  <si>
    <t>2024-07-04</t>
  </si>
  <si>
    <t>KR5192503182</t>
  </si>
  <si>
    <t>KR5122512231</t>
  </si>
  <si>
    <t>2025-12-23</t>
  </si>
  <si>
    <t>KR5122509241</t>
  </si>
  <si>
    <t>2025-09-24</t>
  </si>
  <si>
    <t>KR5192502072</t>
  </si>
  <si>
    <t>2025-02-07</t>
  </si>
  <si>
    <t>KR5122405031</t>
  </si>
  <si>
    <t>KR5192502074</t>
  </si>
  <si>
    <t>KR5112605191</t>
  </si>
  <si>
    <t>2026-05-19</t>
  </si>
  <si>
    <t>KR5182405031</t>
  </si>
  <si>
    <t>KR5192604013</t>
  </si>
  <si>
    <t>KR5192404264</t>
  </si>
  <si>
    <t>C800</t>
  </si>
  <si>
    <t>KR5192601122</t>
  </si>
  <si>
    <t>2026-01-12</t>
  </si>
  <si>
    <t>KR519240430N</t>
  </si>
  <si>
    <t>KR5182409112</t>
  </si>
  <si>
    <t>2024-09-11</t>
  </si>
  <si>
    <t>KR5112404254</t>
  </si>
  <si>
    <t>KR5192604014</t>
  </si>
  <si>
    <t>KR519250305B</t>
  </si>
  <si>
    <t>KR5192506091</t>
  </si>
  <si>
    <t>2025-06-09</t>
  </si>
  <si>
    <t>KR5112605192</t>
  </si>
  <si>
    <t>KR5192601062</t>
  </si>
  <si>
    <t>2026-01-06</t>
  </si>
  <si>
    <t>KR5152509111</t>
  </si>
  <si>
    <t>2025-09-11</t>
  </si>
  <si>
    <t>KR519250508L</t>
  </si>
  <si>
    <t>KR5192504182</t>
  </si>
  <si>
    <t>KR5182506271</t>
  </si>
  <si>
    <t>KR5192406104</t>
  </si>
  <si>
    <t>KR5192603261</t>
  </si>
  <si>
    <t>KRZ502654490</t>
  </si>
  <si>
    <t>2026-03-26</t>
  </si>
  <si>
    <t>KR5192506131</t>
  </si>
  <si>
    <t>KR519250305F</t>
  </si>
  <si>
    <t>KR5182505291</t>
  </si>
  <si>
    <t>2025-05-29</t>
  </si>
  <si>
    <t>KR519250304R</t>
  </si>
  <si>
    <t>KR5182512151</t>
  </si>
  <si>
    <t>2025-12-15</t>
  </si>
  <si>
    <t>KR5192506171</t>
  </si>
  <si>
    <t>KR5192407161</t>
  </si>
  <si>
    <t>2024-07-16</t>
  </si>
  <si>
    <t>KR5192501311</t>
  </si>
  <si>
    <t>2025-01-31</t>
  </si>
  <si>
    <t>KR519250307A</t>
  </si>
  <si>
    <t>KR5182405032</t>
  </si>
  <si>
    <t>KR5122408077</t>
  </si>
  <si>
    <t>KR5192601271</t>
  </si>
  <si>
    <t>KR5192503211</t>
  </si>
  <si>
    <t>2025-03-21</t>
  </si>
  <si>
    <t>KR5112404301</t>
  </si>
  <si>
    <t>KR5192505091</t>
  </si>
  <si>
    <t>KR5182512152</t>
  </si>
  <si>
    <t>KR5192503077</t>
  </si>
  <si>
    <t>KR5152512151</t>
  </si>
  <si>
    <t>KR518240503J</t>
  </si>
  <si>
    <t>KR519240426E</t>
  </si>
  <si>
    <t>KR5192503042</t>
  </si>
  <si>
    <t>KR5182502061</t>
  </si>
  <si>
    <t>KR5192502062</t>
  </si>
  <si>
    <t>KR5192503202</t>
  </si>
  <si>
    <t>KR519250508G</t>
  </si>
  <si>
    <t>KR5192503058</t>
  </si>
  <si>
    <t>KR5182405035</t>
  </si>
  <si>
    <t>KR519250304W</t>
  </si>
  <si>
    <t>KR5192503056</t>
  </si>
  <si>
    <t>KR5152406281</t>
  </si>
  <si>
    <t>2024-06-28</t>
  </si>
  <si>
    <t>KR5192503053</t>
  </si>
  <si>
    <t>KR5192404222</t>
  </si>
  <si>
    <t>KR519250305J</t>
  </si>
  <si>
    <t>KR519250306C</t>
  </si>
  <si>
    <t>KR5182604015</t>
  </si>
  <si>
    <t>KR5182604012</t>
  </si>
  <si>
    <t>KR5192406271</t>
  </si>
  <si>
    <t>2024-06-27</t>
  </si>
  <si>
    <t>KR519250306I</t>
  </si>
  <si>
    <t>KR5182509091</t>
  </si>
  <si>
    <t>2025-09-09</t>
  </si>
  <si>
    <t>KR5192504281</t>
  </si>
  <si>
    <t>2025-04-28</t>
  </si>
  <si>
    <t>KR5192601261</t>
  </si>
  <si>
    <t>2026-01-26</t>
  </si>
  <si>
    <t>KR519250305Y</t>
  </si>
  <si>
    <t>KR5112404302</t>
  </si>
  <si>
    <t>KR5192510202</t>
  </si>
  <si>
    <t>2025-10-20</t>
  </si>
  <si>
    <t>KR5192506241</t>
  </si>
  <si>
    <t>KR511240430F</t>
  </si>
  <si>
    <t>KR5192502106</t>
  </si>
  <si>
    <t>KR5192602261</t>
  </si>
  <si>
    <t>2026-02-26</t>
  </si>
  <si>
    <t>KR5192502101</t>
  </si>
  <si>
    <t>KR5182502062</t>
  </si>
  <si>
    <t>KR519250508J</t>
  </si>
  <si>
    <t>KR519240425G</t>
  </si>
  <si>
    <t>KR5192511172</t>
  </si>
  <si>
    <t>2025-11-17</t>
  </si>
  <si>
    <t>KR5192511171</t>
  </si>
  <si>
    <t>KR5192508271</t>
  </si>
  <si>
    <t>2025-08-27</t>
  </si>
  <si>
    <t>KR5192511173</t>
  </si>
  <si>
    <t>KR5192509192</t>
  </si>
  <si>
    <t>2025-09-19</t>
  </si>
  <si>
    <t>KR519250508E</t>
  </si>
  <si>
    <t>KR5192501201</t>
  </si>
  <si>
    <t>2025-01-20</t>
  </si>
  <si>
    <t>KR5182504151</t>
  </si>
  <si>
    <t>2025-04-15</t>
  </si>
  <si>
    <t>KR5192411211</t>
  </si>
  <si>
    <t>2024-11-21</t>
  </si>
  <si>
    <t>KR5122408079</t>
  </si>
  <si>
    <t>KR5192502102</t>
  </si>
  <si>
    <t>KRZ502540730</t>
  </si>
  <si>
    <t>KR5192509191</t>
  </si>
  <si>
    <t>KR5182506301</t>
  </si>
  <si>
    <t>KR5112509151</t>
  </si>
  <si>
    <t>2025-09-15</t>
  </si>
  <si>
    <t>KR5182405038</t>
  </si>
  <si>
    <t>KR519250306M</t>
  </si>
  <si>
    <t>KR5192505141</t>
  </si>
  <si>
    <t>2025-05-14</t>
  </si>
  <si>
    <t>KR5192503131</t>
  </si>
  <si>
    <t>2025-03-13</t>
  </si>
  <si>
    <t>KR5192404251</t>
  </si>
  <si>
    <t>KR5192503281</t>
  </si>
  <si>
    <t>2025-03-28</t>
  </si>
  <si>
    <t>KR5192412111</t>
  </si>
  <si>
    <t>2024-12-11</t>
  </si>
  <si>
    <t>KR5192509241</t>
  </si>
  <si>
    <t>KR5192405034</t>
  </si>
  <si>
    <t>KR5192503055</t>
  </si>
  <si>
    <t>KR5182502065</t>
  </si>
  <si>
    <t>KR5182405034</t>
  </si>
  <si>
    <t>KR5192405032</t>
  </si>
  <si>
    <t>KR5192510271</t>
  </si>
  <si>
    <t>KR519250306F</t>
  </si>
  <si>
    <t>KR5192503067</t>
  </si>
  <si>
    <t>KR519250508O</t>
  </si>
  <si>
    <t>KR5182504302</t>
  </si>
  <si>
    <t>2025-04-30</t>
  </si>
  <si>
    <t>KR5192502073</t>
  </si>
  <si>
    <t>KR5192601121</t>
  </si>
  <si>
    <t>KR519250306G</t>
  </si>
  <si>
    <t>KR5192503045</t>
  </si>
  <si>
    <t>KR5192406109</t>
  </si>
  <si>
    <t>KR519250306B</t>
  </si>
  <si>
    <t>KR5192601061</t>
  </si>
  <si>
    <t>KR5192503111</t>
  </si>
  <si>
    <t>KR5192506132</t>
  </si>
  <si>
    <t>KR5192404257</t>
  </si>
  <si>
    <t>KR519250307E</t>
  </si>
  <si>
    <t>KR5192406106</t>
  </si>
  <si>
    <t>KR518240503F</t>
  </si>
  <si>
    <t>KR5192503063</t>
  </si>
  <si>
    <t>KR5192407162</t>
  </si>
  <si>
    <t>KR519240425E</t>
  </si>
  <si>
    <t>KR5192503069</t>
  </si>
  <si>
    <t>KR5192502066</t>
  </si>
  <si>
    <t>KR519250306E</t>
  </si>
  <si>
    <t>KR5192406103</t>
  </si>
  <si>
    <t>KR5152405032</t>
  </si>
  <si>
    <t>KR519240425K</t>
  </si>
  <si>
    <t>KR5192406105</t>
  </si>
  <si>
    <t>KR519240430A</t>
  </si>
  <si>
    <t>KR5192409092</t>
  </si>
  <si>
    <t>KR518240503K</t>
  </si>
  <si>
    <t>KR5192503044</t>
  </si>
  <si>
    <t>KR5192505084</t>
  </si>
  <si>
    <t>KR518240503G</t>
  </si>
  <si>
    <t>KR5192406243</t>
  </si>
  <si>
    <t>KR519250508A</t>
  </si>
  <si>
    <t>KR5192502107</t>
  </si>
  <si>
    <t>KR5192511121</t>
  </si>
  <si>
    <t>2025-11-12</t>
  </si>
  <si>
    <t>KR5192503066</t>
  </si>
  <si>
    <t>KR5192404223</t>
  </si>
  <si>
    <t>KR5192404291</t>
  </si>
  <si>
    <t>KR5192404263</t>
  </si>
  <si>
    <t>KR5112404307</t>
  </si>
  <si>
    <t>KR518240503C</t>
  </si>
  <si>
    <t>KR5182502064</t>
  </si>
  <si>
    <t>KR5192506271</t>
  </si>
  <si>
    <t>KR5112405036</t>
  </si>
  <si>
    <t>KR519250305D</t>
  </si>
  <si>
    <t>KR5192511252</t>
  </si>
  <si>
    <t>KR519240425B</t>
  </si>
  <si>
    <t>KR5192511122</t>
  </si>
  <si>
    <t>KR519250305A</t>
  </si>
  <si>
    <t>KR5192502109</t>
  </si>
  <si>
    <t>KR5192411151</t>
  </si>
  <si>
    <t>2024-11-15</t>
  </si>
  <si>
    <t>KR5192411212</t>
  </si>
  <si>
    <t>KR5192503073</t>
  </si>
  <si>
    <t>KR5152406101</t>
  </si>
  <si>
    <t>KR519250304Q</t>
  </si>
  <si>
    <t>KR5192509091</t>
  </si>
  <si>
    <t>KR519250508C</t>
  </si>
  <si>
    <t>KR519250305R</t>
  </si>
  <si>
    <t>KR519250307H</t>
  </si>
  <si>
    <t>KR519250305Q</t>
  </si>
  <si>
    <t>KR5192412112</t>
  </si>
  <si>
    <t>KR5122404261</t>
  </si>
  <si>
    <t>KR519250304O</t>
  </si>
  <si>
    <t>KR519250508D</t>
  </si>
  <si>
    <t>KR5152409112</t>
  </si>
  <si>
    <t>KRZ502600721</t>
  </si>
  <si>
    <t>KR518240503A</t>
  </si>
  <si>
    <t>KR5152405031</t>
  </si>
  <si>
    <t>KR5192502103</t>
  </si>
  <si>
    <t>KR5182405039</t>
  </si>
  <si>
    <t>KR519250508N</t>
  </si>
  <si>
    <t>KR519250304U</t>
  </si>
  <si>
    <t>KR5152409113</t>
  </si>
  <si>
    <t>KRZ502600781</t>
  </si>
  <si>
    <t>KR519250304T</t>
  </si>
  <si>
    <t>KR5182501091</t>
  </si>
  <si>
    <t>2025-01-09</t>
  </si>
  <si>
    <t>KR5152409111</t>
  </si>
  <si>
    <t>KR519240610C</t>
  </si>
  <si>
    <t>KR5152410221</t>
  </si>
  <si>
    <t>2024-10-22</t>
  </si>
  <si>
    <t>KR5192404191</t>
  </si>
  <si>
    <t>KR5192408161</t>
  </si>
  <si>
    <t>2024-08-16</t>
  </si>
  <si>
    <t>KR5192412131</t>
  </si>
  <si>
    <t>2024-12-13</t>
  </si>
  <si>
    <t>KR5182604011</t>
  </si>
  <si>
    <t>KR518240503D</t>
  </si>
  <si>
    <t>KR5192503074</t>
  </si>
  <si>
    <t>KR519250304G</t>
  </si>
  <si>
    <t>KR519250304H</t>
  </si>
  <si>
    <t>KR5192503071</t>
  </si>
  <si>
    <t>KR5192409231</t>
  </si>
  <si>
    <t>2024-09-23</t>
  </si>
  <si>
    <t>KR5152410222</t>
  </si>
  <si>
    <t>KR5192505082</t>
  </si>
  <si>
    <t>KR5152409114</t>
  </si>
  <si>
    <t>KRZ502600791</t>
  </si>
  <si>
    <t>KR5192604011</t>
  </si>
  <si>
    <t>KR5192502071</t>
  </si>
  <si>
    <t>KR5192409091</t>
  </si>
  <si>
    <t>KR519250304J</t>
  </si>
  <si>
    <t>KR5152409115</t>
  </si>
  <si>
    <t>KRZ502600801</t>
  </si>
  <si>
    <t>KR519250508Q</t>
  </si>
  <si>
    <t>KR5192404268</t>
  </si>
  <si>
    <t>KR5182502104</t>
  </si>
  <si>
    <t>KR5152409116</t>
  </si>
  <si>
    <t>KR5152409117</t>
  </si>
  <si>
    <t>KR5152410223</t>
  </si>
  <si>
    <t>KR5182409111</t>
  </si>
  <si>
    <t>KR5192503059</t>
  </si>
  <si>
    <t>KR519240425Y</t>
  </si>
  <si>
    <t>KR5192504293</t>
  </si>
  <si>
    <t>2025-04-29</t>
  </si>
  <si>
    <t>KR5192404261</t>
  </si>
  <si>
    <t>KR5152410224</t>
  </si>
  <si>
    <t>KR519250305K</t>
  </si>
  <si>
    <t>KR5152410225</t>
  </si>
  <si>
    <t>KRZ502600865</t>
  </si>
  <si>
    <t>KR5182404264</t>
  </si>
  <si>
    <t>KR5152410226</t>
  </si>
  <si>
    <t>KRZ502600885</t>
  </si>
  <si>
    <t>KR5112405037</t>
  </si>
  <si>
    <t>KR519240425X</t>
  </si>
  <si>
    <t>KR518240503I</t>
  </si>
  <si>
    <t>KR5112404305</t>
  </si>
  <si>
    <t>KR5112405033</t>
  </si>
  <si>
    <t>KR5112405034</t>
  </si>
  <si>
    <t>KR5112405039</t>
  </si>
  <si>
    <t>KR5192504296</t>
  </si>
  <si>
    <t>KR519250306A</t>
  </si>
  <si>
    <t>KR5182404302</t>
  </si>
  <si>
    <t>KR519240425R</t>
  </si>
  <si>
    <t>KR5112406101</t>
  </si>
  <si>
    <t>KR5112406102</t>
  </si>
  <si>
    <t>KR5192408162</t>
  </si>
  <si>
    <t>KRZ502599050</t>
  </si>
  <si>
    <t>KR519250508M</t>
  </si>
  <si>
    <t>KR5182406101</t>
  </si>
  <si>
    <t>KR5192404255</t>
  </si>
  <si>
    <t>KR5192502108</t>
  </si>
  <si>
    <t>KR5192505142</t>
  </si>
  <si>
    <t>KR519250305S</t>
  </si>
  <si>
    <t>KR519250306H</t>
  </si>
  <si>
    <t>KR5112405038</t>
  </si>
  <si>
    <t>KR511240503A</t>
  </si>
  <si>
    <t>KR5192504292</t>
  </si>
  <si>
    <t>KR5192406244</t>
  </si>
  <si>
    <t>KR5192503041</t>
  </si>
  <si>
    <t>KR511240430D</t>
  </si>
  <si>
    <t>KR5182502063</t>
  </si>
  <si>
    <t>KR5192404305</t>
  </si>
  <si>
    <t>KR5182604013</t>
  </si>
  <si>
    <t>KR5192505083</t>
  </si>
  <si>
    <t>KR511240503C</t>
  </si>
  <si>
    <t>KR511240430E</t>
  </si>
  <si>
    <t>KR5192407163</t>
  </si>
  <si>
    <t>KR519250306J</t>
  </si>
  <si>
    <t>KR5192504294</t>
  </si>
  <si>
    <t>KR519250317H</t>
  </si>
  <si>
    <t>KR5182505081</t>
  </si>
  <si>
    <t>KR5192510201</t>
  </si>
  <si>
    <t>KR5182604014</t>
  </si>
  <si>
    <t>KR519240425C</t>
  </si>
  <si>
    <t>KR519250306K</t>
  </si>
  <si>
    <t>KR519250306N</t>
  </si>
  <si>
    <t>KR5192504295</t>
  </si>
  <si>
    <t>KR5192407164</t>
  </si>
  <si>
    <t>KR519240426F</t>
  </si>
  <si>
    <t>KR5192404309</t>
  </si>
  <si>
    <t>KR5182507091</t>
  </si>
  <si>
    <t>2025-07-09</t>
  </si>
  <si>
    <t>KR519240425Z</t>
  </si>
  <si>
    <t>KR5192506262</t>
  </si>
  <si>
    <t>KR519250305I</t>
  </si>
  <si>
    <t>KR519240430P</t>
  </si>
  <si>
    <t>KR5192502271</t>
  </si>
  <si>
    <t>2025-02-27</t>
  </si>
  <si>
    <t>KR5112404253</t>
  </si>
  <si>
    <t>KR511240430A</t>
  </si>
  <si>
    <t>KR5182405037</t>
  </si>
  <si>
    <t>KR519250306V</t>
  </si>
  <si>
    <t>KR511240430H</t>
  </si>
  <si>
    <t>KR5192503051</t>
  </si>
  <si>
    <t>KR5112404252</t>
  </si>
  <si>
    <t>KR5112404309</t>
  </si>
  <si>
    <t>KR5192505086</t>
  </si>
  <si>
    <t>KR5192506261</t>
  </si>
  <si>
    <t>KR519240425D</t>
  </si>
  <si>
    <t>KR519240425A</t>
  </si>
  <si>
    <t>KR511240503B</t>
  </si>
  <si>
    <t>KR5112404264</t>
  </si>
  <si>
    <t>KR511240430C</t>
  </si>
  <si>
    <t>KR5192503172</t>
  </si>
  <si>
    <t>KR5112405031</t>
  </si>
  <si>
    <t>KR5192505087</t>
  </si>
  <si>
    <t>KR519250304N</t>
  </si>
  <si>
    <t>KR5112404256</t>
  </si>
  <si>
    <t>KR5112404308</t>
  </si>
  <si>
    <t>KR5192505085</t>
  </si>
  <si>
    <t>KR519250306X</t>
  </si>
  <si>
    <t>KR519240425J</t>
  </si>
  <si>
    <t>KR5112509111</t>
  </si>
  <si>
    <t>KR5192503048</t>
  </si>
  <si>
    <t>KR5192404302</t>
  </si>
  <si>
    <t>KR519250306S</t>
  </si>
  <si>
    <t>KR519250306Q</t>
  </si>
  <si>
    <t>KR5192503174</t>
  </si>
  <si>
    <t>KR5192512151</t>
  </si>
  <si>
    <t>KR5182505082</t>
  </si>
  <si>
    <t>KR511240503D</t>
  </si>
  <si>
    <t>KR519250306Z</t>
  </si>
  <si>
    <t>KR5182404303</t>
  </si>
  <si>
    <t>KR5112405032</t>
  </si>
  <si>
    <t>KR5112404255</t>
  </si>
  <si>
    <t>KR519240430G</t>
  </si>
  <si>
    <t>KR5182404301</t>
  </si>
  <si>
    <t>KR5182404304</t>
  </si>
  <si>
    <t>KR519250306P</t>
  </si>
  <si>
    <t>KR519250305L</t>
  </si>
  <si>
    <t>B</t>
    <phoneticPr fontId="10" type="noConversion"/>
  </si>
  <si>
    <t>S</t>
    <phoneticPr fontId="10" type="noConversion"/>
  </si>
  <si>
    <t>스왑포인트</t>
    <phoneticPr fontId="10" type="noConversion"/>
  </si>
  <si>
    <t>기준가 700미만 주의</t>
    <phoneticPr fontId="10" type="noConversion"/>
  </si>
  <si>
    <t>기준가 250미만 조기청산</t>
    <phoneticPr fontId="10" type="noConversion"/>
  </si>
  <si>
    <t>기준가 500미만 롤오버 X</t>
    <phoneticPr fontId="10" type="noConversion"/>
  </si>
  <si>
    <t>차액</t>
    <phoneticPr fontId="10" type="noConversion"/>
  </si>
  <si>
    <t>딜리</t>
    <phoneticPr fontId="10" type="noConversion"/>
  </si>
  <si>
    <t>스왑포인트</t>
    <phoneticPr fontId="10" type="noConversion"/>
  </si>
  <si>
    <t>JPY</t>
    <phoneticPr fontId="10" type="noConversion"/>
  </si>
  <si>
    <t>9.XXX</t>
    <phoneticPr fontId="10" type="noConversion"/>
  </si>
  <si>
    <t>로이터</t>
    <phoneticPr fontId="10" type="noConversion"/>
  </si>
  <si>
    <t>딜티켓</t>
    <phoneticPr fontId="10" type="noConversion"/>
  </si>
  <si>
    <t>투입</t>
    <phoneticPr fontId="10" type="noConversion"/>
  </si>
  <si>
    <t>CITI</t>
    <phoneticPr fontId="10" type="noConversion"/>
  </si>
  <si>
    <t>FX 123456</t>
    <phoneticPr fontId="10" type="noConversion"/>
  </si>
  <si>
    <t>딜티켓_1</t>
  </si>
  <si>
    <t>딜티켓_2</t>
  </si>
  <si>
    <t>딜티켓(언와인딩)</t>
  </si>
  <si>
    <t>키움투자자산운용㈜</t>
    <phoneticPr fontId="10" type="noConversion"/>
  </si>
  <si>
    <t>FX SPOT</t>
    <phoneticPr fontId="10" type="noConversion"/>
  </si>
  <si>
    <t>USD</t>
    <phoneticPr fontId="10" type="noConversion"/>
  </si>
  <si>
    <t>기타통화</t>
    <phoneticPr fontId="10" type="noConversion"/>
  </si>
  <si>
    <t>AUD</t>
    <phoneticPr fontId="10" type="noConversion"/>
  </si>
  <si>
    <t>USD</t>
    <phoneticPr fontId="10" type="noConversion"/>
  </si>
  <si>
    <t>KRW</t>
    <phoneticPr fontId="10" type="noConversion"/>
  </si>
  <si>
    <t>5S05</t>
    <phoneticPr fontId="10" type="noConversion"/>
  </si>
  <si>
    <t>가격반대로주기</t>
    <phoneticPr fontId="10" type="noConversion"/>
  </si>
  <si>
    <t>USD</t>
    <phoneticPr fontId="10" type="noConversion"/>
  </si>
  <si>
    <t>19S5</t>
    <phoneticPr fontId="10" type="noConversion"/>
  </si>
  <si>
    <t>KB 자산운용</t>
    <phoneticPr fontId="10" type="noConversion"/>
  </si>
  <si>
    <t>한국씨티은행</t>
    <phoneticPr fontId="10" type="noConversion"/>
  </si>
  <si>
    <t>USD/KRW</t>
    <phoneticPr fontId="10" type="noConversion"/>
  </si>
  <si>
    <t>KRW</t>
    <phoneticPr fontId="10" type="noConversion"/>
  </si>
  <si>
    <t>아이엠뱅크</t>
    <phoneticPr fontId="10" type="noConversion"/>
  </si>
  <si>
    <t>Q130</t>
    <phoneticPr fontId="10" type="noConversion"/>
  </si>
  <si>
    <t>Q133</t>
    <phoneticPr fontId="10" type="noConversion"/>
  </si>
  <si>
    <t>Q126</t>
    <phoneticPr fontId="10" type="noConversion"/>
  </si>
  <si>
    <t>한화 NEXUS 생성 전 동일 입력</t>
    <phoneticPr fontId="10" type="noConversion"/>
  </si>
  <si>
    <t>DATE:</t>
    <phoneticPr fontId="10" type="noConversion"/>
  </si>
  <si>
    <t>BE02</t>
    <phoneticPr fontId="10" type="noConversion"/>
  </si>
  <si>
    <t>BE03</t>
    <phoneticPr fontId="10" type="noConversion"/>
  </si>
  <si>
    <t>하나</t>
    <phoneticPr fontId="10" type="noConversion"/>
  </si>
  <si>
    <t>키움</t>
    <phoneticPr fontId="10" type="noConversion"/>
  </si>
  <si>
    <t>KB</t>
    <phoneticPr fontId="10" type="noConversion"/>
  </si>
  <si>
    <t>B</t>
    <phoneticPr fontId="10" type="noConversion"/>
  </si>
  <si>
    <t>FXC</t>
    <phoneticPr fontId="10" type="noConversion"/>
  </si>
  <si>
    <t>IBK</t>
    <phoneticPr fontId="10" type="noConversion"/>
  </si>
  <si>
    <t>현기숙</t>
    <phoneticPr fontId="10" type="noConversion"/>
  </si>
  <si>
    <t>정승호</t>
    <phoneticPr fontId="10" type="noConversion"/>
  </si>
  <si>
    <t>B</t>
    <phoneticPr fontId="10" type="noConversion"/>
  </si>
  <si>
    <t>B</t>
    <phoneticPr fontId="10" type="noConversion"/>
  </si>
  <si>
    <t>다올</t>
    <phoneticPr fontId="10" type="noConversion"/>
  </si>
  <si>
    <t>한투</t>
    <phoneticPr fontId="10" type="noConversion"/>
  </si>
  <si>
    <t>김민희</t>
    <phoneticPr fontId="10" type="noConversion"/>
  </si>
</sst>
</file>

<file path=xl/styles.xml><?xml version="1.0" encoding="utf-8"?>
<styleSheet xmlns="http://schemas.openxmlformats.org/spreadsheetml/2006/main">
  <numFmts count="20">
    <numFmt numFmtId="41" formatCode="_-* #,##0_-;\-* #,##0_-;_-* &quot;-&quot;_-;_-@_-"/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.00_ "/>
    <numFmt numFmtId="182" formatCode="0.00##"/>
    <numFmt numFmtId="183" formatCode="yyyy\/m\/d;@"/>
    <numFmt numFmtId="184" formatCode="_-* #,##0_-;\-* #,##0_-;_-* \-_-;_-@_-"/>
    <numFmt numFmtId="185" formatCode="0.0000_ "/>
    <numFmt numFmtId="186" formatCode="_-* #,##0.0_-;\-* #,##0.0_-;_-* \-?_-;_-@_-"/>
    <numFmt numFmtId="187" formatCode="0.00000_ "/>
    <numFmt numFmtId="188" formatCode="yyyy\-mm\-dd"/>
    <numFmt numFmtId="189" formatCode="yyyy\-m\-d;@"/>
    <numFmt numFmtId="190" formatCode="[$-409]d\-mmm\-yy;@"/>
    <numFmt numFmtId="191" formatCode="0_);[Red]\(0\)"/>
    <numFmt numFmtId="192" formatCode="#,##0.00000"/>
    <numFmt numFmtId="193" formatCode="yyyy\-mm\-dd\ h:mm:ss"/>
    <numFmt numFmtId="194" formatCode="yyyy/m/d;@"/>
  </numFmts>
  <fonts count="72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1"/>
      <color theme="1"/>
      <name val="DejaVu Sans"/>
      <family val="2"/>
      <charset val="1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b/>
      <sz val="10"/>
      <name val="Noto Sans CJK SC"/>
      <family val="2"/>
      <charset val="1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6"/>
      <name val="Noto Sans CJK SC"/>
      <family val="2"/>
      <charset val="1"/>
    </font>
    <font>
      <sz val="9"/>
      <color rgb="FFFF0000"/>
      <name val="돋움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8000"/>
      <name val="돋움"/>
      <family val="3"/>
      <charset val="129"/>
    </font>
    <font>
      <b/>
      <sz val="9"/>
      <color rgb="FF333333"/>
      <name val="돋움"/>
      <family val="3"/>
      <charset val="129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00FF"/>
      <name val="Arial"/>
      <family val="2"/>
      <charset val="1"/>
    </font>
    <font>
      <sz val="10"/>
      <color rgb="FF333333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  <charset val="1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4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Noto Sans CJK SC"/>
      <family val="2"/>
      <charset val="1"/>
    </font>
    <font>
      <b/>
      <sz val="9"/>
      <color rgb="FF000000"/>
      <name val="Noto Sans CJK SC"/>
      <family val="2"/>
      <charset val="1"/>
    </font>
    <font>
      <b/>
      <sz val="10"/>
      <color rgb="FF000000"/>
      <name val="Noto Sans CJK SC"/>
      <family val="2"/>
      <charset val="1"/>
    </font>
    <font>
      <sz val="9"/>
      <color rgb="FF0000FF"/>
      <name val="Noto Sans CJK SC"/>
      <family val="2"/>
      <charset val="1"/>
    </font>
    <font>
      <sz val="14"/>
      <color theme="1"/>
      <name val="DejaVu Sans"/>
      <family val="2"/>
      <charset val="1"/>
    </font>
    <font>
      <sz val="14"/>
      <color theme="1"/>
      <name val="Noto Sans CJK SC"/>
      <family val="2"/>
      <charset val="1"/>
    </font>
    <font>
      <b/>
      <sz val="9"/>
      <color rgb="FF1F4E9C"/>
      <name val="맑은 고딕"/>
      <family val="3"/>
      <charset val="129"/>
    </font>
    <font>
      <b/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sz val="13"/>
      <name val="Noto Sans CJK SC"/>
      <family val="2"/>
      <charset val="1"/>
    </font>
    <font>
      <sz val="12"/>
      <name val="돋움"/>
      <family val="3"/>
      <charset val="129"/>
    </font>
    <font>
      <sz val="10"/>
      <name val="Arial Narrow"/>
      <family val="2"/>
      <charset val="1"/>
    </font>
    <font>
      <sz val="15"/>
      <name val="Arial Narrow"/>
      <family val="2"/>
      <charset val="1"/>
    </font>
    <font>
      <sz val="15"/>
      <name val="Noto Sans CJK SC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b/>
      <sz val="10"/>
      <color rgb="FFCC0000"/>
      <name val="맑은 고딕"/>
      <family val="3"/>
      <charset val="129"/>
    </font>
    <font>
      <sz val="9"/>
      <color rgb="FFCC0000"/>
      <name val="Noto Sans CJK SC"/>
      <family val="2"/>
      <charset val="1"/>
    </font>
    <font>
      <sz val="9"/>
      <color rgb="FFCC0000"/>
      <name val="맑은 고딕"/>
      <family val="3"/>
      <charset val="129"/>
    </font>
    <font>
      <sz val="11"/>
      <name val="돋움"/>
      <family val="3"/>
      <charset val="129"/>
    </font>
    <font>
      <b/>
      <sz val="10"/>
      <name val="돋움"/>
      <family val="3"/>
      <charset val="129"/>
    </font>
    <font>
      <sz val="9"/>
      <color rgb="FF000000"/>
      <name val="돋움"/>
      <family val="3"/>
      <charset val="129"/>
    </font>
    <font>
      <b/>
      <sz val="10"/>
      <color rgb="FF1F4E79"/>
      <name val="돋움"/>
      <family val="3"/>
      <charset val="129"/>
    </font>
    <font>
      <sz val="9"/>
      <color rgb="FF0000FF"/>
      <name val="돋움"/>
      <family val="3"/>
      <charset val="129"/>
    </font>
    <font>
      <sz val="10"/>
      <color rgb="FF1F4E79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EAEAEA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7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FFF7CC"/>
      </patternFill>
    </fill>
    <fill>
      <patternFill patternType="solid">
        <fgColor rgb="FFEAF6F6"/>
        <bgColor rgb="FFE9F6F1"/>
      </patternFill>
    </fill>
    <fill>
      <patternFill patternType="solid">
        <fgColor rgb="FFE9F6F1"/>
        <bgColor rgb="FFEAF6F6"/>
      </patternFill>
    </fill>
    <fill>
      <patternFill patternType="solid">
        <fgColor rgb="FFFFF7CC"/>
        <bgColor rgb="FFFFF2CC"/>
      </patternFill>
    </fill>
    <fill>
      <patternFill patternType="solid">
        <fgColor rgb="FFFFCC99"/>
        <bgColor rgb="FFFFC7CE"/>
      </patternFill>
    </fill>
    <fill>
      <patternFill patternType="solid">
        <fgColor rgb="FFFFFF00"/>
        <bgColor rgb="FFFFC000"/>
      </patternFill>
    </fill>
    <fill>
      <patternFill patternType="solid">
        <fgColor theme="0"/>
        <bgColor rgb="FFFFF7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rgb="FF2E9E85"/>
      </top>
      <bottom style="medium">
        <color rgb="FF2E9E85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3" fillId="0" borderId="0"/>
    <xf numFmtId="41" fontId="66" fillId="0" borderId="0" applyFont="0" applyFill="0" applyBorder="0" applyAlignment="0" applyProtection="0">
      <alignment vertical="center"/>
    </xf>
  </cellStyleXfs>
  <cellXfs count="276">
    <xf numFmtId="0" fontId="0" fillId="0" borderId="0" xfId="0"/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176" fontId="4" fillId="0" borderId="1" xfId="0" applyNumberFormat="1" applyFont="1" applyBorder="1" applyAlignment="1" applyProtection="1">
      <alignment vertical="center"/>
    </xf>
    <xf numFmtId="4" fontId="4" fillId="0" borderId="1" xfId="0" applyNumberFormat="1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177" fontId="4" fillId="0" borderId="1" xfId="0" applyNumberFormat="1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left" vertical="center"/>
    </xf>
    <xf numFmtId="0" fontId="9" fillId="0" borderId="5" xfId="0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176" fontId="4" fillId="0" borderId="0" xfId="0" applyNumberFormat="1" applyFont="1" applyAlignment="1" applyProtection="1">
      <alignment vertical="center"/>
    </xf>
    <xf numFmtId="4" fontId="4" fillId="0" borderId="0" xfId="0" applyNumberFormat="1" applyFont="1" applyAlignment="1" applyProtection="1">
      <alignment vertical="center"/>
    </xf>
    <xf numFmtId="178" fontId="4" fillId="0" borderId="2" xfId="0" applyNumberFormat="1" applyFont="1" applyBorder="1" applyAlignment="1" applyProtection="1">
      <alignment horizontal="left" vertical="center"/>
    </xf>
    <xf numFmtId="176" fontId="4" fillId="0" borderId="7" xfId="0" applyNumberFormat="1" applyFont="1" applyBorder="1" applyAlignment="1" applyProtection="1">
      <alignment horizontal="left" vertical="center"/>
    </xf>
    <xf numFmtId="179" fontId="4" fillId="3" borderId="1" xfId="0" applyNumberFormat="1" applyFont="1" applyFill="1" applyBorder="1" applyAlignment="1" applyProtection="1">
      <alignment vertical="center"/>
    </xf>
    <xf numFmtId="176" fontId="4" fillId="3" borderId="1" xfId="0" applyNumberFormat="1" applyFont="1" applyFill="1" applyBorder="1" applyAlignment="1" applyProtection="1">
      <alignment vertical="center"/>
    </xf>
    <xf numFmtId="4" fontId="4" fillId="3" borderId="1" xfId="0" applyNumberFormat="1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 wrapText="1"/>
    </xf>
    <xf numFmtId="180" fontId="10" fillId="0" borderId="8" xfId="0" applyNumberFormat="1" applyFont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4" fillId="3" borderId="0" xfId="0" applyFont="1" applyFill="1" applyAlignment="1" applyProtection="1">
      <alignment horizontal="center" vertical="center"/>
    </xf>
    <xf numFmtId="2" fontId="4" fillId="3" borderId="3" xfId="0" applyNumberFormat="1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181" fontId="0" fillId="0" borderId="3" xfId="0" applyNumberFormat="1" applyFont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horizontal="center" vertical="center"/>
    </xf>
    <xf numFmtId="0" fontId="12" fillId="3" borderId="3" xfId="0" applyFont="1" applyFill="1" applyBorder="1" applyAlignment="1" applyProtection="1">
      <alignment horizontal="center" vertical="center"/>
    </xf>
    <xf numFmtId="182" fontId="13" fillId="3" borderId="4" xfId="0" applyNumberFormat="1" applyFont="1" applyFill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vertical="center"/>
    </xf>
    <xf numFmtId="2" fontId="14" fillId="4" borderId="3" xfId="0" applyNumberFormat="1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/>
    </xf>
    <xf numFmtId="183" fontId="14" fillId="3" borderId="5" xfId="0" applyNumberFormat="1" applyFont="1" applyFill="1" applyBorder="1" applyAlignment="1" applyProtection="1">
      <alignment horizontal="center" vertical="center"/>
    </xf>
    <xf numFmtId="178" fontId="15" fillId="0" borderId="5" xfId="0" applyNumberFormat="1" applyFont="1" applyBorder="1" applyAlignment="1" applyProtection="1">
      <alignment vertical="center"/>
    </xf>
    <xf numFmtId="49" fontId="16" fillId="0" borderId="0" xfId="0" applyNumberFormat="1" applyFont="1" applyAlignment="1" applyProtection="1">
      <alignment horizontal="center"/>
    </xf>
    <xf numFmtId="4" fontId="17" fillId="0" borderId="10" xfId="0" applyNumberFormat="1" applyFont="1" applyBorder="1" applyAlignment="1" applyProtection="1">
      <alignment horizontal="center"/>
    </xf>
    <xf numFmtId="0" fontId="15" fillId="0" borderId="5" xfId="0" applyFont="1" applyBorder="1" applyAlignment="1" applyProtection="1">
      <alignment vertical="center"/>
    </xf>
    <xf numFmtId="4" fontId="17" fillId="0" borderId="11" xfId="0" applyNumberFormat="1" applyFont="1" applyBorder="1" applyAlignment="1" applyProtection="1">
      <alignment horizontal="center"/>
    </xf>
    <xf numFmtId="176" fontId="4" fillId="0" borderId="12" xfId="0" applyNumberFormat="1" applyFont="1" applyBorder="1" applyAlignment="1" applyProtection="1">
      <alignment vertical="center"/>
    </xf>
    <xf numFmtId="176" fontId="4" fillId="3" borderId="13" xfId="0" applyNumberFormat="1" applyFont="1" applyFill="1" applyBorder="1" applyAlignment="1" applyProtection="1">
      <alignment vertical="center"/>
    </xf>
    <xf numFmtId="4" fontId="17" fillId="3" borderId="1" xfId="0" applyNumberFormat="1" applyFont="1" applyFill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176" fontId="4" fillId="0" borderId="14" xfId="0" applyNumberFormat="1" applyFont="1" applyBorder="1" applyAlignment="1" applyProtection="1">
      <alignment vertical="center"/>
    </xf>
    <xf numFmtId="4" fontId="4" fillId="0" borderId="14" xfId="0" applyNumberFormat="1" applyFont="1" applyBorder="1" applyAlignment="1" applyProtection="1">
      <alignment vertical="center"/>
    </xf>
    <xf numFmtId="176" fontId="4" fillId="0" borderId="11" xfId="0" applyNumberFormat="1" applyFont="1" applyBorder="1" applyAlignment="1" applyProtection="1">
      <alignment vertical="center"/>
    </xf>
    <xf numFmtId="4" fontId="4" fillId="0" borderId="11" xfId="0" applyNumberFormat="1" applyFont="1" applyBorder="1" applyAlignment="1" applyProtection="1">
      <alignment vertical="center"/>
    </xf>
    <xf numFmtId="0" fontId="4" fillId="3" borderId="2" xfId="0" applyFont="1" applyFill="1" applyBorder="1" applyAlignment="1" applyProtection="1">
      <alignment vertical="center"/>
    </xf>
    <xf numFmtId="182" fontId="4" fillId="0" borderId="3" xfId="0" applyNumberFormat="1" applyFont="1" applyBorder="1" applyAlignment="1" applyProtection="1">
      <alignment horizontal="center" vertical="center"/>
    </xf>
    <xf numFmtId="0" fontId="18" fillId="0" borderId="5" xfId="0" applyFont="1" applyBorder="1" applyAlignment="1" applyProtection="1">
      <alignment vertical="center"/>
    </xf>
    <xf numFmtId="0" fontId="19" fillId="3" borderId="1" xfId="0" applyFont="1" applyFill="1" applyBorder="1" applyAlignment="1" applyProtection="1">
      <alignment vertical="center"/>
    </xf>
    <xf numFmtId="177" fontId="12" fillId="0" borderId="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0" fontId="4" fillId="5" borderId="15" xfId="0" applyFont="1" applyFill="1" applyBorder="1" applyAlignment="1" applyProtection="1">
      <alignment horizontal="left" vertical="center"/>
    </xf>
    <xf numFmtId="177" fontId="12" fillId="0" borderId="15" xfId="0" applyNumberFormat="1" applyFont="1" applyBorder="1" applyAlignment="1" applyProtection="1">
      <alignment horizontal="center" vertical="center"/>
    </xf>
    <xf numFmtId="184" fontId="21" fillId="0" borderId="15" xfId="0" applyNumberFormat="1" applyFont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vertical="center"/>
    </xf>
    <xf numFmtId="185" fontId="21" fillId="0" borderId="15" xfId="0" applyNumberFormat="1" applyFont="1" applyBorder="1" applyAlignment="1" applyProtection="1">
      <alignment horizontal="center" vertical="center"/>
    </xf>
    <xf numFmtId="180" fontId="22" fillId="0" borderId="15" xfId="0" applyNumberFormat="1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left" vertical="center"/>
    </xf>
    <xf numFmtId="181" fontId="23" fillId="3" borderId="3" xfId="0" applyNumberFormat="1" applyFont="1" applyFill="1" applyBorder="1" applyAlignment="1" applyProtection="1">
      <alignment horizontal="right" vertical="center" wrapText="1"/>
    </xf>
    <xf numFmtId="186" fontId="21" fillId="0" borderId="15" xfId="0" applyNumberFormat="1" applyFont="1" applyBorder="1" applyAlignment="1" applyProtection="1">
      <alignment horizontal="center" vertical="center"/>
    </xf>
    <xf numFmtId="180" fontId="21" fillId="0" borderId="15" xfId="0" applyNumberFormat="1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vertical="top"/>
    </xf>
    <xf numFmtId="0" fontId="4" fillId="0" borderId="16" xfId="0" applyFont="1" applyBorder="1" applyAlignment="1" applyProtection="1">
      <alignment horizontal="center" vertical="top"/>
    </xf>
    <xf numFmtId="180" fontId="4" fillId="0" borderId="16" xfId="0" applyNumberFormat="1" applyFont="1" applyBorder="1" applyAlignment="1" applyProtection="1">
      <alignment horizontal="center" vertical="top"/>
    </xf>
    <xf numFmtId="185" fontId="4" fillId="0" borderId="16" xfId="0" applyNumberFormat="1" applyFont="1" applyBorder="1" applyAlignment="1" applyProtection="1">
      <alignment horizontal="center" vertical="top"/>
    </xf>
    <xf numFmtId="187" fontId="7" fillId="0" borderId="16" xfId="0" applyNumberFormat="1" applyFont="1" applyBorder="1" applyAlignment="1" applyProtection="1">
      <alignment horizontal="center" vertical="top"/>
    </xf>
    <xf numFmtId="0" fontId="4" fillId="0" borderId="0" xfId="0" applyFont="1" applyAlignment="1" applyProtection="1">
      <alignment vertical="top"/>
    </xf>
    <xf numFmtId="0" fontId="4" fillId="0" borderId="0" xfId="0" applyFont="1" applyAlignment="1" applyProtection="1">
      <alignment horizontal="center" vertical="top"/>
    </xf>
    <xf numFmtId="180" fontId="4" fillId="0" borderId="0" xfId="0" applyNumberFormat="1" applyFont="1" applyAlignment="1" applyProtection="1">
      <alignment horizontal="center" vertical="top"/>
    </xf>
    <xf numFmtId="185" fontId="4" fillId="0" borderId="0" xfId="0" applyNumberFormat="1" applyFont="1" applyAlignment="1" applyProtection="1">
      <alignment horizontal="center" vertical="top"/>
    </xf>
    <xf numFmtId="187" fontId="7" fillId="0" borderId="0" xfId="0" applyNumberFormat="1" applyFont="1" applyAlignment="1" applyProtection="1">
      <alignment horizontal="center" vertical="top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4" fillId="0" borderId="20" xfId="0" applyFont="1" applyBorder="1" applyAlignment="1" applyProtection="1">
      <alignment vertical="center"/>
    </xf>
    <xf numFmtId="178" fontId="4" fillId="0" borderId="0" xfId="0" applyNumberFormat="1" applyFont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78" fontId="4" fillId="0" borderId="23" xfId="0" applyNumberFormat="1" applyFont="1" applyBorder="1" applyAlignment="1" applyProtection="1">
      <alignment vertical="center"/>
    </xf>
    <xf numFmtId="0" fontId="4" fillId="0" borderId="24" xfId="0" applyFont="1" applyBorder="1" applyAlignment="1" applyProtection="1">
      <alignment vertical="center"/>
    </xf>
    <xf numFmtId="49" fontId="4" fillId="0" borderId="0" xfId="0" applyNumberFormat="1" applyFont="1" applyAlignment="1" applyProtection="1">
      <alignment vertical="center"/>
    </xf>
    <xf numFmtId="0" fontId="24" fillId="0" borderId="9" xfId="0" applyFont="1" applyBorder="1" applyAlignment="1" applyProtection="1">
      <alignment vertical="center"/>
    </xf>
    <xf numFmtId="0" fontId="24" fillId="0" borderId="10" xfId="0" applyFont="1" applyBorder="1" applyAlignment="1" applyProtection="1">
      <alignment vertical="center"/>
    </xf>
    <xf numFmtId="0" fontId="24" fillId="0" borderId="11" xfId="0" applyFont="1" applyBorder="1" applyAlignment="1" applyProtection="1">
      <alignment vertical="center"/>
    </xf>
    <xf numFmtId="0" fontId="25" fillId="3" borderId="1" xfId="0" applyFont="1" applyFill="1" applyBorder="1" applyAlignment="1" applyProtection="1">
      <alignment horizontal="left" vertical="top" wrapText="1" indent="1"/>
    </xf>
    <xf numFmtId="0" fontId="0" fillId="0" borderId="0" xfId="0" applyFont="1" applyAlignment="1" applyProtection="1"/>
    <xf numFmtId="0" fontId="26" fillId="0" borderId="0" xfId="0" applyFont="1" applyAlignment="1" applyProtection="1"/>
    <xf numFmtId="0" fontId="28" fillId="6" borderId="0" xfId="0" applyFont="1" applyFill="1" applyAlignment="1" applyProtection="1"/>
    <xf numFmtId="0" fontId="16" fillId="6" borderId="0" xfId="0" applyFont="1" applyFill="1" applyAlignment="1" applyProtection="1"/>
    <xf numFmtId="0" fontId="0" fillId="6" borderId="0" xfId="0" applyFont="1" applyFill="1" applyAlignment="1" applyProtection="1"/>
    <xf numFmtId="0" fontId="8" fillId="6" borderId="0" xfId="0" applyFont="1" applyFill="1" applyAlignment="1" applyProtection="1"/>
    <xf numFmtId="0" fontId="29" fillId="7" borderId="0" xfId="0" applyFont="1" applyFill="1" applyAlignment="1" applyProtection="1"/>
    <xf numFmtId="0" fontId="30" fillId="7" borderId="0" xfId="0" applyFont="1" applyFill="1" applyAlignment="1" applyProtection="1"/>
    <xf numFmtId="0" fontId="8" fillId="8" borderId="3" xfId="0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" fontId="16" fillId="0" borderId="0" xfId="0" applyNumberFormat="1" applyFont="1" applyAlignment="1" applyProtection="1">
      <alignment horizontal="right" vertical="center"/>
    </xf>
    <xf numFmtId="188" fontId="16" fillId="0" borderId="0" xfId="0" applyNumberFormat="1" applyFont="1" applyAlignment="1" applyProtection="1">
      <alignment horizontal="center" vertical="center"/>
    </xf>
    <xf numFmtId="0" fontId="30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/>
    <xf numFmtId="0" fontId="16" fillId="0" borderId="0" xfId="0" applyFont="1" applyAlignment="1" applyProtection="1"/>
    <xf numFmtId="0" fontId="0" fillId="0" borderId="16" xfId="0" applyFont="1" applyBorder="1" applyAlignment="1" applyProtection="1"/>
    <xf numFmtId="0" fontId="31" fillId="0" borderId="0" xfId="0" applyFont="1" applyAlignment="1" applyProtection="1"/>
    <xf numFmtId="0" fontId="8" fillId="0" borderId="0" xfId="0" applyFont="1" applyAlignment="1" applyProtection="1"/>
    <xf numFmtId="0" fontId="33" fillId="0" borderId="0" xfId="0" applyFont="1" applyAlignment="1" applyProtection="1"/>
    <xf numFmtId="0" fontId="3" fillId="0" borderId="0" xfId="6" applyFont="1" applyAlignment="1" applyProtection="1"/>
    <xf numFmtId="0" fontId="35" fillId="0" borderId="0" xfId="6" applyFont="1" applyAlignment="1" applyProtection="1">
      <alignment horizontal="left" vertical="center"/>
    </xf>
    <xf numFmtId="188" fontId="38" fillId="0" borderId="0" xfId="6" applyNumberFormat="1" applyFont="1" applyAlignment="1" applyProtection="1">
      <alignment horizontal="left" vertical="center"/>
    </xf>
    <xf numFmtId="0" fontId="3" fillId="6" borderId="0" xfId="6" applyFont="1" applyFill="1" applyAlignment="1" applyProtection="1"/>
    <xf numFmtId="0" fontId="39" fillId="6" borderId="0" xfId="6" applyFont="1" applyFill="1" applyAlignment="1" applyProtection="1">
      <alignment horizontal="left" vertical="center"/>
    </xf>
    <xf numFmtId="0" fontId="41" fillId="6" borderId="0" xfId="6" applyFont="1" applyFill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7" fillId="0" borderId="3" xfId="6" applyFont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188" fontId="37" fillId="0" borderId="3" xfId="6" applyNumberFormat="1" applyFont="1" applyBorder="1" applyAlignment="1" applyProtection="1">
      <alignment horizontal="center" vertical="center" wrapText="1"/>
    </xf>
    <xf numFmtId="0" fontId="42" fillId="0" borderId="0" xfId="6" applyFont="1" applyAlignment="1" applyProtection="1"/>
    <xf numFmtId="188" fontId="38" fillId="10" borderId="3" xfId="6" applyNumberFormat="1" applyFont="1" applyFill="1" applyBorder="1" applyAlignment="1" applyProtection="1">
      <alignment horizontal="center" vertical="center" wrapText="1"/>
    </xf>
    <xf numFmtId="0" fontId="44" fillId="0" borderId="0" xfId="6" applyFont="1" applyAlignment="1" applyProtection="1"/>
    <xf numFmtId="0" fontId="40" fillId="0" borderId="0" xfId="6" applyFont="1" applyAlignment="1" applyProtection="1"/>
    <xf numFmtId="0" fontId="37" fillId="0" borderId="0" xfId="6" applyFont="1" applyAlignment="1" applyProtection="1"/>
    <xf numFmtId="0" fontId="3" fillId="0" borderId="2" xfId="6" applyFont="1" applyBorder="1" applyAlignment="1" applyProtection="1"/>
    <xf numFmtId="0" fontId="48" fillId="0" borderId="0" xfId="0" applyFont="1" applyAlignment="1" applyProtection="1">
      <alignment vertical="center"/>
    </xf>
    <xf numFmtId="0" fontId="50" fillId="0" borderId="0" xfId="0" applyFont="1" applyAlignment="1" applyProtection="1">
      <alignment vertical="center"/>
    </xf>
    <xf numFmtId="0" fontId="48" fillId="0" borderId="0" xfId="0" applyFont="1" applyAlignment="1" applyProtection="1">
      <alignment horizontal="center" vertical="center"/>
    </xf>
    <xf numFmtId="0" fontId="51" fillId="0" borderId="26" xfId="0" applyFont="1" applyBorder="1" applyAlignment="1" applyProtection="1">
      <alignment horizontal="left" vertical="center"/>
    </xf>
    <xf numFmtId="0" fontId="51" fillId="0" borderId="16" xfId="0" applyFont="1" applyBorder="1" applyAlignment="1" applyProtection="1">
      <alignment vertical="center"/>
    </xf>
    <xf numFmtId="0" fontId="48" fillId="0" borderId="16" xfId="0" applyFont="1" applyBorder="1" applyAlignment="1" applyProtection="1">
      <alignment vertical="center"/>
    </xf>
    <xf numFmtId="0" fontId="48" fillId="0" borderId="27" xfId="0" applyFont="1" applyBorder="1" applyAlignment="1" applyProtection="1">
      <alignment vertical="center"/>
    </xf>
    <xf numFmtId="0" fontId="51" fillId="0" borderId="28" xfId="0" applyFont="1" applyBorder="1" applyAlignment="1" applyProtection="1">
      <alignment horizontal="left" vertical="center"/>
    </xf>
    <xf numFmtId="0" fontId="51" fillId="0" borderId="0" xfId="0" applyFont="1" applyAlignment="1" applyProtection="1">
      <alignment vertical="center"/>
    </xf>
    <xf numFmtId="0" fontId="48" fillId="0" borderId="29" xfId="0" applyFont="1" applyBorder="1" applyAlignment="1" applyProtection="1">
      <alignment vertical="center"/>
    </xf>
    <xf numFmtId="0" fontId="51" fillId="0" borderId="6" xfId="0" applyFont="1" applyBorder="1" applyAlignment="1" applyProtection="1">
      <alignment horizontal="left" vertical="center"/>
    </xf>
    <xf numFmtId="0" fontId="52" fillId="0" borderId="2" xfId="0" applyFont="1" applyBorder="1" applyAlignment="1" applyProtection="1">
      <alignment vertical="center"/>
    </xf>
    <xf numFmtId="0" fontId="51" fillId="0" borderId="2" xfId="0" applyFont="1" applyBorder="1" applyAlignment="1" applyProtection="1">
      <alignment vertical="center"/>
    </xf>
    <xf numFmtId="0" fontId="48" fillId="0" borderId="2" xfId="0" applyFont="1" applyBorder="1" applyAlignment="1" applyProtection="1">
      <alignment vertical="center"/>
    </xf>
    <xf numFmtId="0" fontId="48" fillId="0" borderId="7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horizontal="right" vertical="center"/>
    </xf>
    <xf numFmtId="0" fontId="53" fillId="0" borderId="1" xfId="0" applyFont="1" applyBorder="1" applyAlignment="1" applyProtection="1">
      <alignment horizontal="center" vertical="center"/>
    </xf>
    <xf numFmtId="0" fontId="53" fillId="0" borderId="13" xfId="0" applyFont="1" applyBorder="1" applyAlignment="1" applyProtection="1">
      <alignment horizontal="center" vertical="center"/>
    </xf>
    <xf numFmtId="0" fontId="53" fillId="0" borderId="33" xfId="0" applyFont="1" applyBorder="1" applyAlignment="1" applyProtection="1">
      <alignment horizontal="center" vertical="center"/>
    </xf>
    <xf numFmtId="49" fontId="54" fillId="5" borderId="1" xfId="0" applyNumberFormat="1" applyFont="1" applyFill="1" applyBorder="1" applyAlignment="1" applyProtection="1">
      <alignment horizontal="center" vertical="center"/>
    </xf>
    <xf numFmtId="0" fontId="54" fillId="5" borderId="1" xfId="0" applyFont="1" applyFill="1" applyBorder="1" applyAlignment="1" applyProtection="1">
      <alignment horizontal="center" vertical="center"/>
    </xf>
    <xf numFmtId="177" fontId="54" fillId="5" borderId="1" xfId="0" applyNumberFormat="1" applyFont="1" applyFill="1" applyBorder="1" applyAlignment="1" applyProtection="1">
      <alignment horizontal="center" vertical="center"/>
    </xf>
    <xf numFmtId="180" fontId="54" fillId="5" borderId="1" xfId="0" applyNumberFormat="1" applyFont="1" applyFill="1" applyBorder="1" applyAlignment="1" applyProtection="1">
      <alignment horizontal="center" vertical="center"/>
    </xf>
    <xf numFmtId="184" fontId="54" fillId="5" borderId="1" xfId="0" applyNumberFormat="1" applyFont="1" applyFill="1" applyBorder="1" applyAlignment="1" applyProtection="1">
      <alignment horizontal="center" vertical="center"/>
    </xf>
    <xf numFmtId="190" fontId="54" fillId="5" borderId="1" xfId="0" applyNumberFormat="1" applyFont="1" applyFill="1" applyBorder="1" applyAlignment="1" applyProtection="1">
      <alignment horizontal="center" vertical="center"/>
    </xf>
    <xf numFmtId="190" fontId="54" fillId="0" borderId="1" xfId="0" applyNumberFormat="1" applyFont="1" applyBorder="1" applyAlignment="1" applyProtection="1">
      <alignment horizontal="center" vertical="center"/>
    </xf>
    <xf numFmtId="184" fontId="50" fillId="0" borderId="0" xfId="0" applyNumberFormat="1" applyFont="1" applyAlignment="1" applyProtection="1">
      <alignment vertical="center"/>
    </xf>
    <xf numFmtId="49" fontId="54" fillId="2" borderId="1" xfId="0" applyNumberFormat="1" applyFont="1" applyFill="1" applyBorder="1" applyAlignment="1" applyProtection="1">
      <alignment horizontal="center" vertical="center"/>
    </xf>
    <xf numFmtId="0" fontId="54" fillId="0" borderId="1" xfId="0" applyFont="1" applyBorder="1" applyAlignment="1" applyProtection="1">
      <alignment horizontal="center" vertical="center"/>
    </xf>
    <xf numFmtId="177" fontId="54" fillId="2" borderId="1" xfId="0" applyNumberFormat="1" applyFont="1" applyFill="1" applyBorder="1" applyAlignment="1" applyProtection="1">
      <alignment horizontal="center" vertical="center"/>
    </xf>
    <xf numFmtId="180" fontId="54" fillId="2" borderId="1" xfId="0" applyNumberFormat="1" applyFont="1" applyFill="1" applyBorder="1" applyAlignment="1" applyProtection="1">
      <alignment horizontal="center" vertical="center"/>
    </xf>
    <xf numFmtId="184" fontId="54" fillId="2" borderId="1" xfId="0" applyNumberFormat="1" applyFont="1" applyFill="1" applyBorder="1" applyAlignment="1" applyProtection="1">
      <alignment horizontal="center" vertical="center"/>
    </xf>
    <xf numFmtId="190" fontId="54" fillId="2" borderId="1" xfId="0" applyNumberFormat="1" applyFont="1" applyFill="1" applyBorder="1" applyAlignment="1" applyProtection="1">
      <alignment horizontal="center" vertical="center"/>
    </xf>
    <xf numFmtId="184" fontId="48" fillId="0" borderId="0" xfId="0" applyNumberFormat="1" applyFont="1" applyAlignment="1" applyProtection="1">
      <alignment vertical="center"/>
    </xf>
    <xf numFmtId="177" fontId="55" fillId="0" borderId="1" xfId="0" applyNumberFormat="1" applyFont="1" applyBorder="1" applyAlignment="1" applyProtection="1">
      <alignment horizontal="center" vertical="center"/>
    </xf>
    <xf numFmtId="180" fontId="54" fillId="0" borderId="1" xfId="0" applyNumberFormat="1" applyFont="1" applyBorder="1" applyAlignment="1" applyProtection="1">
      <alignment horizontal="center" vertical="center"/>
    </xf>
    <xf numFmtId="184" fontId="54" fillId="0" borderId="1" xfId="0" applyNumberFormat="1" applyFont="1" applyBorder="1" applyAlignment="1" applyProtection="1">
      <alignment horizontal="center" vertical="center"/>
    </xf>
    <xf numFmtId="177" fontId="54" fillId="0" borderId="1" xfId="0" applyNumberFormat="1" applyFont="1" applyBorder="1" applyAlignment="1" applyProtection="1">
      <alignment horizontal="center" vertical="center"/>
    </xf>
    <xf numFmtId="185" fontId="54" fillId="0" borderId="1" xfId="0" applyNumberFormat="1" applyFont="1" applyBorder="1" applyAlignment="1" applyProtection="1">
      <alignment horizontal="center" vertical="center"/>
    </xf>
    <xf numFmtId="3" fontId="56" fillId="0" borderId="1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191" fontId="54" fillId="2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60" fillId="11" borderId="34" xfId="0" applyFont="1" applyFill="1" applyBorder="1" applyAlignment="1" applyProtection="1">
      <alignment horizontal="center" vertical="center"/>
    </xf>
    <xf numFmtId="0" fontId="60" fillId="11" borderId="35" xfId="0" applyFont="1" applyFill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 vertical="center"/>
    </xf>
    <xf numFmtId="176" fontId="61" fillId="0" borderId="3" xfId="0" applyNumberFormat="1" applyFont="1" applyBorder="1" applyAlignment="1" applyProtection="1">
      <alignment horizontal="center" vertical="center"/>
    </xf>
    <xf numFmtId="0" fontId="61" fillId="12" borderId="3" xfId="0" applyFont="1" applyFill="1" applyBorder="1" applyAlignment="1" applyProtection="1">
      <alignment horizontal="center"/>
    </xf>
    <xf numFmtId="4" fontId="61" fillId="0" borderId="3" xfId="0" applyNumberFormat="1" applyFont="1" applyBorder="1" applyAlignment="1" applyProtection="1">
      <alignment horizontal="center" vertical="center"/>
    </xf>
    <xf numFmtId="192" fontId="61" fillId="0" borderId="3" xfId="0" applyNumberFormat="1" applyFont="1" applyBorder="1" applyAlignment="1" applyProtection="1">
      <alignment horizontal="center" vertical="center"/>
    </xf>
    <xf numFmtId="192" fontId="61" fillId="12" borderId="3" xfId="0" applyNumberFormat="1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2" fillId="0" borderId="37" xfId="0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 vertical="center"/>
    </xf>
    <xf numFmtId="0" fontId="62" fillId="0" borderId="3" xfId="0" applyFont="1" applyBorder="1" applyAlignment="1" applyProtection="1">
      <alignment horizontal="center" vertical="center"/>
    </xf>
    <xf numFmtId="0" fontId="0" fillId="2" borderId="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61" fillId="0" borderId="37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0" fontId="53" fillId="0" borderId="0" xfId="0" applyFont="1" applyAlignment="1" applyProtection="1"/>
    <xf numFmtId="193" fontId="0" fillId="0" borderId="0" xfId="0" applyNumberFormat="1" applyFont="1" applyAlignment="1" applyProtection="1"/>
    <xf numFmtId="0" fontId="34" fillId="0" borderId="0" xfId="0" applyFont="1" applyAlignment="1" applyProtection="1"/>
    <xf numFmtId="0" fontId="63" fillId="0" borderId="0" xfId="0" applyFont="1" applyAlignment="1" applyProtection="1"/>
    <xf numFmtId="4" fontId="63" fillId="0" borderId="0" xfId="0" applyNumberFormat="1" applyFont="1" applyAlignment="1" applyProtection="1"/>
    <xf numFmtId="0" fontId="17" fillId="0" borderId="0" xfId="0" applyFont="1" applyAlignment="1" applyProtection="1"/>
    <xf numFmtId="0" fontId="64" fillId="0" borderId="0" xfId="0" applyFont="1" applyAlignment="1" applyProtection="1"/>
    <xf numFmtId="4" fontId="17" fillId="0" borderId="0" xfId="0" applyNumberFormat="1" applyFont="1" applyAlignment="1" applyProtection="1"/>
    <xf numFmtId="178" fontId="0" fillId="0" borderId="0" xfId="0" applyNumberFormat="1" applyFont="1" applyAlignment="1" applyProtection="1">
      <alignment vertical="center"/>
    </xf>
    <xf numFmtId="181" fontId="0" fillId="0" borderId="3" xfId="0" applyNumberForma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67" fillId="0" borderId="3" xfId="0" applyFont="1" applyBorder="1" applyAlignment="1" applyProtection="1">
      <alignment horizontal="center" vertical="center"/>
    </xf>
    <xf numFmtId="178" fontId="4" fillId="3" borderId="3" xfId="0" applyNumberFormat="1" applyFont="1" applyFill="1" applyBorder="1" applyAlignment="1" applyProtection="1">
      <alignment horizontal="center" vertical="center"/>
    </xf>
    <xf numFmtId="178" fontId="4" fillId="0" borderId="17" xfId="0" applyNumberFormat="1" applyFont="1" applyBorder="1" applyAlignment="1" applyProtection="1">
      <alignment vertical="center"/>
    </xf>
    <xf numFmtId="178" fontId="4" fillId="0" borderId="18" xfId="0" applyNumberFormat="1" applyFont="1" applyBorder="1" applyAlignment="1" applyProtection="1">
      <alignment vertical="center"/>
    </xf>
    <xf numFmtId="178" fontId="4" fillId="0" borderId="19" xfId="0" applyNumberFormat="1" applyFont="1" applyBorder="1" applyAlignment="1" applyProtection="1">
      <alignment vertical="center"/>
    </xf>
    <xf numFmtId="178" fontId="4" fillId="0" borderId="20" xfId="0" applyNumberFormat="1" applyFont="1" applyBorder="1" applyAlignment="1" applyProtection="1">
      <alignment vertical="center"/>
    </xf>
    <xf numFmtId="178" fontId="4" fillId="0" borderId="0" xfId="0" applyNumberFormat="1" applyFont="1" applyBorder="1" applyAlignment="1" applyProtection="1">
      <alignment vertical="center"/>
    </xf>
    <xf numFmtId="178" fontId="4" fillId="0" borderId="21" xfId="0" applyNumberFormat="1" applyFont="1" applyBorder="1" applyAlignment="1" applyProtection="1">
      <alignment vertical="center"/>
    </xf>
    <xf numFmtId="178" fontId="4" fillId="0" borderId="22" xfId="0" applyNumberFormat="1" applyFont="1" applyBorder="1" applyAlignment="1" applyProtection="1">
      <alignment vertical="center"/>
    </xf>
    <xf numFmtId="178" fontId="4" fillId="0" borderId="24" xfId="0" applyNumberFormat="1" applyFon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30" fillId="13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/>
    <xf numFmtId="0" fontId="16" fillId="13" borderId="0" xfId="0" applyFont="1" applyFill="1" applyAlignment="1" applyProtection="1">
      <alignment horizontal="center" vertical="center"/>
    </xf>
    <xf numFmtId="2" fontId="16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Alignment="1" applyProtection="1">
      <alignment vertical="center"/>
    </xf>
    <xf numFmtId="41" fontId="4" fillId="0" borderId="0" xfId="7" applyFont="1" applyAlignment="1" applyProtection="1">
      <alignment vertical="center"/>
    </xf>
    <xf numFmtId="0" fontId="4" fillId="15" borderId="0" xfId="0" applyNumberFormat="1" applyFont="1" applyFill="1" applyAlignment="1" applyProtection="1">
      <alignment vertical="center"/>
    </xf>
    <xf numFmtId="0" fontId="4" fillId="15" borderId="0" xfId="0" applyFont="1" applyFill="1" applyAlignment="1" applyProtection="1">
      <alignment vertical="center"/>
    </xf>
    <xf numFmtId="41" fontId="4" fillId="15" borderId="0" xfId="7" applyFont="1" applyFill="1" applyAlignment="1" applyProtection="1">
      <alignment vertical="center"/>
    </xf>
    <xf numFmtId="0" fontId="68" fillId="0" borderId="3" xfId="6" applyFont="1" applyBorder="1" applyAlignment="1" applyProtection="1">
      <alignment horizontal="center" vertical="center" wrapText="1"/>
    </xf>
    <xf numFmtId="0" fontId="69" fillId="0" borderId="0" xfId="0" applyFont="1"/>
    <xf numFmtId="0" fontId="4" fillId="0" borderId="8" xfId="0" applyFont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8" fillId="3" borderId="5" xfId="0" quotePrefix="1" applyFont="1" applyFill="1" applyBorder="1" applyAlignment="1" applyProtection="1">
      <alignment horizontal="center" vertical="center"/>
    </xf>
    <xf numFmtId="0" fontId="38" fillId="10" borderId="3" xfId="6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0" fillId="0" borderId="0" xfId="0" applyAlignment="1" applyProtection="1"/>
    <xf numFmtId="0" fontId="71" fillId="0" borderId="0" xfId="0" applyFont="1"/>
    <xf numFmtId="20" fontId="15" fillId="0" borderId="5" xfId="0" applyNumberFormat="1" applyFon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194" fontId="0" fillId="0" borderId="8" xfId="0" applyNumberFormat="1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184" fontId="22" fillId="5" borderId="5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194" fontId="4" fillId="0" borderId="2" xfId="0" applyNumberFormat="1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194" fontId="4" fillId="0" borderId="8" xfId="0" applyNumberFormat="1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8" fillId="8" borderId="3" xfId="0" applyFont="1" applyFill="1" applyBorder="1" applyAlignment="1" applyProtection="1">
      <alignment horizontal="center" vertical="center"/>
    </xf>
    <xf numFmtId="0" fontId="33" fillId="0" borderId="0" xfId="6" applyFont="1" applyBorder="1" applyAlignment="1" applyProtection="1">
      <alignment horizontal="left" vertical="center"/>
    </xf>
    <xf numFmtId="0" fontId="46" fillId="0" borderId="2" xfId="6" applyFont="1" applyBorder="1" applyAlignment="1" applyProtection="1">
      <alignment horizontal="left" vertical="center"/>
    </xf>
    <xf numFmtId="0" fontId="37" fillId="0" borderId="0" xfId="6" applyFont="1" applyBorder="1" applyAlignment="1" applyProtection="1">
      <alignment horizontal="left" vertical="center"/>
    </xf>
    <xf numFmtId="0" fontId="47" fillId="0" borderId="0" xfId="6" applyFont="1" applyBorder="1" applyAlignment="1" applyProtection="1">
      <alignment horizontal="left" vertical="center"/>
    </xf>
    <xf numFmtId="4" fontId="37" fillId="0" borderId="3" xfId="6" applyNumberFormat="1" applyFont="1" applyBorder="1" applyAlignment="1" applyProtection="1">
      <alignment horizontal="righ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9" fillId="9" borderId="25" xfId="6" applyFont="1" applyFill="1" applyBorder="1" applyAlignment="1" applyProtection="1">
      <alignment horizontal="center" vertical="center" wrapText="1"/>
    </xf>
    <xf numFmtId="0" fontId="38" fillId="10" borderId="3" xfId="6" applyFont="1" applyFill="1" applyBorder="1" applyAlignment="1" applyProtection="1">
      <alignment horizontal="center" vertical="center" wrapText="1"/>
    </xf>
    <xf numFmtId="0" fontId="70" fillId="10" borderId="3" xfId="6" applyFont="1" applyFill="1" applyBorder="1" applyAlignment="1" applyProtection="1">
      <alignment horizontal="center" vertical="center" wrapText="1"/>
    </xf>
    <xf numFmtId="0" fontId="43" fillId="10" borderId="3" xfId="6" applyFont="1" applyFill="1" applyBorder="1" applyAlignment="1" applyProtection="1">
      <alignment horizontal="center" vertical="center" wrapText="1"/>
    </xf>
    <xf numFmtId="4" fontId="38" fillId="10" borderId="3" xfId="6" applyNumberFormat="1" applyFont="1" applyFill="1" applyBorder="1" applyAlignment="1" applyProtection="1">
      <alignment horizontal="right" vertical="center"/>
    </xf>
    <xf numFmtId="0" fontId="40" fillId="6" borderId="0" xfId="6" applyFont="1" applyFill="1" applyBorder="1" applyAlignment="1" applyProtection="1">
      <alignment horizontal="left" vertical="center"/>
    </xf>
    <xf numFmtId="0" fontId="37" fillId="6" borderId="0" xfId="6" applyFont="1" applyFill="1" applyBorder="1" applyAlignment="1" applyProtection="1">
      <alignment horizontal="left" vertical="center"/>
    </xf>
    <xf numFmtId="0" fontId="36" fillId="0" borderId="0" xfId="6" applyFont="1" applyBorder="1" applyAlignment="1" applyProtection="1">
      <alignment horizontal="center" vertical="center" wrapText="1"/>
    </xf>
    <xf numFmtId="0" fontId="37" fillId="0" borderId="0" xfId="6" applyFont="1" applyBorder="1" applyAlignment="1" applyProtection="1">
      <alignment horizontal="right" vertical="center"/>
    </xf>
    <xf numFmtId="0" fontId="68" fillId="6" borderId="0" xfId="6" applyFont="1" applyFill="1" applyBorder="1" applyAlignment="1" applyProtection="1">
      <alignment horizontal="left" vertical="center"/>
    </xf>
    <xf numFmtId="0" fontId="49" fillId="0" borderId="0" xfId="0" applyFont="1" applyBorder="1" applyAlignment="1" applyProtection="1">
      <alignment horizontal="center" vertical="center"/>
    </xf>
    <xf numFmtId="189" fontId="51" fillId="0" borderId="31" xfId="0" applyNumberFormat="1" applyFont="1" applyBorder="1" applyAlignment="1" applyProtection="1">
      <alignment horizontal="center" vertical="center"/>
    </xf>
    <xf numFmtId="0" fontId="53" fillId="0" borderId="1" xfId="0" applyFont="1" applyBorder="1" applyAlignment="1" applyProtection="1">
      <alignment horizontal="center" vertical="center"/>
    </xf>
    <xf numFmtId="0" fontId="0" fillId="0" borderId="13" xfId="0" applyFont="1" applyBorder="1" applyAlignment="1" applyProtection="1">
      <alignment horizontal="center" vertical="center"/>
    </xf>
    <xf numFmtId="0" fontId="0" fillId="0" borderId="32" xfId="0" applyFont="1" applyBorder="1" applyAlignment="1" applyProtection="1">
      <alignment horizontal="center" vertical="center"/>
    </xf>
    <xf numFmtId="0" fontId="69" fillId="0" borderId="0" xfId="0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</xf>
  </cellXfs>
  <cellStyles count="8">
    <cellStyle name="쉼표 [0]" xfId="7" builtinId="6"/>
    <cellStyle name="표준" xfId="0" builtinId="0"/>
    <cellStyle name="표준 2" xfId="1"/>
    <cellStyle name="표준 3" xfId="2"/>
    <cellStyle name="표준 4" xfId="3"/>
    <cellStyle name="표준 5" xfId="4"/>
    <cellStyle name="표준 6" xfId="5"/>
    <cellStyle name="표준 7" xfId="6"/>
  </cellStyles>
  <dxfs count="1507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FFC7CE"/>
      <rgbColor rgb="FF808080"/>
      <rgbColor rgb="FF9999FF"/>
      <rgbColor rgb="FF993366"/>
      <rgbColor rgb="FFFFF7CC"/>
      <rgbColor rgb="FFE9F6F1"/>
      <rgbColor rgb="FF660066"/>
      <rgbColor rgb="FFFF8080"/>
      <rgbColor rgb="FF0066CC"/>
      <rgbColor rgb="FFD0DCE6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AF6F6"/>
      <rgbColor rgb="FFEAEAEA"/>
      <rgbColor rgb="FFFFFF99"/>
      <rgbColor rgb="FFF2F2F2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2E9E85"/>
      <rgbColor rgb="FF003300"/>
      <rgbColor rgb="FF333300"/>
      <rgbColor rgb="FF993300"/>
      <rgbColor rgb="FF993366"/>
      <rgbColor rgb="FF1F4E9C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130410</xdr:colOff>
      <xdr:row>26</xdr:row>
      <xdr:rowOff>162000</xdr:rowOff>
    </xdr:from>
    <xdr:to>
      <xdr:col>13</xdr:col>
      <xdr:colOff>199530</xdr:colOff>
      <xdr:row>28</xdr:row>
      <xdr:rowOff>38520</xdr:rowOff>
    </xdr:to>
    <xdr:sp macro="[0]!인쇄" textlink="">
      <xdr:nvSpPr>
        <xdr:cNvPr id="4" name="모서리가 둥근 직사각형 4"/>
        <xdr:cNvSpPr/>
      </xdr:nvSpPr>
      <xdr:spPr>
        <a:xfrm>
          <a:off x="76075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55160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88290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790575</xdr:colOff>
      <xdr:row>27</xdr:row>
      <xdr:rowOff>28575</xdr:rowOff>
    </xdr:from>
    <xdr:to>
      <xdr:col>6</xdr:col>
      <xdr:colOff>257175</xdr:colOff>
      <xdr:row>30</xdr:row>
      <xdr:rowOff>85725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5210175"/>
          <a:ext cx="2381250" cy="590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IW56"/>
  <sheetViews>
    <sheetView tabSelected="1" zoomScaleNormal="100" workbookViewId="0">
      <selection activeCell="E17" sqref="E17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5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7.6640625" style="1" customWidth="1"/>
    <col min="11" max="11" width="9.6640625" style="1" customWidth="1"/>
    <col min="12" max="12" width="3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3220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7" t="s">
        <v>17</v>
      </c>
      <c r="D13" s="237" t="s">
        <v>18</v>
      </c>
      <c r="E13" s="241" t="s">
        <v>19</v>
      </c>
      <c r="F13" s="241"/>
      <c r="G13" s="28" t="s">
        <v>20</v>
      </c>
      <c r="H13" s="29" t="s">
        <v>21</v>
      </c>
      <c r="I13" s="242">
        <f ca="1">TODAY()</f>
        <v>46294</v>
      </c>
      <c r="J13" s="242"/>
      <c r="K13" s="242"/>
      <c r="L13" s="242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/>
      <c r="C14" s="34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G$3&amp;"'!"&amp;조회설정!$G$5&amp;":"&amp;조회설정!$G$5),MATCH(J14,INDIRECT("'"&amp;조회설정!$G$3&amp;"'!"&amp;조회설정!$G$4&amp;":"&amp;조회설정!$G$4),0)),IFERROR(VLOOKUP(J14,'환전펀드(전체운용사)'!$B:$C,2,FALSE()),""))</f>
        <v/>
      </c>
      <c r="J14" s="235"/>
      <c r="K14" s="42"/>
      <c r="L14" s="43"/>
      <c r="M14" s="44" t="str">
        <f ca="1">IF(OR(J14="",J14=0),"",IF(IFERROR(MATCH(J14,INDIRECT("'"&amp;조회설정!$G$3&amp;"'!"&amp;조회설정!$G$4&amp;":"&amp;조회설정!$G$4),0),0)&gt;0,조회설정!$G$3,IF(IFERROR(MATCH(J14,'환전펀드(전체운용사)'!$B:$B,0),0)&gt;0,"환전펀드","")))</f>
        <v/>
      </c>
      <c r="N14" s="45" t="str">
        <f>IF(OR(J14="",J14=0),"",IFERROR(VLOOKUP(J14,기준가!$A:$B,2,FALSE()),IFERROR(VLOOKUP(J14&amp;"",기준가!$A:$B,2,FALSE()),"")))</f>
        <v/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G$3&amp;"'!"&amp;조회설정!$G$5&amp;":"&amp;조회설정!$G$5),MATCH(J15,INDIRECT("'"&amp;조회설정!$G$3&amp;"'!"&amp;조회설정!$G$4&amp;":"&amp;조회설정!$G$4),0)),IFERROR(VLOOKUP(J15,'환전펀드(전체운용사)'!$B:$C,2,FALSE()),""))</f>
        <v/>
      </c>
      <c r="J15" s="234"/>
      <c r="K15" s="42"/>
      <c r="L15" s="46"/>
      <c r="M15" s="44" t="str">
        <f ca="1">IF(OR(J15="",J15=0),"",IF(IFERROR(MATCH(J15,INDIRECT("'"&amp;조회설정!$G$3&amp;"'!"&amp;조회설정!$G$4&amp;":"&amp;조회설정!$G$4),0),0)&gt;0,조회설정!$G$3,IF(IFERROR(MATCH(J15,'환전펀드(전체운용사)'!$B:$B,0),0)&gt;0,"환전펀드","")))</f>
        <v/>
      </c>
      <c r="N15" s="47" t="str">
        <f>IF(OR(J15="",J15=0),"",IFERROR(VLOOKUP(J15,기준가!$A:$B,2,FALSE()),IFERROR(VLOOKUP(J15&amp;"",기준가!$A:$B,2,FALSE()),"")))</f>
        <v/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G$3&amp;"'!"&amp;조회설정!$G$5&amp;":"&amp;조회설정!$G$5),MATCH(J16,INDIRECT("'"&amp;조회설정!$G$3&amp;"'!"&amp;조회설정!$G$4&amp;":"&amp;조회설정!$G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IF(OR(J16="",J16=0),"",IF(IFERROR(MATCH(J16,INDIRECT("'"&amp;조회설정!$G$3&amp;"'!"&amp;조회설정!$G$4&amp;":"&amp;조회설정!$G$4),0),0)&gt;0,조회설정!$G$3,IF(IFERROR(MATCH(J16,'환전펀드(전체운용사)'!$B:$B,0),0)&gt;0,"환전펀드","")))</f>
        <v/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G$3&amp;"'!"&amp;조회설정!$G$5&amp;":"&amp;조회설정!$G$5),MATCH(J17,INDIRECT("'"&amp;조회설정!$G$3&amp;"'!"&amp;조회설정!$G$4&amp;":"&amp;조회설정!$G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IF(OR(J17="",J17=0),"",IF(IFERROR(MATCH(J17,INDIRECT("'"&amp;조회설정!$G$3&amp;"'!"&amp;조회설정!$G$4&amp;":"&amp;조회설정!$G$4),0),0)&gt;0,조회설정!$G$3,IF(IFERROR(MATCH(J17,'환전펀드(전체운용사)'!$B:$B,0),0)&gt;0,"환전펀드","")))</f>
        <v/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G$3&amp;"'!"&amp;조회설정!$G$5&amp;":"&amp;조회설정!$G$5),MATCH(J18,INDIRECT("'"&amp;조회설정!$G$3&amp;"'!"&amp;조회설정!$G$4&amp;":"&amp;조회설정!$G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IF(OR(J18="",J18=0),"",IF(IFERROR(MATCH(J18,INDIRECT("'"&amp;조회설정!$G$3&amp;"'!"&amp;조회설정!$G$4&amp;":"&amp;조회설정!$G$4),0),0)&gt;0,조회설정!$G$3,IF(IFERROR(MATCH(J18,'환전펀드(전체운용사)'!$B:$B,0),0)&gt;0,"환전펀드","")))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G$3&amp;"'!"&amp;조회설정!$G$5&amp;":"&amp;조회설정!$G$5),MATCH(J19,INDIRECT("'"&amp;조회설정!$G$3&amp;"'!"&amp;조회설정!$G$4&amp;":"&amp;조회설정!$G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IF(OR(J19="",J19=0),"",IF(IFERROR(MATCH(J19,INDIRECT("'"&amp;조회설정!$G$3&amp;"'!"&amp;조회설정!$G$4&amp;":"&amp;조회설정!$G$4),0),0)&gt;0,조회설정!$G$3,IF(IFERROR(MATCH(J19,'환전펀드(전체운용사)'!$B:$B,0),0)&gt;0,"환전펀드","")))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G$3&amp;"'!"&amp;조회설정!$G$5&amp;":"&amp;조회설정!$G$5),MATCH(J20,INDIRECT("'"&amp;조회설정!$G$3&amp;"'!"&amp;조회설정!$G$4&amp;":"&amp;조회설정!$G$4),0)),IFERROR(VLOOKUP(J20,'환전펀드(전체운용사)'!$B:$C,2,FALSE()),""))</f>
        <v/>
      </c>
      <c r="J20" s="234"/>
      <c r="K20" s="42"/>
      <c r="L20" s="46"/>
      <c r="M20" s="51" t="str">
        <f ca="1">IF(OR(J20="",J20=0),"",IF(IFERROR(MATCH(J20,INDIRECT("'"&amp;조회설정!$G$3&amp;"'!"&amp;조회설정!$G$4&amp;":"&amp;조회설정!$G$4),0),0)&gt;0,조회설정!$G$3,IF(IFERROR(MATCH(J20,'환전펀드(전체운용사)'!$B:$B,0),0)&gt;0,"환전펀드","")))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G$3&amp;"'!"&amp;조회설정!$G$5&amp;":"&amp;조회설정!$G$5),MATCH(J21,INDIRECT("'"&amp;조회설정!$G$3&amp;"'!"&amp;조회설정!$G$4&amp;":"&amp;조회설정!$G$4),0)),IFERROR(VLOOKUP(J21,'환전펀드(전체운용사)'!$B:$C,2,FALSE()),""))</f>
        <v/>
      </c>
      <c r="J21" s="234"/>
      <c r="K21" s="42"/>
      <c r="L21" s="46"/>
      <c r="M21" s="51" t="str">
        <f ca="1">IF(OR(J21="",J21=0),"",IF(IFERROR(MATCH(J21,INDIRECT("'"&amp;조회설정!$G$3&amp;"'!"&amp;조회설정!$G$4&amp;":"&amp;조회설정!$G$4),0),0)&gt;0,조회설정!$G$3,IF(IFERROR(MATCH(J21,'환전펀드(전체운용사)'!$B:$B,0),0)&gt;0,"환전펀드","")))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G$3&amp;"'!"&amp;조회설정!$G$5&amp;":"&amp;조회설정!$G$5),MATCH(J22,INDIRECT("'"&amp;조회설정!$G$3&amp;"'!"&amp;조회설정!$G$4&amp;":"&amp;조회설정!$G$4),0)),IFERROR(VLOOKUP(J22,'환전펀드(전체운용사)'!$B:$C,2,FALSE()),""))</f>
        <v/>
      </c>
      <c r="J22" s="234"/>
      <c r="K22" s="42"/>
      <c r="L22" s="46"/>
      <c r="M22" s="51" t="str">
        <f ca="1">IF(OR(J22="",J22=0),"",IF(IFERROR(MATCH(J22,INDIRECT("'"&amp;조회설정!$G$3&amp;"'!"&amp;조회설정!$G$4&amp;":"&amp;조회설정!$G$4),0),0)&gt;0,조회설정!$G$3,IF(IFERROR(MATCH(J22,'환전펀드(전체운용사)'!$B:$B,0),0)&gt;0,"환전펀드","")))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G$3&amp;"'!"&amp;조회설정!$G$5&amp;":"&amp;조회설정!$G$5),MATCH(J23,INDIRECT("'"&amp;조회설정!$G$3&amp;"'!"&amp;조회설정!$G$4&amp;":"&amp;조회설정!$G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IF(OR(J23="",J23=0),"",IF(IFERROR(MATCH(J23,INDIRECT("'"&amp;조회설정!$G$3&amp;"'!"&amp;조회설정!$G$4&amp;":"&amp;조회설정!$G$4),0),0)&gt;0,조회설정!$G$3,IF(IFERROR(MATCH(J23,'환전펀드(전체운용사)'!$B:$B,0),0)&gt;0,"환전펀드","")))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G$3&amp;"'!"&amp;조회설정!$G$5&amp;":"&amp;조회설정!$G$5),MATCH(J24,INDIRECT("'"&amp;조회설정!$G$3&amp;"'!"&amp;조회설정!$G$4&amp;":"&amp;조회설정!$G$4),0)),IFERROR(VLOOKUP(J24,'환전펀드(전체운용사)'!$B:$C,2,FALSE()),""))</f>
        <v/>
      </c>
      <c r="J24" s="41"/>
      <c r="K24" s="42"/>
      <c r="L24" s="58"/>
      <c r="M24" s="51" t="str">
        <f ca="1">IF(OR(J24="",J24=0),"",IF(IFERROR(MATCH(J24,INDIRECT("'"&amp;조회설정!$G$3&amp;"'!"&amp;조회설정!$G$4&amp;":"&amp;조회설정!$G$4),0),0)&gt;0,조회설정!$G$3,IF(IFERROR(MATCH(J24,'환전펀드(전체운용사)'!$B:$B,0),0)&gt;0,"환전펀드","")))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G$3&amp;"'!"&amp;조회설정!$G$5&amp;":"&amp;조회설정!$G$5),MATCH(J25,INDIRECT("'"&amp;조회설정!$G$3&amp;"'!"&amp;조회설정!$G$4&amp;":"&amp;조회설정!$G$4),0)),IFERROR(VLOOKUP(J25,'환전펀드(전체운용사)'!$B:$C,2,FALSE()),""))</f>
        <v/>
      </c>
      <c r="J25" s="41"/>
      <c r="K25" s="42"/>
      <c r="L25" s="58"/>
      <c r="M25" s="51" t="str">
        <f ca="1">IF(OR(J25="",J25=0),"",IF(IFERROR(MATCH(J25,INDIRECT("'"&amp;조회설정!$G$3&amp;"'!"&amp;조회설정!$G$4&amp;":"&amp;조회설정!$G$4),0),0)&gt;0,조회설정!$G$3,IF(IFERROR(MATCH(J25,'환전펀드(전체운용사)'!$B:$B,0),0)&gt;0,"환전펀드","")))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41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C27" s="34"/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209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/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74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:금액동일 SWAP,다르면 각각/★(김민경·이해연)건 각각 투입",TRIM(LEFT($C$9,FIND(" ",$C$9&amp;" ")-1))&amp;" : 금액 동일하면 SWAP 투입, 다르면 각각 투입")))</f>
        <v>다올 : 금액 동일하면 SWAP 투입, 다르면 각각 투입</v>
      </c>
      <c r="H35" s="8"/>
      <c r="I35" s="8"/>
      <c r="J35" s="8"/>
      <c r="K35" s="8"/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/>
      <c r="G36" s="8"/>
      <c r="H36" s="8"/>
      <c r="I36" s="8"/>
      <c r="J36" s="8"/>
      <c r="K36" s="8"/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G37" s="8"/>
      <c r="H37" s="8"/>
      <c r="I37" s="8"/>
      <c r="J37" s="8"/>
      <c r="K37" s="8"/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G38" s="8"/>
      <c r="H38" s="8"/>
      <c r="I38" s="275"/>
      <c r="J38" s="8"/>
      <c r="K38" s="8"/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G39" s="8"/>
      <c r="H39" s="8"/>
      <c r="I39" s="8"/>
      <c r="J39" s="8"/>
      <c r="K39" s="8"/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G40" s="8"/>
      <c r="H40" s="8"/>
      <c r="I40" s="8"/>
      <c r="J40" s="8"/>
      <c r="K40" s="8"/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G41" s="8"/>
      <c r="H41" s="8"/>
      <c r="I41" s="8"/>
      <c r="J41" s="8"/>
      <c r="K41" s="8"/>
      <c r="L41" s="88"/>
      <c r="S41" s="24"/>
      <c r="T41" s="25"/>
      <c r="U41" s="25"/>
      <c r="V41" s="24"/>
      <c r="W41" s="25"/>
    </row>
    <row r="42" spans="1:24">
      <c r="A42" s="86" t="s">
        <v>3206</v>
      </c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</sheetData>
  <mergeCells count="10">
    <mergeCell ref="E2:H3"/>
    <mergeCell ref="B7:D7"/>
    <mergeCell ref="A9:B9"/>
    <mergeCell ref="A10:B10"/>
    <mergeCell ref="A11:B11"/>
    <mergeCell ref="E13:F13"/>
    <mergeCell ref="I13:L13"/>
    <mergeCell ref="A28:B28"/>
    <mergeCell ref="A29:B29"/>
    <mergeCell ref="K29:L29"/>
  </mergeCells>
  <phoneticPr fontId="10" type="noConversion"/>
  <conditionalFormatting sqref="E14:E22 E24:E25 B14:D25 F14:N25">
    <cfRule type="expression" dxfId="1506" priority="1030">
      <formula>AND($N14&lt;&gt;"",ISNUMBER($N14),$N14&lt;=700)</formula>
    </cfRule>
  </conditionalFormatting>
  <conditionalFormatting sqref="C1:C1048576">
    <cfRule type="containsText" dxfId="1505" priority="1021" operator="containsText" text="JPY">
      <formula>NOT(ISERROR(SEARCH("JPY",C1)))</formula>
    </cfRule>
    <cfRule type="containsText" dxfId="1504" priority="1022" operator="containsText" text="JPY">
      <formula>NOT(ISERROR(SEARCH("JPY",C1)))</formula>
    </cfRule>
  </conditionalFormatting>
  <conditionalFormatting sqref="H26">
    <cfRule type="expression" dxfId="1503" priority="961">
      <formula>AND($N26&lt;&gt;"",ISNUMBER($N26),$N26&lt;=700)</formula>
    </cfRule>
  </conditionalFormatting>
  <conditionalFormatting sqref="C27">
    <cfRule type="expression" dxfId="1502" priority="883">
      <formula>AND($N27&lt;&gt;"",ISNUMBER($N27),$N27&lt;=700)</formula>
    </cfRule>
  </conditionalFormatting>
  <conditionalFormatting sqref="B23:D23">
    <cfRule type="expression" dxfId="1501" priority="871">
      <formula>AND($N23&lt;&gt;"",ISNUMBER($N23),$N23&lt;=700)</formula>
    </cfRule>
  </conditionalFormatting>
  <conditionalFormatting sqref="C23">
    <cfRule type="containsText" dxfId="1500" priority="869" operator="containsText" text="JPY">
      <formula>NOT(ISERROR(SEARCH("JPY",C23)))</formula>
    </cfRule>
    <cfRule type="containsText" dxfId="1499" priority="870" operator="containsText" text="JPY">
      <formula>NOT(ISERROR(SEARCH("JPY",C23)))</formula>
    </cfRule>
  </conditionalFormatting>
  <conditionalFormatting sqref="E23">
    <cfRule type="expression" dxfId="1498" priority="622">
      <formula>AND($N23&lt;&gt;"",ISNUMBER($N23),$N23&lt;=700)</formula>
    </cfRule>
  </conditionalFormatting>
  <conditionalFormatting sqref="B24:D24">
    <cfRule type="expression" dxfId="1497" priority="437">
      <formula>AND($N24&lt;&gt;"",ISNUMBER($N24),$N24&lt;=700)</formula>
    </cfRule>
  </conditionalFormatting>
  <conditionalFormatting sqref="C24">
    <cfRule type="containsText" dxfId="1496" priority="435" operator="containsText" text="JPY">
      <formula>NOT(ISERROR(SEARCH("JPY",C24)))</formula>
    </cfRule>
    <cfRule type="containsText" dxfId="1495" priority="436" operator="containsText" text="JPY">
      <formula>NOT(ISERROR(SEARCH("JPY",C24)))</formula>
    </cfRule>
  </conditionalFormatting>
  <conditionalFormatting sqref="D27">
    <cfRule type="expression" dxfId="1494" priority="432">
      <formula>AND($N27&lt;&gt;"",ISNUMBER($N27),$N27&lt;=700)</formula>
    </cfRule>
  </conditionalFormatting>
  <conditionalFormatting sqref="D27">
    <cfRule type="expression" dxfId="1493" priority="431">
      <formula>AND($N27&lt;&gt;"",ISNUMBER($N27),$N27&lt;=700)</formula>
    </cfRule>
  </conditionalFormatting>
  <conditionalFormatting sqref="D27">
    <cfRule type="expression" dxfId="1492" priority="428">
      <formula>AND($N27&lt;&gt;"",ISNUMBER($N27),$N27&lt;=700)</formula>
    </cfRule>
  </conditionalFormatting>
  <conditionalFormatting sqref="D28">
    <cfRule type="expression" dxfId="1491" priority="424">
      <formula>AND($N28&lt;&gt;"",ISNUMBER($N28),$N28&lt;=700)</formula>
    </cfRule>
  </conditionalFormatting>
  <conditionalFormatting sqref="D28">
    <cfRule type="expression" dxfId="1490" priority="423">
      <formula>AND($N28&lt;&gt;"",ISNUMBER($N28),$N28&lt;=700)</formula>
    </cfRule>
  </conditionalFormatting>
  <conditionalFormatting sqref="D28">
    <cfRule type="expression" dxfId="1489" priority="422">
      <formula>AND($N28&lt;&gt;"",ISNUMBER($N28),$N28&lt;=700)</formula>
    </cfRule>
  </conditionalFormatting>
  <conditionalFormatting sqref="D28">
    <cfRule type="expression" dxfId="1488" priority="421">
      <formula>AND($N28&lt;&gt;"",ISNUMBER($N28),$N28&lt;=700)</formula>
    </cfRule>
  </conditionalFormatting>
  <conditionalFormatting sqref="D28">
    <cfRule type="expression" dxfId="1487" priority="420">
      <formula>AND($N28&lt;&gt;"",ISNUMBER($N28),$N28&lt;=700)</formula>
    </cfRule>
  </conditionalFormatting>
  <conditionalFormatting sqref="D28">
    <cfRule type="expression" dxfId="1486" priority="419">
      <formula>AND($N28&lt;&gt;"",ISNUMBER($N28),$N28&lt;=700)</formula>
    </cfRule>
  </conditionalFormatting>
  <conditionalFormatting sqref="D28">
    <cfRule type="expression" dxfId="1485" priority="418">
      <formula>AND($N28&lt;&gt;"",ISNUMBER($N28),$N28&lt;=700)</formula>
    </cfRule>
  </conditionalFormatting>
  <conditionalFormatting sqref="D28">
    <cfRule type="expression" dxfId="1484" priority="417">
      <formula>AND($N28&lt;&gt;"",ISNUMBER($N28),$N28&lt;=700)</formula>
    </cfRule>
  </conditionalFormatting>
  <conditionalFormatting sqref="D28">
    <cfRule type="expression" dxfId="1483" priority="416">
      <formula>AND($N28&lt;&gt;"",ISNUMBER($N28),$N28&lt;=700)</formula>
    </cfRule>
  </conditionalFormatting>
  <conditionalFormatting sqref="D28">
    <cfRule type="expression" dxfId="1482" priority="415">
      <formula>AND($N28&lt;&gt;"",ISNUMBER($N28),$N28&lt;=700)</formula>
    </cfRule>
  </conditionalFormatting>
  <conditionalFormatting sqref="D28">
    <cfRule type="expression" dxfId="1481" priority="414">
      <formula>AND($N28&lt;&gt;"",ISNUMBER($N28),$N28&lt;=700)</formula>
    </cfRule>
  </conditionalFormatting>
  <conditionalFormatting sqref="D28">
    <cfRule type="expression" dxfId="1480" priority="413">
      <formula>AND($N28&lt;&gt;"",ISNUMBER($N28),$N28&lt;=700)</formula>
    </cfRule>
  </conditionalFormatting>
  <conditionalFormatting sqref="D28">
    <cfRule type="expression" dxfId="1479" priority="412">
      <formula>AND($N28&lt;&gt;"",ISNUMBER($N28),$N28&lt;=700)</formula>
    </cfRule>
  </conditionalFormatting>
  <conditionalFormatting sqref="D28">
    <cfRule type="expression" dxfId="1478" priority="411">
      <formula>AND($N28&lt;&gt;"",ISNUMBER($N28),$N28&lt;=700)</formula>
    </cfRule>
  </conditionalFormatting>
  <conditionalFormatting sqref="D27">
    <cfRule type="expression" dxfId="1477" priority="410">
      <formula>AND($N27&lt;&gt;"",ISNUMBER($N27),$N27&lt;=700)</formula>
    </cfRule>
  </conditionalFormatting>
  <conditionalFormatting sqref="D28">
    <cfRule type="expression" dxfId="1476" priority="409">
      <formula>AND($N28&lt;&gt;"",ISNUMBER($N28),$N28&lt;=700)</formula>
    </cfRule>
  </conditionalFormatting>
  <conditionalFormatting sqref="D28">
    <cfRule type="expression" dxfId="1475" priority="408">
      <formula>AND($N28&lt;&gt;"",ISNUMBER($N28),$N28&lt;=700)</formula>
    </cfRule>
  </conditionalFormatting>
  <conditionalFormatting sqref="D28">
    <cfRule type="expression" dxfId="1474" priority="407">
      <formula>AND($N28&lt;&gt;"",ISNUMBER($N28),$N28&lt;=700)</formula>
    </cfRule>
  </conditionalFormatting>
  <conditionalFormatting sqref="D28">
    <cfRule type="expression" dxfId="1473" priority="406">
      <formula>AND($N28&lt;&gt;"",ISNUMBER($N28),$N28&lt;=700)</formula>
    </cfRule>
  </conditionalFormatting>
  <conditionalFormatting sqref="D28">
    <cfRule type="expression" dxfId="1472" priority="405">
      <formula>AND($N28&lt;&gt;"",ISNUMBER($N28),$N28&lt;=700)</formula>
    </cfRule>
  </conditionalFormatting>
  <conditionalFormatting sqref="D28">
    <cfRule type="expression" dxfId="1471" priority="404">
      <formula>AND($N28&lt;&gt;"",ISNUMBER($N28),$N28&lt;=700)</formula>
    </cfRule>
  </conditionalFormatting>
  <conditionalFormatting sqref="D28">
    <cfRule type="expression" dxfId="1470" priority="403">
      <formula>AND($N28&lt;&gt;"",ISNUMBER($N28),$N28&lt;=700)</formula>
    </cfRule>
  </conditionalFormatting>
  <conditionalFormatting sqref="D28">
    <cfRule type="expression" dxfId="1469" priority="402">
      <formula>AND($N28&lt;&gt;"",ISNUMBER($N28),$N28&lt;=700)</formula>
    </cfRule>
  </conditionalFormatting>
  <conditionalFormatting sqref="D28">
    <cfRule type="expression" dxfId="1468" priority="401">
      <formula>AND($N28&lt;&gt;"",ISNUMBER($N28),$N28&lt;=700)</formula>
    </cfRule>
  </conditionalFormatting>
  <conditionalFormatting sqref="D28">
    <cfRule type="expression" dxfId="1467" priority="400">
      <formula>AND($N28&lt;&gt;"",ISNUMBER($N28),$N28&lt;=700)</formula>
    </cfRule>
  </conditionalFormatting>
  <conditionalFormatting sqref="D28">
    <cfRule type="expression" dxfId="1466" priority="399">
      <formula>AND($N28&lt;&gt;"",ISNUMBER($N28),$N28&lt;=700)</formula>
    </cfRule>
  </conditionalFormatting>
  <conditionalFormatting sqref="D28">
    <cfRule type="expression" dxfId="1465" priority="398">
      <formula>AND($N28&lt;&gt;"",ISNUMBER($N28),$N28&lt;=700)</formula>
    </cfRule>
  </conditionalFormatting>
  <conditionalFormatting sqref="D28">
    <cfRule type="expression" dxfId="1464" priority="397">
      <formula>AND($N28&lt;&gt;"",ISNUMBER($N28),$N28&lt;=700)</formula>
    </cfRule>
  </conditionalFormatting>
  <conditionalFormatting sqref="D28">
    <cfRule type="expression" dxfId="1463" priority="396">
      <formula>AND($N28&lt;&gt;"",ISNUMBER($N28),$N28&lt;=700)</formula>
    </cfRule>
  </conditionalFormatting>
  <conditionalFormatting sqref="D28">
    <cfRule type="expression" dxfId="1462" priority="395">
      <formula>AND($N28&lt;&gt;"",ISNUMBER($N28),$N28&lt;=700)</formula>
    </cfRule>
  </conditionalFormatting>
  <conditionalFormatting sqref="D28">
    <cfRule type="expression" dxfId="1461" priority="394">
      <formula>AND($N28&lt;&gt;"",ISNUMBER($N28),$N28&lt;=700)</formula>
    </cfRule>
  </conditionalFormatting>
  <conditionalFormatting sqref="D28">
    <cfRule type="expression" dxfId="1460" priority="393">
      <formula>AND($N28&lt;&gt;"",ISNUMBER($N28),$N28&lt;=700)</formula>
    </cfRule>
  </conditionalFormatting>
  <conditionalFormatting sqref="D28">
    <cfRule type="expression" dxfId="1459" priority="392">
      <formula>AND($N28&lt;&gt;"",ISNUMBER($N28),$N28&lt;=700)</formula>
    </cfRule>
  </conditionalFormatting>
  <conditionalFormatting sqref="D28">
    <cfRule type="expression" dxfId="1458" priority="391">
      <formula>AND($N28&lt;&gt;"",ISNUMBER($N28),$N28&lt;=700)</formula>
    </cfRule>
  </conditionalFormatting>
  <conditionalFormatting sqref="D28">
    <cfRule type="expression" dxfId="1457" priority="390">
      <formula>AND($N28&lt;&gt;"",ISNUMBER($N28),$N28&lt;=700)</formula>
    </cfRule>
  </conditionalFormatting>
  <conditionalFormatting sqref="D28">
    <cfRule type="expression" dxfId="1456" priority="389">
      <formula>AND($N28&lt;&gt;"",ISNUMBER($N28),$N28&lt;=700)</formula>
    </cfRule>
  </conditionalFormatting>
  <conditionalFormatting sqref="D28">
    <cfRule type="expression" dxfId="1455" priority="388">
      <formula>AND($N28&lt;&gt;"",ISNUMBER($N28),$N28&lt;=700)</formula>
    </cfRule>
  </conditionalFormatting>
  <conditionalFormatting sqref="D28">
    <cfRule type="expression" dxfId="1454" priority="387">
      <formula>AND($N28&lt;&gt;"",ISNUMBER($N28),$N28&lt;=700)</formula>
    </cfRule>
  </conditionalFormatting>
  <conditionalFormatting sqref="D28">
    <cfRule type="expression" dxfId="1453" priority="386">
      <formula>AND($N28&lt;&gt;"",ISNUMBER($N28),$N28&lt;=700)</formula>
    </cfRule>
  </conditionalFormatting>
  <conditionalFormatting sqref="D28">
    <cfRule type="expression" dxfId="1452" priority="385">
      <formula>AND($N28&lt;&gt;"",ISNUMBER($N28),$N28&lt;=700)</formula>
    </cfRule>
  </conditionalFormatting>
  <conditionalFormatting sqref="D28">
    <cfRule type="expression" dxfId="1451" priority="384">
      <formula>AND($N28&lt;&gt;"",ISNUMBER($N28),$N28&lt;=700)</formula>
    </cfRule>
  </conditionalFormatting>
  <conditionalFormatting sqref="D28">
    <cfRule type="expression" dxfId="1450" priority="383">
      <formula>AND($N28&lt;&gt;"",ISNUMBER($N28),$N28&lt;=700)</formula>
    </cfRule>
  </conditionalFormatting>
  <conditionalFormatting sqref="D28">
    <cfRule type="expression" dxfId="1449" priority="382">
      <formula>AND($N28&lt;&gt;"",ISNUMBER($N28),$N28&lt;=700)</formula>
    </cfRule>
  </conditionalFormatting>
  <conditionalFormatting sqref="D28">
    <cfRule type="expression" dxfId="1448" priority="381">
      <formula>AND($N28&lt;&gt;"",ISNUMBER($N28),$N28&lt;=700)</formula>
    </cfRule>
  </conditionalFormatting>
  <conditionalFormatting sqref="D27">
    <cfRule type="expression" dxfId="1447" priority="380">
      <formula>AND($N27&lt;&gt;"",ISNUMBER($N27),$N27&lt;=700)</formula>
    </cfRule>
  </conditionalFormatting>
  <conditionalFormatting sqref="D28">
    <cfRule type="expression" dxfId="1446" priority="379">
      <formula>AND($N28&lt;&gt;"",ISNUMBER($N28),$N28&lt;=700)</formula>
    </cfRule>
  </conditionalFormatting>
  <conditionalFormatting sqref="D28">
    <cfRule type="expression" dxfId="1445" priority="378">
      <formula>AND($N28&lt;&gt;"",ISNUMBER($N28),$N28&lt;=700)</formula>
    </cfRule>
  </conditionalFormatting>
  <conditionalFormatting sqref="D28">
    <cfRule type="expression" dxfId="1444" priority="377">
      <formula>AND($N28&lt;&gt;"",ISNUMBER($N28),$N28&lt;=700)</formula>
    </cfRule>
  </conditionalFormatting>
  <conditionalFormatting sqref="D28">
    <cfRule type="expression" dxfId="1443" priority="376">
      <formula>AND($N28&lt;&gt;"",ISNUMBER($N28),$N28&lt;=700)</formula>
    </cfRule>
  </conditionalFormatting>
  <conditionalFormatting sqref="D28">
    <cfRule type="expression" dxfId="1442" priority="375">
      <formula>AND($N28&lt;&gt;"",ISNUMBER($N28),$N28&lt;=700)</formula>
    </cfRule>
  </conditionalFormatting>
  <conditionalFormatting sqref="D28">
    <cfRule type="expression" dxfId="1441" priority="374">
      <formula>AND($N28&lt;&gt;"",ISNUMBER($N28),$N28&lt;=700)</formula>
    </cfRule>
  </conditionalFormatting>
  <conditionalFormatting sqref="D28">
    <cfRule type="expression" dxfId="1440" priority="373">
      <formula>AND($N28&lt;&gt;"",ISNUMBER($N28),$N28&lt;=700)</formula>
    </cfRule>
  </conditionalFormatting>
  <conditionalFormatting sqref="D28">
    <cfRule type="expression" dxfId="1439" priority="372">
      <formula>AND($N28&lt;&gt;"",ISNUMBER($N28),$N28&lt;=700)</formula>
    </cfRule>
  </conditionalFormatting>
  <conditionalFormatting sqref="D28">
    <cfRule type="expression" dxfId="1438" priority="371">
      <formula>AND($N28&lt;&gt;"",ISNUMBER($N28),$N28&lt;=700)</formula>
    </cfRule>
  </conditionalFormatting>
  <conditionalFormatting sqref="D28">
    <cfRule type="expression" dxfId="1437" priority="370">
      <formula>AND($N28&lt;&gt;"",ISNUMBER($N28),$N28&lt;=700)</formula>
    </cfRule>
  </conditionalFormatting>
  <conditionalFormatting sqref="D27:D28">
    <cfRule type="expression" dxfId="1436" priority="369">
      <formula>AND($N27&lt;&gt;"",ISNUMBER($N27),$N27&lt;=700)</formula>
    </cfRule>
  </conditionalFormatting>
  <conditionalFormatting sqref="D27:D28">
    <cfRule type="expression" dxfId="1435" priority="368">
      <formula>AND($N27&lt;&gt;"",ISNUMBER($N27),$N27&lt;=700)</formula>
    </cfRule>
  </conditionalFormatting>
  <conditionalFormatting sqref="D27">
    <cfRule type="expression" dxfId="1434" priority="367">
      <formula>AND($N27&lt;&gt;"",ISNUMBER($N27),$N27&lt;=700)</formula>
    </cfRule>
  </conditionalFormatting>
  <conditionalFormatting sqref="D26">
    <cfRule type="expression" dxfId="1433" priority="366">
      <formula>AND($N26&lt;&gt;"",ISNUMBER($N26),$N26&lt;=700)</formula>
    </cfRule>
  </conditionalFormatting>
  <conditionalFormatting sqref="D26">
    <cfRule type="expression" dxfId="1432" priority="365">
      <formula>AND($N26&lt;&gt;"",ISNUMBER($N26),$N26&lt;=700)</formula>
    </cfRule>
  </conditionalFormatting>
  <conditionalFormatting sqref="D26">
    <cfRule type="expression" dxfId="1431" priority="364">
      <formula>AND($N26&lt;&gt;"",ISNUMBER($N26),$N26&lt;=700)</formula>
    </cfRule>
  </conditionalFormatting>
  <conditionalFormatting sqref="D26">
    <cfRule type="expression" dxfId="1430" priority="363">
      <formula>AND($N26&lt;&gt;"",ISNUMBER($N26),$N26&lt;=700)</formula>
    </cfRule>
  </conditionalFormatting>
  <conditionalFormatting sqref="D26">
    <cfRule type="expression" dxfId="1429" priority="362">
      <formula>AND($N26&lt;&gt;"",ISNUMBER($N26),$N26&lt;=700)</formula>
    </cfRule>
  </conditionalFormatting>
  <conditionalFormatting sqref="D26">
    <cfRule type="expression" dxfId="1428" priority="361">
      <formula>AND($N26&lt;&gt;"",ISNUMBER($N26),$N26&lt;=700)</formula>
    </cfRule>
  </conditionalFormatting>
  <conditionalFormatting sqref="D26">
    <cfRule type="expression" dxfId="1427" priority="360">
      <formula>AND($N26&lt;&gt;"",ISNUMBER($N26),$N26&lt;=700)</formula>
    </cfRule>
  </conditionalFormatting>
  <conditionalFormatting sqref="D26">
    <cfRule type="expression" dxfId="1426" priority="359">
      <formula>AND($N26&lt;&gt;"",ISNUMBER($N26),$N26&lt;=700)</formula>
    </cfRule>
  </conditionalFormatting>
  <conditionalFormatting sqref="D29">
    <cfRule type="expression" dxfId="1425" priority="358">
      <formula>AND($N29&lt;&gt;"",ISNUMBER($N29),$N29&lt;=700)</formula>
    </cfRule>
  </conditionalFormatting>
  <conditionalFormatting sqref="D29">
    <cfRule type="expression" dxfId="1424" priority="357">
      <formula>AND($N29&lt;&gt;"",ISNUMBER($N29),$N29&lt;=700)</formula>
    </cfRule>
  </conditionalFormatting>
  <conditionalFormatting sqref="D29">
    <cfRule type="expression" dxfId="1423" priority="356">
      <formula>AND($N29&lt;&gt;"",ISNUMBER($N29),$N29&lt;=700)</formula>
    </cfRule>
  </conditionalFormatting>
  <conditionalFormatting sqref="D29">
    <cfRule type="expression" dxfId="1422" priority="355">
      <formula>AND($N29&lt;&gt;"",ISNUMBER($N29),$N29&lt;=700)</formula>
    </cfRule>
  </conditionalFormatting>
  <conditionalFormatting sqref="D29">
    <cfRule type="expression" dxfId="1421" priority="354">
      <formula>AND($N29&lt;&gt;"",ISNUMBER($N29),$N29&lt;=700)</formula>
    </cfRule>
  </conditionalFormatting>
  <conditionalFormatting sqref="D29">
    <cfRule type="expression" dxfId="1420" priority="353">
      <formula>AND($N29&lt;&gt;"",ISNUMBER($N29),$N29&lt;=700)</formula>
    </cfRule>
  </conditionalFormatting>
  <conditionalFormatting sqref="D29">
    <cfRule type="expression" dxfId="1419" priority="352">
      <formula>AND($N29&lt;&gt;"",ISNUMBER($N29),$N29&lt;=700)</formula>
    </cfRule>
  </conditionalFormatting>
  <conditionalFormatting sqref="D29">
    <cfRule type="expression" dxfId="1418" priority="351">
      <formula>AND($N29&lt;&gt;"",ISNUMBER($N29),$N29&lt;=700)</formula>
    </cfRule>
  </conditionalFormatting>
  <conditionalFormatting sqref="D28">
    <cfRule type="expression" dxfId="1417" priority="350">
      <formula>AND($N28&lt;&gt;"",ISNUMBER($N28),$N28&lt;=700)</formula>
    </cfRule>
  </conditionalFormatting>
  <conditionalFormatting sqref="D28">
    <cfRule type="expression" dxfId="1416" priority="349">
      <formula>AND($N28&lt;&gt;"",ISNUMBER($N28),$N28&lt;=700)</formula>
    </cfRule>
  </conditionalFormatting>
  <conditionalFormatting sqref="D28">
    <cfRule type="expression" dxfId="1415" priority="348">
      <formula>AND($N28&lt;&gt;"",ISNUMBER($N28),$N28&lt;=700)</formula>
    </cfRule>
  </conditionalFormatting>
  <conditionalFormatting sqref="D28">
    <cfRule type="expression" dxfId="1414" priority="347">
      <formula>AND($N28&lt;&gt;"",ISNUMBER($N28),$N28&lt;=700)</formula>
    </cfRule>
  </conditionalFormatting>
  <conditionalFormatting sqref="D28">
    <cfRule type="expression" dxfId="1413" priority="346">
      <formula>AND($N28&lt;&gt;"",ISNUMBER($N28),$N28&lt;=700)</formula>
    </cfRule>
  </conditionalFormatting>
  <conditionalFormatting sqref="D28">
    <cfRule type="expression" dxfId="1412" priority="345">
      <formula>AND($N28&lt;&gt;"",ISNUMBER($N28),$N28&lt;=700)</formula>
    </cfRule>
  </conditionalFormatting>
  <conditionalFormatting sqref="D28">
    <cfRule type="expression" dxfId="1411" priority="344">
      <formula>AND($N28&lt;&gt;"",ISNUMBER($N28),$N28&lt;=700)</formula>
    </cfRule>
  </conditionalFormatting>
  <conditionalFormatting sqref="D28">
    <cfRule type="expression" dxfId="1410" priority="343">
      <formula>AND($N28&lt;&gt;"",ISNUMBER($N28),$N28&lt;=700)</formula>
    </cfRule>
  </conditionalFormatting>
  <conditionalFormatting sqref="D28">
    <cfRule type="expression" dxfId="1409" priority="342">
      <formula>AND($N28&lt;&gt;"",ISNUMBER($N28),$N28&lt;=700)</formula>
    </cfRule>
  </conditionalFormatting>
  <conditionalFormatting sqref="D28">
    <cfRule type="expression" dxfId="1408" priority="341">
      <formula>AND($N28&lt;&gt;"",ISNUMBER($N28),$N28&lt;=700)</formula>
    </cfRule>
  </conditionalFormatting>
  <conditionalFormatting sqref="D28">
    <cfRule type="expression" dxfId="1407" priority="340">
      <formula>AND($N28&lt;&gt;"",ISNUMBER($N28),$N28&lt;=700)</formula>
    </cfRule>
  </conditionalFormatting>
  <conditionalFormatting sqref="D28">
    <cfRule type="expression" dxfId="1406" priority="339">
      <formula>AND($N28&lt;&gt;"",ISNUMBER($N28),$N28&lt;=700)</formula>
    </cfRule>
  </conditionalFormatting>
  <conditionalFormatting sqref="D28">
    <cfRule type="expression" dxfId="1405" priority="338">
      <formula>AND($N28&lt;&gt;"",ISNUMBER($N28),$N28&lt;=700)</formula>
    </cfRule>
  </conditionalFormatting>
  <conditionalFormatting sqref="D28">
    <cfRule type="expression" dxfId="1404" priority="337">
      <formula>AND($N28&lt;&gt;"",ISNUMBER($N28),$N28&lt;=700)</formula>
    </cfRule>
  </conditionalFormatting>
  <conditionalFormatting sqref="D27">
    <cfRule type="expression" dxfId="1403" priority="336">
      <formula>AND($N27&lt;&gt;"",ISNUMBER($N27),$N27&lt;=700)</formula>
    </cfRule>
  </conditionalFormatting>
  <conditionalFormatting sqref="D27">
    <cfRule type="expression" dxfId="1402" priority="335">
      <formula>AND($N27&lt;&gt;"",ISNUMBER($N27),$N27&lt;=700)</formula>
    </cfRule>
  </conditionalFormatting>
  <conditionalFormatting sqref="D27">
    <cfRule type="expression" dxfId="1401" priority="334">
      <formula>AND($N27&lt;&gt;"",ISNUMBER($N27),$N27&lt;=700)</formula>
    </cfRule>
  </conditionalFormatting>
  <conditionalFormatting sqref="D27">
    <cfRule type="expression" dxfId="1400" priority="333">
      <formula>AND($N27&lt;&gt;"",ISNUMBER($N27),$N27&lt;=700)</formula>
    </cfRule>
  </conditionalFormatting>
  <conditionalFormatting sqref="D27">
    <cfRule type="expression" dxfId="1399" priority="332">
      <formula>AND($N27&lt;&gt;"",ISNUMBER($N27),$N27&lt;=700)</formula>
    </cfRule>
  </conditionalFormatting>
  <conditionalFormatting sqref="D27">
    <cfRule type="expression" dxfId="1398" priority="331">
      <formula>AND($N27&lt;&gt;"",ISNUMBER($N27),$N27&lt;=700)</formula>
    </cfRule>
  </conditionalFormatting>
  <conditionalFormatting sqref="D27">
    <cfRule type="expression" dxfId="1397" priority="330">
      <formula>AND($N27&lt;&gt;"",ISNUMBER($N27),$N27&lt;=700)</formula>
    </cfRule>
  </conditionalFormatting>
  <conditionalFormatting sqref="D27">
    <cfRule type="expression" dxfId="1396" priority="329">
      <formula>AND($N27&lt;&gt;"",ISNUMBER($N27),$N27&lt;=700)</formula>
    </cfRule>
  </conditionalFormatting>
  <conditionalFormatting sqref="D27">
    <cfRule type="expression" dxfId="1395" priority="328">
      <formula>AND($N27&lt;&gt;"",ISNUMBER($N27),$N27&lt;=700)</formula>
    </cfRule>
  </conditionalFormatting>
  <conditionalFormatting sqref="D27">
    <cfRule type="expression" dxfId="1394" priority="327">
      <formula>AND($N27&lt;&gt;"",ISNUMBER($N27),$N27&lt;=700)</formula>
    </cfRule>
  </conditionalFormatting>
  <conditionalFormatting sqref="D27">
    <cfRule type="expression" dxfId="1393" priority="326">
      <formula>AND($N27&lt;&gt;"",ISNUMBER($N27),$N27&lt;=700)</formula>
    </cfRule>
  </conditionalFormatting>
  <conditionalFormatting sqref="D27">
    <cfRule type="expression" dxfId="1392" priority="325">
      <formula>AND($N27&lt;&gt;"",ISNUMBER($N27),$N27&lt;=700)</formula>
    </cfRule>
  </conditionalFormatting>
  <conditionalFormatting sqref="D27">
    <cfRule type="expression" dxfId="1391" priority="324">
      <formula>AND($N27&lt;&gt;"",ISNUMBER($N27),$N27&lt;=700)</formula>
    </cfRule>
  </conditionalFormatting>
  <conditionalFormatting sqref="D27">
    <cfRule type="expression" dxfId="1390" priority="323">
      <formula>AND($N27&lt;&gt;"",ISNUMBER($N27),$N27&lt;=700)</formula>
    </cfRule>
  </conditionalFormatting>
  <conditionalFormatting sqref="D27">
    <cfRule type="expression" dxfId="1389" priority="322">
      <formula>AND($N27&lt;&gt;"",ISNUMBER($N27),$N27&lt;=700)</formula>
    </cfRule>
  </conditionalFormatting>
  <conditionalFormatting sqref="D27">
    <cfRule type="expression" dxfId="1388" priority="321">
      <formula>AND($N27&lt;&gt;"",ISNUMBER($N27),$N27&lt;=700)</formula>
    </cfRule>
  </conditionalFormatting>
  <conditionalFormatting sqref="D27">
    <cfRule type="expression" dxfId="1387" priority="320">
      <formula>AND($N27&lt;&gt;"",ISNUMBER($N27),$N27&lt;=700)</formula>
    </cfRule>
  </conditionalFormatting>
  <conditionalFormatting sqref="D27">
    <cfRule type="expression" dxfId="1386" priority="319">
      <formula>AND($N27&lt;&gt;"",ISNUMBER($N27),$N27&lt;=700)</formula>
    </cfRule>
  </conditionalFormatting>
  <conditionalFormatting sqref="D27">
    <cfRule type="expression" dxfId="1385" priority="318">
      <formula>AND($N27&lt;&gt;"",ISNUMBER($N27),$N27&lt;=700)</formula>
    </cfRule>
  </conditionalFormatting>
  <conditionalFormatting sqref="D27">
    <cfRule type="expression" dxfId="1384" priority="317">
      <formula>AND($N27&lt;&gt;"",ISNUMBER($N27),$N27&lt;=700)</formula>
    </cfRule>
  </conditionalFormatting>
  <conditionalFormatting sqref="D27">
    <cfRule type="expression" dxfId="1383" priority="316">
      <formula>AND($N27&lt;&gt;"",ISNUMBER($N27),$N27&lt;=700)</formula>
    </cfRule>
  </conditionalFormatting>
  <conditionalFormatting sqref="D27">
    <cfRule type="expression" dxfId="1382" priority="315">
      <formula>AND($N27&lt;&gt;"",ISNUMBER($N27),$N27&lt;=700)</formula>
    </cfRule>
  </conditionalFormatting>
  <conditionalFormatting sqref="D27">
    <cfRule type="expression" dxfId="1381" priority="314">
      <formula>AND($N27&lt;&gt;"",ISNUMBER($N27),$N27&lt;=700)</formula>
    </cfRule>
  </conditionalFormatting>
  <conditionalFormatting sqref="D27">
    <cfRule type="expression" dxfId="1380" priority="313">
      <formula>AND($N27&lt;&gt;"",ISNUMBER($N27),$N27&lt;=700)</formula>
    </cfRule>
  </conditionalFormatting>
  <conditionalFormatting sqref="D27">
    <cfRule type="expression" dxfId="1379" priority="312">
      <formula>AND($N27&lt;&gt;"",ISNUMBER($N27),$N27&lt;=700)</formula>
    </cfRule>
  </conditionalFormatting>
  <conditionalFormatting sqref="D27">
    <cfRule type="expression" dxfId="1378" priority="311">
      <formula>AND($N27&lt;&gt;"",ISNUMBER($N27),$N27&lt;=700)</formula>
    </cfRule>
  </conditionalFormatting>
  <conditionalFormatting sqref="D27">
    <cfRule type="expression" dxfId="1377" priority="310">
      <formula>AND($N27&lt;&gt;"",ISNUMBER($N27),$N27&lt;=700)</formula>
    </cfRule>
  </conditionalFormatting>
  <conditionalFormatting sqref="D27">
    <cfRule type="expression" dxfId="1376" priority="309">
      <formula>AND($N27&lt;&gt;"",ISNUMBER($N27),$N27&lt;=700)</formula>
    </cfRule>
  </conditionalFormatting>
  <conditionalFormatting sqref="D27">
    <cfRule type="expression" dxfId="1375" priority="308">
      <formula>AND($N27&lt;&gt;"",ISNUMBER($N27),$N27&lt;=700)</formula>
    </cfRule>
  </conditionalFormatting>
  <conditionalFormatting sqref="D27">
    <cfRule type="expression" dxfId="1374" priority="307">
      <formula>AND($N27&lt;&gt;"",ISNUMBER($N27),$N27&lt;=700)</formula>
    </cfRule>
  </conditionalFormatting>
  <conditionalFormatting sqref="D27">
    <cfRule type="expression" dxfId="1373" priority="306">
      <formula>AND($N27&lt;&gt;"",ISNUMBER($N27),$N27&lt;=700)</formula>
    </cfRule>
  </conditionalFormatting>
  <conditionalFormatting sqref="D27">
    <cfRule type="expression" dxfId="1372" priority="305">
      <formula>AND($N27&lt;&gt;"",ISNUMBER($N27),$N27&lt;=700)</formula>
    </cfRule>
  </conditionalFormatting>
  <conditionalFormatting sqref="D27">
    <cfRule type="expression" dxfId="1371" priority="304">
      <formula>AND($N27&lt;&gt;"",ISNUMBER($N27),$N27&lt;=700)</formula>
    </cfRule>
  </conditionalFormatting>
  <conditionalFormatting sqref="D27">
    <cfRule type="expression" dxfId="1370" priority="303">
      <formula>AND($N27&lt;&gt;"",ISNUMBER($N27),$N27&lt;=700)</formula>
    </cfRule>
  </conditionalFormatting>
  <conditionalFormatting sqref="D27">
    <cfRule type="expression" dxfId="1369" priority="302">
      <formula>AND($N27&lt;&gt;"",ISNUMBER($N27),$N27&lt;=700)</formula>
    </cfRule>
  </conditionalFormatting>
  <conditionalFormatting sqref="D27">
    <cfRule type="expression" dxfId="1368" priority="301">
      <formula>AND($N27&lt;&gt;"",ISNUMBER($N27),$N27&lt;=700)</formula>
    </cfRule>
  </conditionalFormatting>
  <conditionalFormatting sqref="D27">
    <cfRule type="expression" dxfId="1367" priority="300">
      <formula>AND($N27&lt;&gt;"",ISNUMBER($N27),$N27&lt;=700)</formula>
    </cfRule>
  </conditionalFormatting>
  <conditionalFormatting sqref="D27">
    <cfRule type="expression" dxfId="1366" priority="299">
      <formula>AND($N27&lt;&gt;"",ISNUMBER($N27),$N27&lt;=700)</formula>
    </cfRule>
  </conditionalFormatting>
  <conditionalFormatting sqref="D27">
    <cfRule type="expression" dxfId="1365" priority="298">
      <formula>AND($N27&lt;&gt;"",ISNUMBER($N27),$N27&lt;=700)</formula>
    </cfRule>
  </conditionalFormatting>
  <conditionalFormatting sqref="D27">
    <cfRule type="expression" dxfId="1364" priority="297">
      <formula>AND($N27&lt;&gt;"",ISNUMBER($N27),$N27&lt;=700)</formula>
    </cfRule>
  </conditionalFormatting>
  <conditionalFormatting sqref="D27">
    <cfRule type="expression" dxfId="1363" priority="296">
      <formula>AND($N27&lt;&gt;"",ISNUMBER($N27),$N27&lt;=700)</formula>
    </cfRule>
  </conditionalFormatting>
  <conditionalFormatting sqref="D27">
    <cfRule type="expression" dxfId="1362" priority="295">
      <formula>AND($N27&lt;&gt;"",ISNUMBER($N27),$N27&lt;=700)</formula>
    </cfRule>
  </conditionalFormatting>
  <conditionalFormatting sqref="D27">
    <cfRule type="expression" dxfId="1361" priority="294">
      <formula>AND($N27&lt;&gt;"",ISNUMBER($N27),$N27&lt;=700)</formula>
    </cfRule>
  </conditionalFormatting>
  <conditionalFormatting sqref="D27">
    <cfRule type="expression" dxfId="1360" priority="293">
      <formula>AND($N27&lt;&gt;"",ISNUMBER($N27),$N27&lt;=700)</formula>
    </cfRule>
  </conditionalFormatting>
  <conditionalFormatting sqref="D27">
    <cfRule type="expression" dxfId="1359" priority="292">
      <formula>AND($N27&lt;&gt;"",ISNUMBER($N27),$N27&lt;=700)</formula>
    </cfRule>
  </conditionalFormatting>
  <conditionalFormatting sqref="D27">
    <cfRule type="expression" dxfId="1358" priority="291">
      <formula>AND($N27&lt;&gt;"",ISNUMBER($N27),$N27&lt;=700)</formula>
    </cfRule>
  </conditionalFormatting>
  <conditionalFormatting sqref="D27">
    <cfRule type="expression" dxfId="1357" priority="290">
      <formula>AND($N27&lt;&gt;"",ISNUMBER($N27),$N27&lt;=700)</formula>
    </cfRule>
  </conditionalFormatting>
  <conditionalFormatting sqref="D27">
    <cfRule type="expression" dxfId="1356" priority="289">
      <formula>AND($N27&lt;&gt;"",ISNUMBER($N27),$N27&lt;=700)</formula>
    </cfRule>
  </conditionalFormatting>
  <conditionalFormatting sqref="D27">
    <cfRule type="expression" dxfId="1355" priority="288">
      <formula>AND($N27&lt;&gt;"",ISNUMBER($N27),$N27&lt;=700)</formula>
    </cfRule>
  </conditionalFormatting>
  <conditionalFormatting sqref="D27">
    <cfRule type="expression" dxfId="1354" priority="287">
      <formula>AND($N27&lt;&gt;"",ISNUMBER($N27),$N27&lt;=700)</formula>
    </cfRule>
  </conditionalFormatting>
  <conditionalFormatting sqref="D27">
    <cfRule type="expression" dxfId="1353" priority="286">
      <formula>AND($N27&lt;&gt;"",ISNUMBER($N27),$N27&lt;=700)</formula>
    </cfRule>
  </conditionalFormatting>
  <conditionalFormatting sqref="D27">
    <cfRule type="expression" dxfId="1352" priority="285">
      <formula>AND($N27&lt;&gt;"",ISNUMBER($N27),$N27&lt;=700)</formula>
    </cfRule>
  </conditionalFormatting>
  <conditionalFormatting sqref="D27">
    <cfRule type="expression" dxfId="1351" priority="284">
      <formula>AND($N27&lt;&gt;"",ISNUMBER($N27),$N27&lt;=700)</formula>
    </cfRule>
  </conditionalFormatting>
  <conditionalFormatting sqref="D27">
    <cfRule type="expression" dxfId="1350" priority="283">
      <formula>AND($N27&lt;&gt;"",ISNUMBER($N27),$N27&lt;=700)</formula>
    </cfRule>
  </conditionalFormatting>
  <conditionalFormatting sqref="D27">
    <cfRule type="expression" dxfId="1349" priority="282">
      <formula>AND($N27&lt;&gt;"",ISNUMBER($N27),$N27&lt;=700)</formula>
    </cfRule>
  </conditionalFormatting>
  <conditionalFormatting sqref="D27">
    <cfRule type="expression" dxfId="1348" priority="281">
      <formula>AND($N27&lt;&gt;"",ISNUMBER($N27),$N27&lt;=700)</formula>
    </cfRule>
  </conditionalFormatting>
  <conditionalFormatting sqref="D27">
    <cfRule type="expression" dxfId="1347" priority="280">
      <formula>AND($N27&lt;&gt;"",ISNUMBER($N27),$N27&lt;=700)</formula>
    </cfRule>
  </conditionalFormatting>
  <conditionalFormatting sqref="D27">
    <cfRule type="expression" dxfId="1346" priority="279">
      <formula>AND($N27&lt;&gt;"",ISNUMBER($N27),$N27&lt;=700)</formula>
    </cfRule>
  </conditionalFormatting>
  <conditionalFormatting sqref="D27">
    <cfRule type="expression" dxfId="1345" priority="278">
      <formula>AND($N27&lt;&gt;"",ISNUMBER($N27),$N27&lt;=700)</formula>
    </cfRule>
  </conditionalFormatting>
  <conditionalFormatting sqref="D27">
    <cfRule type="expression" dxfId="1344" priority="277">
      <formula>AND($N27&lt;&gt;"",ISNUMBER($N27),$N27&lt;=700)</formula>
    </cfRule>
  </conditionalFormatting>
  <conditionalFormatting sqref="D27">
    <cfRule type="expression" dxfId="1343" priority="276">
      <formula>AND($N27&lt;&gt;"",ISNUMBER($N27),$N27&lt;=700)</formula>
    </cfRule>
  </conditionalFormatting>
  <conditionalFormatting sqref="D27">
    <cfRule type="expression" dxfId="1342" priority="275">
      <formula>AND($N27&lt;&gt;"",ISNUMBER($N27),$N27&lt;=700)</formula>
    </cfRule>
  </conditionalFormatting>
  <conditionalFormatting sqref="D27">
    <cfRule type="expression" dxfId="1341" priority="274">
      <formula>AND($N27&lt;&gt;"",ISNUMBER($N27),$N27&lt;=700)</formula>
    </cfRule>
  </conditionalFormatting>
  <conditionalFormatting sqref="D27">
    <cfRule type="expression" dxfId="1340" priority="273">
      <formula>AND($N27&lt;&gt;"",ISNUMBER($N27),$N27&lt;=700)</formula>
    </cfRule>
  </conditionalFormatting>
  <conditionalFormatting sqref="D27">
    <cfRule type="expression" dxfId="1339" priority="272">
      <formula>AND($N27&lt;&gt;"",ISNUMBER($N27),$N27&lt;=700)</formula>
    </cfRule>
  </conditionalFormatting>
  <conditionalFormatting sqref="D27">
    <cfRule type="expression" dxfId="1338" priority="271">
      <formula>AND($N27&lt;&gt;"",ISNUMBER($N27),$N27&lt;=700)</formula>
    </cfRule>
  </conditionalFormatting>
  <conditionalFormatting sqref="D27">
    <cfRule type="expression" dxfId="1337" priority="270">
      <formula>AND($N27&lt;&gt;"",ISNUMBER($N27),$N27&lt;=700)</formula>
    </cfRule>
  </conditionalFormatting>
  <conditionalFormatting sqref="D28">
    <cfRule type="expression" dxfId="1336" priority="269">
      <formula>AND($N28&lt;&gt;"",ISNUMBER($N28),$N28&lt;=700)</formula>
    </cfRule>
  </conditionalFormatting>
  <conditionalFormatting sqref="D28">
    <cfRule type="expression" dxfId="1335" priority="268">
      <formula>AND($N28&lt;&gt;"",ISNUMBER($N28),$N28&lt;=700)</formula>
    </cfRule>
  </conditionalFormatting>
  <conditionalFormatting sqref="D29">
    <cfRule type="expression" dxfId="1334" priority="267">
      <formula>AND($N29&lt;&gt;"",ISNUMBER($N29),$N29&lt;=700)</formula>
    </cfRule>
  </conditionalFormatting>
  <conditionalFormatting sqref="D29">
    <cfRule type="expression" dxfId="1333" priority="266">
      <formula>AND($N29&lt;&gt;"",ISNUMBER($N29),$N29&lt;=700)</formula>
    </cfRule>
  </conditionalFormatting>
  <conditionalFormatting sqref="D28">
    <cfRule type="expression" dxfId="1332" priority="265">
      <formula>AND($N28&lt;&gt;"",ISNUMBER($N28),$N28&lt;=700)</formula>
    </cfRule>
  </conditionalFormatting>
  <conditionalFormatting sqref="D28">
    <cfRule type="expression" dxfId="1331" priority="264">
      <formula>AND($N28&lt;&gt;"",ISNUMBER($N28),$N28&lt;=700)</formula>
    </cfRule>
  </conditionalFormatting>
  <conditionalFormatting sqref="D28">
    <cfRule type="expression" dxfId="1330" priority="263">
      <formula>AND($N28&lt;&gt;"",ISNUMBER($N28),$N28&lt;=700)</formula>
    </cfRule>
  </conditionalFormatting>
  <conditionalFormatting sqref="D28">
    <cfRule type="expression" dxfId="1329" priority="262">
      <formula>AND($N28&lt;&gt;"",ISNUMBER($N28),$N28&lt;=700)</formula>
    </cfRule>
  </conditionalFormatting>
  <conditionalFormatting sqref="D28">
    <cfRule type="expression" dxfId="1328" priority="261">
      <formula>AND($N28&lt;&gt;"",ISNUMBER($N28),$N28&lt;=700)</formula>
    </cfRule>
  </conditionalFormatting>
  <conditionalFormatting sqref="D27">
    <cfRule type="expression" dxfId="1327" priority="260">
      <formula>AND($N27&lt;&gt;"",ISNUMBER($N27),$N27&lt;=700)</formula>
    </cfRule>
  </conditionalFormatting>
  <conditionalFormatting sqref="D28">
    <cfRule type="expression" dxfId="1326" priority="259">
      <formula>AND($N28&lt;&gt;"",ISNUMBER($N28),$N28&lt;=700)</formula>
    </cfRule>
  </conditionalFormatting>
  <conditionalFormatting sqref="D28">
    <cfRule type="expression" dxfId="1325" priority="258">
      <formula>AND($N28&lt;&gt;"",ISNUMBER($N28),$N28&lt;=700)</formula>
    </cfRule>
  </conditionalFormatting>
  <conditionalFormatting sqref="D28">
    <cfRule type="expression" dxfId="1324" priority="257">
      <formula>AND($N28&lt;&gt;"",ISNUMBER($N28),$N28&lt;=700)</formula>
    </cfRule>
  </conditionalFormatting>
  <conditionalFormatting sqref="D28">
    <cfRule type="expression" dxfId="1323" priority="256">
      <formula>AND($N28&lt;&gt;"",ISNUMBER($N28),$N28&lt;=700)</formula>
    </cfRule>
  </conditionalFormatting>
  <conditionalFormatting sqref="D28">
    <cfRule type="expression" dxfId="1322" priority="255">
      <formula>AND($N28&lt;&gt;"",ISNUMBER($N28),$N28&lt;=700)</formula>
    </cfRule>
  </conditionalFormatting>
  <conditionalFormatting sqref="D28">
    <cfRule type="expression" dxfId="1321" priority="254">
      <formula>AND($N28&lt;&gt;"",ISNUMBER($N28),$N28&lt;=700)</formula>
    </cfRule>
  </conditionalFormatting>
  <conditionalFormatting sqref="D28">
    <cfRule type="expression" dxfId="1320" priority="253">
      <formula>AND($N28&lt;&gt;"",ISNUMBER($N28),$N28&lt;=700)</formula>
    </cfRule>
  </conditionalFormatting>
  <conditionalFormatting sqref="D28">
    <cfRule type="expression" dxfId="1319" priority="252">
      <formula>AND($N28&lt;&gt;"",ISNUMBER($N28),$N28&lt;=700)</formula>
    </cfRule>
  </conditionalFormatting>
  <conditionalFormatting sqref="D28">
    <cfRule type="expression" dxfId="1318" priority="251">
      <formula>AND($N28&lt;&gt;"",ISNUMBER($N28),$N28&lt;=700)</formula>
    </cfRule>
  </conditionalFormatting>
  <conditionalFormatting sqref="D28">
    <cfRule type="expression" dxfId="1317" priority="250">
      <formula>AND($N28&lt;&gt;"",ISNUMBER($N28),$N28&lt;=700)</formula>
    </cfRule>
  </conditionalFormatting>
  <conditionalFormatting sqref="D28">
    <cfRule type="expression" dxfId="1316" priority="249">
      <formula>AND($N28&lt;&gt;"",ISNUMBER($N28),$N28&lt;=700)</formula>
    </cfRule>
  </conditionalFormatting>
  <conditionalFormatting sqref="D28">
    <cfRule type="expression" dxfId="1315" priority="248">
      <formula>AND($N28&lt;&gt;"",ISNUMBER($N28),$N28&lt;=700)</formula>
    </cfRule>
  </conditionalFormatting>
  <conditionalFormatting sqref="D28">
    <cfRule type="expression" dxfId="1314" priority="247">
      <formula>AND($N28&lt;&gt;"",ISNUMBER($N28),$N28&lt;=700)</formula>
    </cfRule>
  </conditionalFormatting>
  <conditionalFormatting sqref="D28">
    <cfRule type="expression" dxfId="1313" priority="246">
      <formula>AND($N28&lt;&gt;"",ISNUMBER($N28),$N28&lt;=700)</formula>
    </cfRule>
  </conditionalFormatting>
  <conditionalFormatting sqref="D28">
    <cfRule type="expression" dxfId="1312" priority="245">
      <formula>AND($N28&lt;&gt;"",ISNUMBER($N28),$N28&lt;=700)</formula>
    </cfRule>
  </conditionalFormatting>
  <conditionalFormatting sqref="D28">
    <cfRule type="expression" dxfId="1311" priority="244">
      <formula>AND($N28&lt;&gt;"",ISNUMBER($N28),$N28&lt;=700)</formula>
    </cfRule>
  </conditionalFormatting>
  <conditionalFormatting sqref="D28">
    <cfRule type="expression" dxfId="1310" priority="243">
      <formula>AND($N28&lt;&gt;"",ISNUMBER($N28),$N28&lt;=700)</formula>
    </cfRule>
  </conditionalFormatting>
  <conditionalFormatting sqref="D28">
    <cfRule type="expression" dxfId="1309" priority="242">
      <formula>AND($N28&lt;&gt;"",ISNUMBER($N28),$N28&lt;=700)</formula>
    </cfRule>
  </conditionalFormatting>
  <conditionalFormatting sqref="D28">
    <cfRule type="expression" dxfId="1308" priority="241">
      <formula>AND($N28&lt;&gt;"",ISNUMBER($N28),$N28&lt;=700)</formula>
    </cfRule>
  </conditionalFormatting>
  <conditionalFormatting sqref="D28">
    <cfRule type="expression" dxfId="1307" priority="240">
      <formula>AND($N28&lt;&gt;"",ISNUMBER($N28),$N28&lt;=700)</formula>
    </cfRule>
  </conditionalFormatting>
  <conditionalFormatting sqref="D28">
    <cfRule type="expression" dxfId="1306" priority="239">
      <formula>AND($N28&lt;&gt;"",ISNUMBER($N28),$N28&lt;=700)</formula>
    </cfRule>
  </conditionalFormatting>
  <conditionalFormatting sqref="D28">
    <cfRule type="expression" dxfId="1305" priority="238">
      <formula>AND($N28&lt;&gt;"",ISNUMBER($N28),$N28&lt;=700)</formula>
    </cfRule>
  </conditionalFormatting>
  <conditionalFormatting sqref="D28">
    <cfRule type="expression" dxfId="1304" priority="237">
      <formula>AND($N28&lt;&gt;"",ISNUMBER($N28),$N28&lt;=700)</formula>
    </cfRule>
  </conditionalFormatting>
  <conditionalFormatting sqref="D28">
    <cfRule type="expression" dxfId="1303" priority="236">
      <formula>AND($N28&lt;&gt;"",ISNUMBER($N28),$N28&lt;=700)</formula>
    </cfRule>
  </conditionalFormatting>
  <conditionalFormatting sqref="D28">
    <cfRule type="expression" dxfId="1302" priority="235">
      <formula>AND($N28&lt;&gt;"",ISNUMBER($N28),$N28&lt;=700)</formula>
    </cfRule>
  </conditionalFormatting>
  <conditionalFormatting sqref="D28">
    <cfRule type="expression" dxfId="1301" priority="234">
      <formula>AND($N28&lt;&gt;"",ISNUMBER($N28),$N28&lt;=700)</formula>
    </cfRule>
  </conditionalFormatting>
  <conditionalFormatting sqref="D28">
    <cfRule type="expression" dxfId="1300" priority="233">
      <formula>AND($N28&lt;&gt;"",ISNUMBER($N28),$N28&lt;=700)</formula>
    </cfRule>
  </conditionalFormatting>
  <conditionalFormatting sqref="D28">
    <cfRule type="expression" dxfId="1299" priority="232">
      <formula>AND($N28&lt;&gt;"",ISNUMBER($N28),$N28&lt;=700)</formula>
    </cfRule>
  </conditionalFormatting>
  <conditionalFormatting sqref="D28">
    <cfRule type="expression" dxfId="1298" priority="231">
      <formula>AND($N28&lt;&gt;"",ISNUMBER($N28),$N28&lt;=700)</formula>
    </cfRule>
  </conditionalFormatting>
  <conditionalFormatting sqref="D28">
    <cfRule type="expression" dxfId="1297" priority="230">
      <formula>AND($N28&lt;&gt;"",ISNUMBER($N28),$N28&lt;=700)</formula>
    </cfRule>
  </conditionalFormatting>
  <conditionalFormatting sqref="D28">
    <cfRule type="expression" dxfId="1296" priority="229">
      <formula>AND($N28&lt;&gt;"",ISNUMBER($N28),$N28&lt;=700)</formula>
    </cfRule>
  </conditionalFormatting>
  <conditionalFormatting sqref="D28">
    <cfRule type="expression" dxfId="1295" priority="228">
      <formula>AND($N28&lt;&gt;"",ISNUMBER($N28),$N28&lt;=700)</formula>
    </cfRule>
  </conditionalFormatting>
  <conditionalFormatting sqref="D28">
    <cfRule type="expression" dxfId="1294" priority="227">
      <formula>AND($N28&lt;&gt;"",ISNUMBER($N28),$N28&lt;=700)</formula>
    </cfRule>
  </conditionalFormatting>
  <conditionalFormatting sqref="D28">
    <cfRule type="expression" dxfId="1293" priority="226">
      <formula>AND($N28&lt;&gt;"",ISNUMBER($N28),$N28&lt;=700)</formula>
    </cfRule>
  </conditionalFormatting>
  <conditionalFormatting sqref="D28">
    <cfRule type="expression" dxfId="1292" priority="225">
      <formula>AND($N28&lt;&gt;"",ISNUMBER($N28),$N28&lt;=700)</formula>
    </cfRule>
  </conditionalFormatting>
  <conditionalFormatting sqref="D28">
    <cfRule type="expression" dxfId="1291" priority="224">
      <formula>AND($N28&lt;&gt;"",ISNUMBER($N28),$N28&lt;=700)</formula>
    </cfRule>
  </conditionalFormatting>
  <conditionalFormatting sqref="D28">
    <cfRule type="expression" dxfId="1290" priority="223">
      <formula>AND($N28&lt;&gt;"",ISNUMBER($N28),$N28&lt;=700)</formula>
    </cfRule>
  </conditionalFormatting>
  <conditionalFormatting sqref="D28">
    <cfRule type="expression" dxfId="1289" priority="222">
      <formula>AND($N28&lt;&gt;"",ISNUMBER($N28),$N28&lt;=700)</formula>
    </cfRule>
  </conditionalFormatting>
  <conditionalFormatting sqref="D28">
    <cfRule type="expression" dxfId="1288" priority="221">
      <formula>AND($N28&lt;&gt;"",ISNUMBER($N28),$N28&lt;=700)</formula>
    </cfRule>
  </conditionalFormatting>
  <conditionalFormatting sqref="D28">
    <cfRule type="expression" dxfId="1287" priority="220">
      <formula>AND($N28&lt;&gt;"",ISNUMBER($N28),$N28&lt;=700)</formula>
    </cfRule>
  </conditionalFormatting>
  <conditionalFormatting sqref="D28">
    <cfRule type="expression" dxfId="1286" priority="219">
      <formula>AND($N28&lt;&gt;"",ISNUMBER($N28),$N28&lt;=700)</formula>
    </cfRule>
  </conditionalFormatting>
  <conditionalFormatting sqref="D28">
    <cfRule type="expression" dxfId="1285" priority="218">
      <formula>AND($N28&lt;&gt;"",ISNUMBER($N28),$N28&lt;=700)</formula>
    </cfRule>
  </conditionalFormatting>
  <conditionalFormatting sqref="D28">
    <cfRule type="expression" dxfId="1284" priority="217">
      <formula>AND($N28&lt;&gt;"",ISNUMBER($N28),$N28&lt;=700)</formula>
    </cfRule>
  </conditionalFormatting>
  <conditionalFormatting sqref="D28">
    <cfRule type="expression" dxfId="1283" priority="216">
      <formula>AND($N28&lt;&gt;"",ISNUMBER($N28),$N28&lt;=700)</formula>
    </cfRule>
  </conditionalFormatting>
  <conditionalFormatting sqref="D28">
    <cfRule type="expression" dxfId="1282" priority="215">
      <formula>AND($N28&lt;&gt;"",ISNUMBER($N28),$N28&lt;=700)</formula>
    </cfRule>
  </conditionalFormatting>
  <conditionalFormatting sqref="D28">
    <cfRule type="expression" dxfId="1281" priority="214">
      <formula>AND($N28&lt;&gt;"",ISNUMBER($N28),$N28&lt;=700)</formula>
    </cfRule>
  </conditionalFormatting>
  <conditionalFormatting sqref="D28">
    <cfRule type="expression" dxfId="1280" priority="213">
      <formula>AND($N28&lt;&gt;"",ISNUMBER($N28),$N28&lt;=700)</formula>
    </cfRule>
  </conditionalFormatting>
  <conditionalFormatting sqref="D28">
    <cfRule type="expression" dxfId="1279" priority="212">
      <formula>AND($N28&lt;&gt;"",ISNUMBER($N28),$N28&lt;=700)</formula>
    </cfRule>
  </conditionalFormatting>
  <conditionalFormatting sqref="D28">
    <cfRule type="expression" dxfId="1278" priority="211">
      <formula>AND($N28&lt;&gt;"",ISNUMBER($N28),$N28&lt;=700)</formula>
    </cfRule>
  </conditionalFormatting>
  <conditionalFormatting sqref="D28">
    <cfRule type="expression" dxfId="1277" priority="210">
      <formula>AND($N28&lt;&gt;"",ISNUMBER($N28),$N28&lt;=700)</formula>
    </cfRule>
  </conditionalFormatting>
  <conditionalFormatting sqref="D28">
    <cfRule type="expression" dxfId="1276" priority="209">
      <formula>AND($N28&lt;&gt;"",ISNUMBER($N28),$N28&lt;=700)</formula>
    </cfRule>
  </conditionalFormatting>
  <conditionalFormatting sqref="D28">
    <cfRule type="expression" dxfId="1275" priority="208">
      <formula>AND($N28&lt;&gt;"",ISNUMBER($N28),$N28&lt;=700)</formula>
    </cfRule>
  </conditionalFormatting>
  <conditionalFormatting sqref="D28">
    <cfRule type="expression" dxfId="1274" priority="207">
      <formula>AND($N28&lt;&gt;"",ISNUMBER($N28),$N28&lt;=700)</formula>
    </cfRule>
  </conditionalFormatting>
  <conditionalFormatting sqref="D28">
    <cfRule type="expression" dxfId="1273" priority="206">
      <formula>AND($N28&lt;&gt;"",ISNUMBER($N28),$N28&lt;=700)</formula>
    </cfRule>
  </conditionalFormatting>
  <conditionalFormatting sqref="D28">
    <cfRule type="expression" dxfId="1272" priority="205">
      <formula>AND($N28&lt;&gt;"",ISNUMBER($N28),$N28&lt;=700)</formula>
    </cfRule>
  </conditionalFormatting>
  <conditionalFormatting sqref="D28">
    <cfRule type="expression" dxfId="1271" priority="204">
      <formula>AND($N28&lt;&gt;"",ISNUMBER($N28),$N28&lt;=700)</formula>
    </cfRule>
  </conditionalFormatting>
  <conditionalFormatting sqref="D28">
    <cfRule type="expression" dxfId="1270" priority="203">
      <formula>AND($N28&lt;&gt;"",ISNUMBER($N28),$N28&lt;=700)</formula>
    </cfRule>
  </conditionalFormatting>
  <conditionalFormatting sqref="D28">
    <cfRule type="expression" dxfId="1269" priority="202">
      <formula>AND($N28&lt;&gt;"",ISNUMBER($N28),$N28&lt;=700)</formula>
    </cfRule>
  </conditionalFormatting>
  <conditionalFormatting sqref="D28">
    <cfRule type="expression" dxfId="1268" priority="201">
      <formula>AND($N28&lt;&gt;"",ISNUMBER($N28),$N28&lt;=700)</formula>
    </cfRule>
  </conditionalFormatting>
  <conditionalFormatting sqref="D28">
    <cfRule type="expression" dxfId="1267" priority="200">
      <formula>AND($N28&lt;&gt;"",ISNUMBER($N28),$N28&lt;=700)</formula>
    </cfRule>
  </conditionalFormatting>
  <conditionalFormatting sqref="D28">
    <cfRule type="expression" dxfId="1266" priority="199">
      <formula>AND($N28&lt;&gt;"",ISNUMBER($N28),$N28&lt;=700)</formula>
    </cfRule>
  </conditionalFormatting>
  <conditionalFormatting sqref="D28">
    <cfRule type="expression" dxfId="1265" priority="198">
      <formula>AND($N28&lt;&gt;"",ISNUMBER($N28),$N28&lt;=700)</formula>
    </cfRule>
  </conditionalFormatting>
  <conditionalFormatting sqref="D28">
    <cfRule type="expression" dxfId="1264" priority="197">
      <formula>AND($N28&lt;&gt;"",ISNUMBER($N28),$N28&lt;=700)</formula>
    </cfRule>
  </conditionalFormatting>
  <conditionalFormatting sqref="D28">
    <cfRule type="expression" dxfId="1263" priority="196">
      <formula>AND($N28&lt;&gt;"",ISNUMBER($N28),$N28&lt;=700)</formula>
    </cfRule>
  </conditionalFormatting>
  <conditionalFormatting sqref="D28">
    <cfRule type="expression" dxfId="1262" priority="195">
      <formula>AND($N28&lt;&gt;"",ISNUMBER($N28),$N28&lt;=700)</formula>
    </cfRule>
  </conditionalFormatting>
  <conditionalFormatting sqref="D28">
    <cfRule type="expression" dxfId="1261" priority="194">
      <formula>AND($N28&lt;&gt;"",ISNUMBER($N28),$N28&lt;=700)</formula>
    </cfRule>
  </conditionalFormatting>
  <conditionalFormatting sqref="D28">
    <cfRule type="expression" dxfId="1260" priority="193">
      <formula>AND($N28&lt;&gt;"",ISNUMBER($N28),$N28&lt;=700)</formula>
    </cfRule>
  </conditionalFormatting>
  <conditionalFormatting sqref="D28">
    <cfRule type="expression" dxfId="1259" priority="192">
      <formula>AND($N28&lt;&gt;"",ISNUMBER($N28),$N28&lt;=700)</formula>
    </cfRule>
  </conditionalFormatting>
  <conditionalFormatting sqref="D28">
    <cfRule type="expression" dxfId="1258" priority="191">
      <formula>AND($N28&lt;&gt;"",ISNUMBER($N28),$N28&lt;=700)</formula>
    </cfRule>
  </conditionalFormatting>
  <conditionalFormatting sqref="D28">
    <cfRule type="expression" dxfId="1257" priority="190">
      <formula>AND($N28&lt;&gt;"",ISNUMBER($N28),$N28&lt;=700)</formula>
    </cfRule>
  </conditionalFormatting>
  <conditionalFormatting sqref="D28">
    <cfRule type="expression" dxfId="1256" priority="189">
      <formula>AND($N28&lt;&gt;"",ISNUMBER($N28),$N28&lt;=700)</formula>
    </cfRule>
  </conditionalFormatting>
  <conditionalFormatting sqref="D28">
    <cfRule type="expression" dxfId="1255" priority="188">
      <formula>AND($N28&lt;&gt;"",ISNUMBER($N28),$N28&lt;=700)</formula>
    </cfRule>
  </conditionalFormatting>
  <conditionalFormatting sqref="D28">
    <cfRule type="expression" dxfId="1254" priority="187">
      <formula>AND($N28&lt;&gt;"",ISNUMBER($N28),$N28&lt;=700)</formula>
    </cfRule>
  </conditionalFormatting>
  <conditionalFormatting sqref="D28">
    <cfRule type="expression" dxfId="1253" priority="186">
      <formula>AND($N28&lt;&gt;"",ISNUMBER($N28),$N28&lt;=700)</formula>
    </cfRule>
  </conditionalFormatting>
  <conditionalFormatting sqref="D28">
    <cfRule type="expression" dxfId="1252" priority="185">
      <formula>AND($N28&lt;&gt;"",ISNUMBER($N28),$N28&lt;=700)</formula>
    </cfRule>
  </conditionalFormatting>
  <conditionalFormatting sqref="D28">
    <cfRule type="expression" dxfId="1251" priority="184">
      <formula>AND($N28&lt;&gt;"",ISNUMBER($N28),$N28&lt;=700)</formula>
    </cfRule>
  </conditionalFormatting>
  <conditionalFormatting sqref="D28">
    <cfRule type="expression" dxfId="1250" priority="183">
      <formula>AND($N28&lt;&gt;"",ISNUMBER($N28),$N28&lt;=700)</formula>
    </cfRule>
  </conditionalFormatting>
  <conditionalFormatting sqref="D28">
    <cfRule type="expression" dxfId="1249" priority="182">
      <formula>AND($N28&lt;&gt;"",ISNUMBER($N28),$N28&lt;=700)</formula>
    </cfRule>
  </conditionalFormatting>
  <conditionalFormatting sqref="D28">
    <cfRule type="expression" dxfId="1248" priority="181">
      <formula>AND($N28&lt;&gt;"",ISNUMBER($N28),$N28&lt;=700)</formula>
    </cfRule>
  </conditionalFormatting>
  <conditionalFormatting sqref="D28">
    <cfRule type="expression" dxfId="1247" priority="180">
      <formula>AND($N28&lt;&gt;"",ISNUMBER($N28),$N28&lt;=700)</formula>
    </cfRule>
  </conditionalFormatting>
  <conditionalFormatting sqref="D28">
    <cfRule type="expression" dxfId="1246" priority="179">
      <formula>AND($N28&lt;&gt;"",ISNUMBER($N28),$N28&lt;=700)</formula>
    </cfRule>
  </conditionalFormatting>
  <conditionalFormatting sqref="D28">
    <cfRule type="expression" dxfId="1245" priority="178">
      <formula>AND($N28&lt;&gt;"",ISNUMBER($N28),$N28&lt;=700)</formula>
    </cfRule>
  </conditionalFormatting>
  <conditionalFormatting sqref="D27">
    <cfRule type="expression" dxfId="1244" priority="177">
      <formula>AND($N27&lt;&gt;"",ISNUMBER($N27),$N27&lt;=700)</formula>
    </cfRule>
  </conditionalFormatting>
  <conditionalFormatting sqref="D28">
    <cfRule type="expression" dxfId="1243" priority="176">
      <formula>AND($N28&lt;&gt;"",ISNUMBER($N28),$N28&lt;=700)</formula>
    </cfRule>
  </conditionalFormatting>
  <conditionalFormatting sqref="D27">
    <cfRule type="expression" dxfId="1242" priority="175">
      <formula>AND($N27&lt;&gt;"",ISNUMBER($N27),$N27&lt;=700)</formula>
    </cfRule>
  </conditionalFormatting>
  <conditionalFormatting sqref="D27">
    <cfRule type="expression" dxfId="1241" priority="174">
      <formula>AND($N27&lt;&gt;"",ISNUMBER($N27),$N27&lt;=700)</formula>
    </cfRule>
  </conditionalFormatting>
  <conditionalFormatting sqref="D27">
    <cfRule type="expression" dxfId="1240" priority="173">
      <formula>AND($N27&lt;&gt;"",ISNUMBER($N27),$N27&lt;=700)</formula>
    </cfRule>
  </conditionalFormatting>
  <conditionalFormatting sqref="D27">
    <cfRule type="expression" dxfId="1239" priority="172">
      <formula>AND($N27&lt;&gt;"",ISNUMBER($N27),$N27&lt;=700)</formula>
    </cfRule>
  </conditionalFormatting>
  <conditionalFormatting sqref="D27">
    <cfRule type="expression" dxfId="1238" priority="171">
      <formula>AND($N27&lt;&gt;"",ISNUMBER($N27),$N27&lt;=700)</formula>
    </cfRule>
  </conditionalFormatting>
  <conditionalFormatting sqref="D27">
    <cfRule type="expression" dxfId="1237" priority="170">
      <formula>AND($N27&lt;&gt;"",ISNUMBER($N27),$N27&lt;=700)</formula>
    </cfRule>
  </conditionalFormatting>
  <conditionalFormatting sqref="D27">
    <cfRule type="expression" dxfId="1236" priority="169">
      <formula>AND($N27&lt;&gt;"",ISNUMBER($N27),$N27&lt;=700)</formula>
    </cfRule>
  </conditionalFormatting>
  <conditionalFormatting sqref="D27">
    <cfRule type="expression" dxfId="1235" priority="168">
      <formula>AND($N27&lt;&gt;"",ISNUMBER($N27),$N27&lt;=700)</formula>
    </cfRule>
  </conditionalFormatting>
  <conditionalFormatting sqref="D27">
    <cfRule type="expression" dxfId="1234" priority="167">
      <formula>AND($N27&lt;&gt;"",ISNUMBER($N27),$N27&lt;=700)</formula>
    </cfRule>
  </conditionalFormatting>
  <conditionalFormatting sqref="D27">
    <cfRule type="expression" dxfId="1233" priority="166">
      <formula>AND($N27&lt;&gt;"",ISNUMBER($N27),$N27&lt;=700)</formula>
    </cfRule>
  </conditionalFormatting>
  <conditionalFormatting sqref="D27">
    <cfRule type="expression" dxfId="1232" priority="165">
      <formula>AND($N27&lt;&gt;"",ISNUMBER($N27),$N27&lt;=700)</formula>
    </cfRule>
  </conditionalFormatting>
  <conditionalFormatting sqref="D27">
    <cfRule type="expression" dxfId="1231" priority="164">
      <formula>AND($N27&lt;&gt;"",ISNUMBER($N27),$N27&lt;=700)</formula>
    </cfRule>
  </conditionalFormatting>
  <conditionalFormatting sqref="D27">
    <cfRule type="expression" dxfId="1230" priority="163">
      <formula>AND($N27&lt;&gt;"",ISNUMBER($N27),$N27&lt;=700)</formula>
    </cfRule>
  </conditionalFormatting>
  <conditionalFormatting sqref="D27">
    <cfRule type="expression" dxfId="1229" priority="162">
      <formula>AND($N27&lt;&gt;"",ISNUMBER($N27),$N27&lt;=700)</formula>
    </cfRule>
  </conditionalFormatting>
  <conditionalFormatting sqref="D27">
    <cfRule type="expression" dxfId="1228" priority="161">
      <formula>AND($N27&lt;&gt;"",ISNUMBER($N27),$N27&lt;=700)</formula>
    </cfRule>
  </conditionalFormatting>
  <conditionalFormatting sqref="D27">
    <cfRule type="expression" dxfId="1227" priority="160">
      <formula>AND($N27&lt;&gt;"",ISNUMBER($N27),$N27&lt;=700)</formula>
    </cfRule>
  </conditionalFormatting>
  <conditionalFormatting sqref="D27">
    <cfRule type="expression" dxfId="1226" priority="159">
      <formula>AND($N27&lt;&gt;"",ISNUMBER($N27),$N27&lt;=700)</formula>
    </cfRule>
  </conditionalFormatting>
  <conditionalFormatting sqref="D27">
    <cfRule type="expression" dxfId="1225" priority="158">
      <formula>AND($N27&lt;&gt;"",ISNUMBER($N27),$N27&lt;=700)</formula>
    </cfRule>
  </conditionalFormatting>
  <conditionalFormatting sqref="D27">
    <cfRule type="expression" dxfId="1224" priority="157">
      <formula>AND($N27&lt;&gt;"",ISNUMBER($N27),$N27&lt;=700)</formula>
    </cfRule>
  </conditionalFormatting>
  <conditionalFormatting sqref="D27">
    <cfRule type="expression" dxfId="1223" priority="156">
      <formula>AND($N27&lt;&gt;"",ISNUMBER($N27),$N27&lt;=700)</formula>
    </cfRule>
  </conditionalFormatting>
  <conditionalFormatting sqref="D27">
    <cfRule type="expression" dxfId="1222" priority="155">
      <formula>AND($N27&lt;&gt;"",ISNUMBER($N27),$N27&lt;=700)</formula>
    </cfRule>
  </conditionalFormatting>
  <conditionalFormatting sqref="D27">
    <cfRule type="expression" dxfId="1221" priority="154">
      <formula>AND($N27&lt;&gt;"",ISNUMBER($N27),$N27&lt;=700)</formula>
    </cfRule>
  </conditionalFormatting>
  <conditionalFormatting sqref="D27">
    <cfRule type="expression" dxfId="1220" priority="153">
      <formula>AND($N27&lt;&gt;"",ISNUMBER($N27),$N27&lt;=700)</formula>
    </cfRule>
  </conditionalFormatting>
  <conditionalFormatting sqref="D27">
    <cfRule type="expression" dxfId="1219" priority="152">
      <formula>AND($N27&lt;&gt;"",ISNUMBER($N27),$N27&lt;=700)</formula>
    </cfRule>
  </conditionalFormatting>
  <conditionalFormatting sqref="D27">
    <cfRule type="expression" dxfId="1218" priority="151">
      <formula>AND($N27&lt;&gt;"",ISNUMBER($N27),$N27&lt;=700)</formula>
    </cfRule>
  </conditionalFormatting>
  <conditionalFormatting sqref="D27">
    <cfRule type="expression" dxfId="1217" priority="150">
      <formula>AND($N27&lt;&gt;"",ISNUMBER($N27),$N27&lt;=700)</formula>
    </cfRule>
  </conditionalFormatting>
  <conditionalFormatting sqref="D27">
    <cfRule type="expression" dxfId="1216" priority="149">
      <formula>AND($N27&lt;&gt;"",ISNUMBER($N27),$N27&lt;=700)</formula>
    </cfRule>
  </conditionalFormatting>
  <conditionalFormatting sqref="D27">
    <cfRule type="expression" dxfId="1215" priority="148">
      <formula>AND($N27&lt;&gt;"",ISNUMBER($N27),$N27&lt;=700)</formula>
    </cfRule>
  </conditionalFormatting>
  <conditionalFormatting sqref="D27">
    <cfRule type="expression" dxfId="1214" priority="147">
      <formula>AND($N27&lt;&gt;"",ISNUMBER($N27),$N27&lt;=700)</formula>
    </cfRule>
  </conditionalFormatting>
  <conditionalFormatting sqref="D27">
    <cfRule type="expression" dxfId="1213" priority="146">
      <formula>AND($N27&lt;&gt;"",ISNUMBER($N27),$N27&lt;=700)</formula>
    </cfRule>
  </conditionalFormatting>
  <conditionalFormatting sqref="D27">
    <cfRule type="expression" dxfId="1212" priority="145">
      <formula>AND($N27&lt;&gt;"",ISNUMBER($N27),$N27&lt;=700)</formula>
    </cfRule>
  </conditionalFormatting>
  <conditionalFormatting sqref="D27">
    <cfRule type="expression" dxfId="1211" priority="144">
      <formula>AND($N27&lt;&gt;"",ISNUMBER($N27),$N27&lt;=700)</formula>
    </cfRule>
  </conditionalFormatting>
  <conditionalFormatting sqref="D27">
    <cfRule type="expression" dxfId="1210" priority="143">
      <formula>AND($N27&lt;&gt;"",ISNUMBER($N27),$N27&lt;=700)</formula>
    </cfRule>
  </conditionalFormatting>
  <conditionalFormatting sqref="D27">
    <cfRule type="expression" dxfId="1209" priority="142">
      <formula>AND($N27&lt;&gt;"",ISNUMBER($N27),$N27&lt;=700)</formula>
    </cfRule>
  </conditionalFormatting>
  <conditionalFormatting sqref="D27">
    <cfRule type="expression" dxfId="1208" priority="141">
      <formula>AND($N27&lt;&gt;"",ISNUMBER($N27),$N27&lt;=700)</formula>
    </cfRule>
  </conditionalFormatting>
  <conditionalFormatting sqref="D27">
    <cfRule type="expression" dxfId="1207" priority="140">
      <formula>AND($N27&lt;&gt;"",ISNUMBER($N27),$N27&lt;=700)</formula>
    </cfRule>
  </conditionalFormatting>
  <conditionalFormatting sqref="D27">
    <cfRule type="expression" dxfId="1206" priority="139">
      <formula>AND($N27&lt;&gt;"",ISNUMBER($N27),$N27&lt;=700)</formula>
    </cfRule>
  </conditionalFormatting>
  <conditionalFormatting sqref="D27">
    <cfRule type="expression" dxfId="1205" priority="138">
      <formula>AND($N27&lt;&gt;"",ISNUMBER($N27),$N27&lt;=700)</formula>
    </cfRule>
  </conditionalFormatting>
  <conditionalFormatting sqref="D27">
    <cfRule type="expression" dxfId="1204" priority="137">
      <formula>AND($N27&lt;&gt;"",ISNUMBER($N27),$N27&lt;=700)</formula>
    </cfRule>
  </conditionalFormatting>
  <conditionalFormatting sqref="D27">
    <cfRule type="expression" dxfId="1203" priority="136">
      <formula>AND($N27&lt;&gt;"",ISNUMBER($N27),$N27&lt;=700)</formula>
    </cfRule>
  </conditionalFormatting>
  <conditionalFormatting sqref="D27">
    <cfRule type="expression" dxfId="1202" priority="135">
      <formula>AND($N27&lt;&gt;"",ISNUMBER($N27),$N27&lt;=700)</formula>
    </cfRule>
  </conditionalFormatting>
  <conditionalFormatting sqref="D27">
    <cfRule type="expression" dxfId="1201" priority="134">
      <formula>AND($N27&lt;&gt;"",ISNUMBER($N27),$N27&lt;=700)</formula>
    </cfRule>
  </conditionalFormatting>
  <conditionalFormatting sqref="D27">
    <cfRule type="expression" dxfId="1200" priority="133">
      <formula>AND($N27&lt;&gt;"",ISNUMBER($N27),$N27&lt;=700)</formula>
    </cfRule>
  </conditionalFormatting>
  <conditionalFormatting sqref="D27">
    <cfRule type="expression" dxfId="1199" priority="132">
      <formula>AND($N27&lt;&gt;"",ISNUMBER($N27),$N27&lt;=700)</formula>
    </cfRule>
  </conditionalFormatting>
  <conditionalFormatting sqref="D27">
    <cfRule type="expression" dxfId="1198" priority="131">
      <formula>AND($N27&lt;&gt;"",ISNUMBER($N27),$N27&lt;=700)</formula>
    </cfRule>
  </conditionalFormatting>
  <conditionalFormatting sqref="D27">
    <cfRule type="expression" dxfId="1197" priority="130">
      <formula>AND($N27&lt;&gt;"",ISNUMBER($N27),$N27&lt;=700)</formula>
    </cfRule>
  </conditionalFormatting>
  <conditionalFormatting sqref="D27">
    <cfRule type="expression" dxfId="1196" priority="129">
      <formula>AND($N27&lt;&gt;"",ISNUMBER($N27),$N27&lt;=700)</formula>
    </cfRule>
  </conditionalFormatting>
  <conditionalFormatting sqref="D27">
    <cfRule type="expression" dxfId="1195" priority="128">
      <formula>AND($N27&lt;&gt;"",ISNUMBER($N27),$N27&lt;=700)</formula>
    </cfRule>
  </conditionalFormatting>
  <conditionalFormatting sqref="D27">
    <cfRule type="expression" dxfId="1194" priority="127">
      <formula>AND($N27&lt;&gt;"",ISNUMBER($N27),$N27&lt;=700)</formula>
    </cfRule>
  </conditionalFormatting>
  <conditionalFormatting sqref="D27">
    <cfRule type="expression" dxfId="1193" priority="126">
      <formula>AND($N27&lt;&gt;"",ISNUMBER($N27),$N27&lt;=700)</formula>
    </cfRule>
  </conditionalFormatting>
  <conditionalFormatting sqref="D27">
    <cfRule type="expression" dxfId="1192" priority="125">
      <formula>AND($N27&lt;&gt;"",ISNUMBER($N27),$N27&lt;=700)</formula>
    </cfRule>
  </conditionalFormatting>
  <conditionalFormatting sqref="D27">
    <cfRule type="expression" dxfId="1191" priority="124">
      <formula>AND($N27&lt;&gt;"",ISNUMBER($N27),$N27&lt;=700)</formula>
    </cfRule>
  </conditionalFormatting>
  <conditionalFormatting sqref="D27">
    <cfRule type="expression" dxfId="1190" priority="123">
      <formula>AND($N27&lt;&gt;"",ISNUMBER($N27),$N27&lt;=700)</formula>
    </cfRule>
  </conditionalFormatting>
  <conditionalFormatting sqref="D27">
    <cfRule type="expression" dxfId="1189" priority="122">
      <formula>AND($N27&lt;&gt;"",ISNUMBER($N27),$N27&lt;=700)</formula>
    </cfRule>
  </conditionalFormatting>
  <conditionalFormatting sqref="D27">
    <cfRule type="expression" dxfId="1188" priority="121">
      <formula>AND($N27&lt;&gt;"",ISNUMBER($N27),$N27&lt;=700)</formula>
    </cfRule>
  </conditionalFormatting>
  <conditionalFormatting sqref="D27">
    <cfRule type="expression" dxfId="1187" priority="120">
      <formula>AND($N27&lt;&gt;"",ISNUMBER($N27),$N27&lt;=700)</formula>
    </cfRule>
  </conditionalFormatting>
  <conditionalFormatting sqref="D27">
    <cfRule type="expression" dxfId="1186" priority="119">
      <formula>AND($N27&lt;&gt;"",ISNUMBER($N27),$N27&lt;=700)</formula>
    </cfRule>
  </conditionalFormatting>
  <conditionalFormatting sqref="D27">
    <cfRule type="expression" dxfId="1185" priority="118">
      <formula>AND($N27&lt;&gt;"",ISNUMBER($N27),$N27&lt;=700)</formula>
    </cfRule>
  </conditionalFormatting>
  <conditionalFormatting sqref="D27">
    <cfRule type="expression" dxfId="1184" priority="117">
      <formula>AND($N27&lt;&gt;"",ISNUMBER($N27),$N27&lt;=700)</formula>
    </cfRule>
  </conditionalFormatting>
  <conditionalFormatting sqref="D27">
    <cfRule type="expression" dxfId="1183" priority="116">
      <formula>AND($N27&lt;&gt;"",ISNUMBER($N27),$N27&lt;=700)</formula>
    </cfRule>
  </conditionalFormatting>
  <conditionalFormatting sqref="D27">
    <cfRule type="expression" dxfId="1182" priority="115">
      <formula>AND($N27&lt;&gt;"",ISNUMBER($N27),$N27&lt;=700)</formula>
    </cfRule>
  </conditionalFormatting>
  <conditionalFormatting sqref="D27">
    <cfRule type="expression" dxfId="1181" priority="114">
      <formula>AND($N27&lt;&gt;"",ISNUMBER($N27),$N27&lt;=700)</formula>
    </cfRule>
  </conditionalFormatting>
  <conditionalFormatting sqref="D27">
    <cfRule type="expression" dxfId="1180" priority="113">
      <formula>AND($N27&lt;&gt;"",ISNUMBER($N27),$N27&lt;=700)</formula>
    </cfRule>
  </conditionalFormatting>
  <conditionalFormatting sqref="D27">
    <cfRule type="expression" dxfId="1179" priority="112">
      <formula>AND($N27&lt;&gt;"",ISNUMBER($N27),$N27&lt;=700)</formula>
    </cfRule>
  </conditionalFormatting>
  <conditionalFormatting sqref="D27">
    <cfRule type="expression" dxfId="1178" priority="111">
      <formula>AND($N27&lt;&gt;"",ISNUMBER($N27),$N27&lt;=700)</formula>
    </cfRule>
  </conditionalFormatting>
  <conditionalFormatting sqref="D27">
    <cfRule type="expression" dxfId="1177" priority="110">
      <formula>AND($N27&lt;&gt;"",ISNUMBER($N27),$N27&lt;=700)</formula>
    </cfRule>
  </conditionalFormatting>
  <conditionalFormatting sqref="D27">
    <cfRule type="expression" dxfId="1176" priority="109">
      <formula>AND($N27&lt;&gt;"",ISNUMBER($N27),$N27&lt;=700)</formula>
    </cfRule>
  </conditionalFormatting>
  <conditionalFormatting sqref="D27">
    <cfRule type="expression" dxfId="1175" priority="108">
      <formula>AND($N27&lt;&gt;"",ISNUMBER($N27),$N27&lt;=700)</formula>
    </cfRule>
  </conditionalFormatting>
  <conditionalFormatting sqref="D27">
    <cfRule type="expression" dxfId="1174" priority="107">
      <formula>AND($N27&lt;&gt;"",ISNUMBER($N27),$N27&lt;=700)</formula>
    </cfRule>
  </conditionalFormatting>
  <conditionalFormatting sqref="D27">
    <cfRule type="expression" dxfId="1173" priority="106">
      <formula>AND($N27&lt;&gt;"",ISNUMBER($N27),$N27&lt;=700)</formula>
    </cfRule>
  </conditionalFormatting>
  <conditionalFormatting sqref="D27">
    <cfRule type="expression" dxfId="1172" priority="105">
      <formula>AND($N27&lt;&gt;"",ISNUMBER($N27),$N27&lt;=700)</formula>
    </cfRule>
  </conditionalFormatting>
  <conditionalFormatting sqref="D27">
    <cfRule type="expression" dxfId="1171" priority="104">
      <formula>AND($N27&lt;&gt;"",ISNUMBER($N27),$N27&lt;=700)</formula>
    </cfRule>
  </conditionalFormatting>
  <conditionalFormatting sqref="D27">
    <cfRule type="expression" dxfId="1170" priority="103">
      <formula>AND($N27&lt;&gt;"",ISNUMBER($N27),$N27&lt;=700)</formula>
    </cfRule>
  </conditionalFormatting>
  <conditionalFormatting sqref="D27">
    <cfRule type="expression" dxfId="1169" priority="102">
      <formula>AND($N27&lt;&gt;"",ISNUMBER($N27),$N27&lt;=700)</formula>
    </cfRule>
  </conditionalFormatting>
  <conditionalFormatting sqref="D27">
    <cfRule type="expression" dxfId="1168" priority="101">
      <formula>AND($N27&lt;&gt;"",ISNUMBER($N27),$N27&lt;=700)</formula>
    </cfRule>
  </conditionalFormatting>
  <conditionalFormatting sqref="D27">
    <cfRule type="expression" dxfId="1167" priority="100">
      <formula>AND($N27&lt;&gt;"",ISNUMBER($N27),$N27&lt;=700)</formula>
    </cfRule>
  </conditionalFormatting>
  <conditionalFormatting sqref="D27">
    <cfRule type="expression" dxfId="1166" priority="99">
      <formula>AND($N27&lt;&gt;"",ISNUMBER($N27),$N27&lt;=700)</formula>
    </cfRule>
  </conditionalFormatting>
  <conditionalFormatting sqref="D27">
    <cfRule type="expression" dxfId="1165" priority="98">
      <formula>AND($N27&lt;&gt;"",ISNUMBER($N27),$N27&lt;=700)</formula>
    </cfRule>
  </conditionalFormatting>
  <conditionalFormatting sqref="D27">
    <cfRule type="expression" dxfId="1164" priority="97">
      <formula>AND($N27&lt;&gt;"",ISNUMBER($N27),$N27&lt;=700)</formula>
    </cfRule>
  </conditionalFormatting>
  <conditionalFormatting sqref="D27">
    <cfRule type="expression" dxfId="1163" priority="96">
      <formula>AND($N27&lt;&gt;"",ISNUMBER($N27),$N27&lt;=700)</formula>
    </cfRule>
  </conditionalFormatting>
  <conditionalFormatting sqref="D27">
    <cfRule type="expression" dxfId="1162" priority="95">
      <formula>AND($N27&lt;&gt;"",ISNUMBER($N27),$N27&lt;=700)</formula>
    </cfRule>
  </conditionalFormatting>
  <conditionalFormatting sqref="D27">
    <cfRule type="expression" dxfId="1161" priority="94">
      <formula>AND($N27&lt;&gt;"",ISNUMBER($N27),$N27&lt;=700)</formula>
    </cfRule>
  </conditionalFormatting>
  <conditionalFormatting sqref="D27">
    <cfRule type="expression" dxfId="1160" priority="93">
      <formula>AND($N27&lt;&gt;"",ISNUMBER($N27),$N27&lt;=700)</formula>
    </cfRule>
  </conditionalFormatting>
  <conditionalFormatting sqref="D27">
    <cfRule type="expression" dxfId="1159" priority="92">
      <formula>AND($N27&lt;&gt;"",ISNUMBER($N27),$N27&lt;=700)</formula>
    </cfRule>
  </conditionalFormatting>
  <conditionalFormatting sqref="D27">
    <cfRule type="expression" dxfId="1158" priority="91">
      <formula>AND($N27&lt;&gt;"",ISNUMBER($N27),$N27&lt;=700)</formula>
    </cfRule>
  </conditionalFormatting>
  <conditionalFormatting sqref="D27">
    <cfRule type="expression" dxfId="1157" priority="90">
      <formula>AND($N27&lt;&gt;"",ISNUMBER($N27),$N27&lt;=700)</formula>
    </cfRule>
  </conditionalFormatting>
  <conditionalFormatting sqref="D27">
    <cfRule type="expression" dxfId="1156" priority="89">
      <formula>AND($N27&lt;&gt;"",ISNUMBER($N27),$N27&lt;=700)</formula>
    </cfRule>
  </conditionalFormatting>
  <conditionalFormatting sqref="D27">
    <cfRule type="expression" dxfId="1155" priority="88">
      <formula>AND($N27&lt;&gt;"",ISNUMBER($N27),$N27&lt;=700)</formula>
    </cfRule>
  </conditionalFormatting>
  <conditionalFormatting sqref="D27">
    <cfRule type="expression" dxfId="1154" priority="87">
      <formula>AND($N27&lt;&gt;"",ISNUMBER($N27),$N27&lt;=700)</formula>
    </cfRule>
  </conditionalFormatting>
  <conditionalFormatting sqref="D27">
    <cfRule type="expression" dxfId="1153" priority="86">
      <formula>AND($N27&lt;&gt;"",ISNUMBER($N27),$N27&lt;=700)</formula>
    </cfRule>
  </conditionalFormatting>
  <conditionalFormatting sqref="D27">
    <cfRule type="expression" dxfId="1152" priority="85">
      <formula>AND($N27&lt;&gt;"",ISNUMBER($N27),$N27&lt;=700)</formula>
    </cfRule>
  </conditionalFormatting>
  <conditionalFormatting sqref="D27">
    <cfRule type="expression" dxfId="1151" priority="84">
      <formula>AND($N27&lt;&gt;"",ISNUMBER($N27),$N27&lt;=700)</formula>
    </cfRule>
  </conditionalFormatting>
  <conditionalFormatting sqref="D27">
    <cfRule type="expression" dxfId="1150" priority="83">
      <formula>AND($N27&lt;&gt;"",ISNUMBER($N27),$N27&lt;=700)</formula>
    </cfRule>
  </conditionalFormatting>
  <conditionalFormatting sqref="D27">
    <cfRule type="expression" dxfId="1149" priority="82">
      <formula>AND($N27&lt;&gt;"",ISNUMBER($N27),$N27&lt;=700)</formula>
    </cfRule>
  </conditionalFormatting>
  <conditionalFormatting sqref="D27">
    <cfRule type="expression" dxfId="1148" priority="81">
      <formula>AND($N27&lt;&gt;"",ISNUMBER($N27),$N27&lt;=700)</formula>
    </cfRule>
  </conditionalFormatting>
  <conditionalFormatting sqref="D27">
    <cfRule type="expression" dxfId="1147" priority="80">
      <formula>AND($N27&lt;&gt;"",ISNUMBER($N27),$N27&lt;=700)</formula>
    </cfRule>
  </conditionalFormatting>
  <conditionalFormatting sqref="D27">
    <cfRule type="expression" dxfId="1146" priority="79">
      <formula>AND($N27&lt;&gt;"",ISNUMBER($N27),$N27&lt;=700)</formula>
    </cfRule>
  </conditionalFormatting>
  <conditionalFormatting sqref="D27">
    <cfRule type="expression" dxfId="1145" priority="78">
      <formula>AND($N27&lt;&gt;"",ISNUMBER($N27),$N27&lt;=700)</formula>
    </cfRule>
  </conditionalFormatting>
  <conditionalFormatting sqref="D27">
    <cfRule type="expression" dxfId="1144" priority="77">
      <formula>AND($N27&lt;&gt;"",ISNUMBER($N27),$N27&lt;=700)</formula>
    </cfRule>
  </conditionalFormatting>
  <conditionalFormatting sqref="D27">
    <cfRule type="expression" dxfId="1143" priority="76">
      <formula>AND($N27&lt;&gt;"",ISNUMBER($N27),$N27&lt;=700)</formula>
    </cfRule>
  </conditionalFormatting>
  <conditionalFormatting sqref="D27">
    <cfRule type="expression" dxfId="1142" priority="75">
      <formula>AND($N27&lt;&gt;"",ISNUMBER($N27),$N27&lt;=700)</formula>
    </cfRule>
  </conditionalFormatting>
  <conditionalFormatting sqref="D27">
    <cfRule type="expression" dxfId="1141" priority="74">
      <formula>AND($N27&lt;&gt;"",ISNUMBER($N27),$N27&lt;=700)</formula>
    </cfRule>
  </conditionalFormatting>
  <conditionalFormatting sqref="D27">
    <cfRule type="expression" dxfId="1140" priority="73">
      <formula>AND($N27&lt;&gt;"",ISNUMBER($N27),$N27&lt;=700)</formula>
    </cfRule>
  </conditionalFormatting>
  <conditionalFormatting sqref="D27">
    <cfRule type="expression" dxfId="1139" priority="72">
      <formula>AND($N27&lt;&gt;"",ISNUMBER($N27),$N27&lt;=700)</formula>
    </cfRule>
  </conditionalFormatting>
  <conditionalFormatting sqref="D27">
    <cfRule type="expression" dxfId="1138" priority="71">
      <formula>AND($N27&lt;&gt;"",ISNUMBER($N27),$N27&lt;=700)</formula>
    </cfRule>
  </conditionalFormatting>
  <conditionalFormatting sqref="D27">
    <cfRule type="expression" dxfId="1137" priority="70">
      <formula>AND($N27&lt;&gt;"",ISNUMBER($N27),$N27&lt;=700)</formula>
    </cfRule>
  </conditionalFormatting>
  <conditionalFormatting sqref="D27">
    <cfRule type="expression" dxfId="1136" priority="69">
      <formula>AND($N27&lt;&gt;"",ISNUMBER($N27),$N27&lt;=700)</formula>
    </cfRule>
  </conditionalFormatting>
  <conditionalFormatting sqref="D27">
    <cfRule type="expression" dxfId="1135" priority="68">
      <formula>AND($N27&lt;&gt;"",ISNUMBER($N27),$N27&lt;=700)</formula>
    </cfRule>
  </conditionalFormatting>
  <conditionalFormatting sqref="D27">
    <cfRule type="expression" dxfId="1134" priority="67">
      <formula>AND($N27&lt;&gt;"",ISNUMBER($N27),$N27&lt;=700)</formula>
    </cfRule>
  </conditionalFormatting>
  <conditionalFormatting sqref="D27">
    <cfRule type="expression" dxfId="1133" priority="66">
      <formula>AND($N27&lt;&gt;"",ISNUMBER($N27),$N27&lt;=700)</formula>
    </cfRule>
  </conditionalFormatting>
  <conditionalFormatting sqref="D27">
    <cfRule type="expression" dxfId="1132" priority="65">
      <formula>AND($N27&lt;&gt;"",ISNUMBER($N27),$N27&lt;=700)</formula>
    </cfRule>
  </conditionalFormatting>
  <conditionalFormatting sqref="D27">
    <cfRule type="expression" dxfId="1131" priority="64">
      <formula>AND($N27&lt;&gt;"",ISNUMBER($N27),$N27&lt;=700)</formula>
    </cfRule>
  </conditionalFormatting>
  <conditionalFormatting sqref="D27">
    <cfRule type="expression" dxfId="1130" priority="63">
      <formula>AND($N27&lt;&gt;"",ISNUMBER($N27),$N27&lt;=700)</formula>
    </cfRule>
  </conditionalFormatting>
  <conditionalFormatting sqref="D27">
    <cfRule type="expression" dxfId="1129" priority="62">
      <formula>AND($N27&lt;&gt;"",ISNUMBER($N27),$N27&lt;=700)</formula>
    </cfRule>
  </conditionalFormatting>
  <conditionalFormatting sqref="D27">
    <cfRule type="expression" dxfId="1128" priority="61">
      <formula>AND($N27&lt;&gt;"",ISNUMBER($N27),$N27&lt;=700)</formula>
    </cfRule>
  </conditionalFormatting>
  <conditionalFormatting sqref="D27">
    <cfRule type="expression" dxfId="1127" priority="60">
      <formula>AND($N27&lt;&gt;"",ISNUMBER($N27),$N27&lt;=700)</formula>
    </cfRule>
  </conditionalFormatting>
  <conditionalFormatting sqref="D27">
    <cfRule type="expression" dxfId="1126" priority="59">
      <formula>AND($N27&lt;&gt;"",ISNUMBER($N27),$N27&lt;=700)</formula>
    </cfRule>
  </conditionalFormatting>
  <conditionalFormatting sqref="D27">
    <cfRule type="expression" dxfId="1125" priority="58">
      <formula>AND($N27&lt;&gt;"",ISNUMBER($N27),$N27&lt;=700)</formula>
    </cfRule>
  </conditionalFormatting>
  <conditionalFormatting sqref="D27">
    <cfRule type="expression" dxfId="1124" priority="57">
      <formula>AND($N27&lt;&gt;"",ISNUMBER($N27),$N27&lt;=700)</formula>
    </cfRule>
  </conditionalFormatting>
  <conditionalFormatting sqref="D27">
    <cfRule type="expression" dxfId="1123" priority="56">
      <formula>AND($N27&lt;&gt;"",ISNUMBER($N27),$N27&lt;=700)</formula>
    </cfRule>
  </conditionalFormatting>
  <conditionalFormatting sqref="D27">
    <cfRule type="expression" dxfId="1122" priority="55">
      <formula>AND($N27&lt;&gt;"",ISNUMBER($N27),$N27&lt;=700)</formula>
    </cfRule>
  </conditionalFormatting>
  <conditionalFormatting sqref="D27">
    <cfRule type="expression" dxfId="1121" priority="54">
      <formula>AND($N27&lt;&gt;"",ISNUMBER($N27),$N27&lt;=700)</formula>
    </cfRule>
  </conditionalFormatting>
  <conditionalFormatting sqref="D27">
    <cfRule type="expression" dxfId="1120" priority="53">
      <formula>AND($N27&lt;&gt;"",ISNUMBER($N27),$N27&lt;=700)</formula>
    </cfRule>
  </conditionalFormatting>
  <conditionalFormatting sqref="D27">
    <cfRule type="expression" dxfId="1119" priority="52">
      <formula>AND($N27&lt;&gt;"",ISNUMBER($N27),$N27&lt;=700)</formula>
    </cfRule>
  </conditionalFormatting>
  <conditionalFormatting sqref="D27">
    <cfRule type="expression" dxfId="1118" priority="51">
      <formula>AND($N27&lt;&gt;"",ISNUMBER($N27),$N27&lt;=700)</formula>
    </cfRule>
  </conditionalFormatting>
  <conditionalFormatting sqref="D27">
    <cfRule type="expression" dxfId="1117" priority="50">
      <formula>AND($N27&lt;&gt;"",ISNUMBER($N27),$N27&lt;=700)</formula>
    </cfRule>
  </conditionalFormatting>
  <conditionalFormatting sqref="D27">
    <cfRule type="expression" dxfId="1116" priority="49">
      <formula>AND($N27&lt;&gt;"",ISNUMBER($N27),$N27&lt;=700)</formula>
    </cfRule>
  </conditionalFormatting>
  <conditionalFormatting sqref="D27">
    <cfRule type="expression" dxfId="1115" priority="48">
      <formula>AND($N27&lt;&gt;"",ISNUMBER($N27),$N27&lt;=700)</formula>
    </cfRule>
  </conditionalFormatting>
  <conditionalFormatting sqref="D27">
    <cfRule type="expression" dxfId="1114" priority="47">
      <formula>AND($N27&lt;&gt;"",ISNUMBER($N27),$N27&lt;=700)</formula>
    </cfRule>
  </conditionalFormatting>
  <conditionalFormatting sqref="D27">
    <cfRule type="expression" dxfId="1113" priority="46">
      <formula>AND($N27&lt;&gt;"",ISNUMBER($N27),$N27&lt;=700)</formula>
    </cfRule>
  </conditionalFormatting>
  <conditionalFormatting sqref="D27">
    <cfRule type="expression" dxfId="1112" priority="45">
      <formula>AND($N27&lt;&gt;"",ISNUMBER($N27),$N27&lt;=700)</formula>
    </cfRule>
  </conditionalFormatting>
  <conditionalFormatting sqref="D27">
    <cfRule type="expression" dxfId="1111" priority="44">
      <formula>AND($N27&lt;&gt;"",ISNUMBER($N27),$N27&lt;=700)</formula>
    </cfRule>
  </conditionalFormatting>
  <conditionalFormatting sqref="D27">
    <cfRule type="expression" dxfId="1110" priority="43">
      <formula>AND($N27&lt;&gt;"",ISNUMBER($N27),$N27&lt;=700)</formula>
    </cfRule>
  </conditionalFormatting>
  <conditionalFormatting sqref="D27">
    <cfRule type="expression" dxfId="1109" priority="42">
      <formula>AND($N27&lt;&gt;"",ISNUMBER($N27),$N27&lt;=700)</formula>
    </cfRule>
  </conditionalFormatting>
  <conditionalFormatting sqref="D27">
    <cfRule type="expression" dxfId="1108" priority="41">
      <formula>AND($N27&lt;&gt;"",ISNUMBER($N27),$N27&lt;=700)</formula>
    </cfRule>
  </conditionalFormatting>
  <conditionalFormatting sqref="D27">
    <cfRule type="expression" dxfId="1107" priority="40">
      <formula>AND($N27&lt;&gt;"",ISNUMBER($N27),$N27&lt;=700)</formula>
    </cfRule>
  </conditionalFormatting>
  <conditionalFormatting sqref="D27">
    <cfRule type="expression" dxfId="1106" priority="39">
      <formula>AND($N27&lt;&gt;"",ISNUMBER($N27),$N27&lt;=700)</formula>
    </cfRule>
  </conditionalFormatting>
  <conditionalFormatting sqref="D27">
    <cfRule type="expression" dxfId="1105" priority="38">
      <formula>AND($N27&lt;&gt;"",ISNUMBER($N27),$N27&lt;=700)</formula>
    </cfRule>
  </conditionalFormatting>
  <conditionalFormatting sqref="D27">
    <cfRule type="expression" dxfId="1104" priority="37">
      <formula>AND($N27&lt;&gt;"",ISNUMBER($N27),$N27&lt;=700)</formula>
    </cfRule>
  </conditionalFormatting>
  <conditionalFormatting sqref="D27">
    <cfRule type="expression" dxfId="1103" priority="36">
      <formula>AND($N27&lt;&gt;"",ISNUMBER($N27),$N27&lt;=700)</formula>
    </cfRule>
  </conditionalFormatting>
  <conditionalFormatting sqref="D27">
    <cfRule type="expression" dxfId="1102" priority="35">
      <formula>AND($N27&lt;&gt;"",ISNUMBER($N27),$N27&lt;=700)</formula>
    </cfRule>
  </conditionalFormatting>
  <conditionalFormatting sqref="D27">
    <cfRule type="expression" dxfId="1101" priority="34">
      <formula>AND($N27&lt;&gt;"",ISNUMBER($N27),$N27&lt;=700)</formula>
    </cfRule>
  </conditionalFormatting>
  <conditionalFormatting sqref="D27">
    <cfRule type="expression" dxfId="1100" priority="33">
      <formula>AND($N27&lt;&gt;"",ISNUMBER($N27),$N27&lt;=700)</formula>
    </cfRule>
  </conditionalFormatting>
  <conditionalFormatting sqref="D27">
    <cfRule type="expression" dxfId="1099" priority="32">
      <formula>AND($N27&lt;&gt;"",ISNUMBER($N27),$N27&lt;=700)</formula>
    </cfRule>
  </conditionalFormatting>
  <conditionalFormatting sqref="D27">
    <cfRule type="expression" dxfId="1098" priority="31">
      <formula>AND($N27&lt;&gt;"",ISNUMBER($N27),$N27&lt;=700)</formula>
    </cfRule>
  </conditionalFormatting>
  <conditionalFormatting sqref="D27">
    <cfRule type="expression" dxfId="1097" priority="30">
      <formula>AND($N27&lt;&gt;"",ISNUMBER($N27),$N27&lt;=700)</formula>
    </cfRule>
  </conditionalFormatting>
  <conditionalFormatting sqref="D27">
    <cfRule type="expression" dxfId="1096" priority="29">
      <formula>AND($N27&lt;&gt;"",ISNUMBER($N27),$N27&lt;=700)</formula>
    </cfRule>
  </conditionalFormatting>
  <conditionalFormatting sqref="D27">
    <cfRule type="expression" dxfId="1095" priority="28">
      <formula>AND($N27&lt;&gt;"",ISNUMBER($N27),$N27&lt;=700)</formula>
    </cfRule>
  </conditionalFormatting>
  <conditionalFormatting sqref="D27">
    <cfRule type="expression" dxfId="1094" priority="27">
      <formula>AND($N27&lt;&gt;"",ISNUMBER($N27),$N27&lt;=700)</formula>
    </cfRule>
  </conditionalFormatting>
  <conditionalFormatting sqref="D27">
    <cfRule type="expression" dxfId="1093" priority="26">
      <formula>AND($N27&lt;&gt;"",ISNUMBER($N27),$N27&lt;=700)</formula>
    </cfRule>
  </conditionalFormatting>
  <conditionalFormatting sqref="D27">
    <cfRule type="expression" dxfId="1092" priority="25">
      <formula>AND($N27&lt;&gt;"",ISNUMBER($N27),$N27&lt;=700)</formula>
    </cfRule>
  </conditionalFormatting>
  <conditionalFormatting sqref="D27">
    <cfRule type="expression" dxfId="1091" priority="24">
      <formula>AND($N27&lt;&gt;"",ISNUMBER($N27),$N27&lt;=700)</formula>
    </cfRule>
  </conditionalFormatting>
  <conditionalFormatting sqref="D27">
    <cfRule type="expression" dxfId="1090" priority="23">
      <formula>AND($N27&lt;&gt;"",ISNUMBER($N27),$N27&lt;=700)</formula>
    </cfRule>
  </conditionalFormatting>
  <conditionalFormatting sqref="D27">
    <cfRule type="expression" dxfId="1089" priority="22">
      <formula>AND($N27&lt;&gt;"",ISNUMBER($N27),$N27&lt;=700)</formula>
    </cfRule>
  </conditionalFormatting>
  <conditionalFormatting sqref="D27">
    <cfRule type="expression" dxfId="1088" priority="21">
      <formula>AND($N27&lt;&gt;"",ISNUMBER($N27),$N27&lt;=700)</formula>
    </cfRule>
  </conditionalFormatting>
  <conditionalFormatting sqref="D27">
    <cfRule type="expression" dxfId="1087" priority="20">
      <formula>AND($N27&lt;&gt;"",ISNUMBER($N27),$N27&lt;=700)</formula>
    </cfRule>
  </conditionalFormatting>
  <conditionalFormatting sqref="D27">
    <cfRule type="expression" dxfId="1086" priority="19">
      <formula>AND($N27&lt;&gt;"",ISNUMBER($N27),$N27&lt;=700)</formula>
    </cfRule>
  </conditionalFormatting>
  <conditionalFormatting sqref="D28">
    <cfRule type="expression" dxfId="1085" priority="18">
      <formula>AND($N28&lt;&gt;"",ISNUMBER($N28),$N28&lt;=700)</formula>
    </cfRule>
  </conditionalFormatting>
  <conditionalFormatting sqref="D28">
    <cfRule type="expression" dxfId="1084" priority="17">
      <formula>AND($N28&lt;&gt;"",ISNUMBER($N28),$N28&lt;=700)</formula>
    </cfRule>
  </conditionalFormatting>
  <conditionalFormatting sqref="D28">
    <cfRule type="expression" dxfId="1083" priority="16">
      <formula>AND($N28&lt;&gt;"",ISNUMBER($N28),$N28&lt;=700)</formula>
    </cfRule>
  </conditionalFormatting>
  <conditionalFormatting sqref="D28">
    <cfRule type="expression" dxfId="1082" priority="15">
      <formula>AND($N28&lt;&gt;"",ISNUMBER($N28),$N28&lt;=700)</formula>
    </cfRule>
  </conditionalFormatting>
  <conditionalFormatting sqref="D28">
    <cfRule type="expression" dxfId="1081" priority="14">
      <formula>AND($N28&lt;&gt;"",ISNUMBER($N28),$N28&lt;=700)</formula>
    </cfRule>
  </conditionalFormatting>
  <conditionalFormatting sqref="D28">
    <cfRule type="expression" dxfId="1080" priority="13">
      <formula>AND($N28&lt;&gt;"",ISNUMBER($N28),$N28&lt;=700)</formula>
    </cfRule>
  </conditionalFormatting>
  <conditionalFormatting sqref="D28">
    <cfRule type="expression" dxfId="1079" priority="12">
      <formula>AND($N28&lt;&gt;"",ISNUMBER($N28),$N28&lt;=700)</formula>
    </cfRule>
  </conditionalFormatting>
  <conditionalFormatting sqref="D28">
    <cfRule type="expression" dxfId="1078" priority="11">
      <formula>AND($N28&lt;&gt;"",ISNUMBER($N28),$N28&lt;=700)</formula>
    </cfRule>
  </conditionalFormatting>
  <conditionalFormatting sqref="D28">
    <cfRule type="expression" dxfId="1077" priority="10">
      <formula>AND($N28&lt;&gt;"",ISNUMBER($N28),$N28&lt;=700)</formula>
    </cfRule>
  </conditionalFormatting>
  <conditionalFormatting sqref="D27">
    <cfRule type="expression" dxfId="1076" priority="9">
      <formula>AND($N27&lt;&gt;"",ISNUMBER($N27),$N27&lt;=700)</formula>
    </cfRule>
  </conditionalFormatting>
  <conditionalFormatting sqref="D28">
    <cfRule type="expression" dxfId="1075" priority="8">
      <formula>AND($N28&lt;&gt;"",ISNUMBER($N28),$N28&lt;=700)</formula>
    </cfRule>
  </conditionalFormatting>
  <conditionalFormatting sqref="D28">
    <cfRule type="expression" dxfId="1074" priority="7">
      <formula>AND($N28&lt;&gt;"",ISNUMBER($N28),$N28&lt;=700)</formula>
    </cfRule>
  </conditionalFormatting>
  <conditionalFormatting sqref="D28">
    <cfRule type="expression" dxfId="1073" priority="6">
      <formula>AND($N28&lt;&gt;"",ISNUMBER($N28),$N28&lt;=700)</formula>
    </cfRule>
  </conditionalFormatting>
  <conditionalFormatting sqref="D28">
    <cfRule type="expression" dxfId="7" priority="5">
      <formula>AND($N28&lt;&gt;"",ISNUMBER($N28),$N28&lt;=700)</formula>
    </cfRule>
  </conditionalFormatting>
  <conditionalFormatting sqref="D28">
    <cfRule type="expression" dxfId="5" priority="4">
      <formula>AND($N28&lt;&gt;"",ISNUMBER($N28),$N28&lt;=700)</formula>
    </cfRule>
  </conditionalFormatting>
  <conditionalFormatting sqref="D28">
    <cfRule type="expression" dxfId="4" priority="3">
      <formula>AND($N28&lt;&gt;"",ISNUMBER($N28),$N28&lt;=700)</formula>
    </cfRule>
  </conditionalFormatting>
  <conditionalFormatting sqref="D28">
    <cfRule type="expression" dxfId="3" priority="2">
      <formula>AND($N28&lt;&gt;"",ISNUMBER($N28),$N28&lt;=700)</formula>
    </cfRule>
  </conditionalFormatting>
  <conditionalFormatting sqref="D28">
    <cfRule type="expression" dxfId="2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9">
    <tabColor rgb="FFFFC000"/>
  </sheetPr>
  <dimension ref="A1:IW63"/>
  <sheetViews>
    <sheetView zoomScaleNormal="100" workbookViewId="0">
      <selection activeCell="D10" sqref="D10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6.109375" style="1" customWidth="1"/>
    <col min="11" max="11" width="9.109375" style="1" customWidth="1"/>
    <col min="12" max="12" width="4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3221</v>
      </c>
      <c r="D9" s="13" t="s">
        <v>3222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10" t="s">
        <v>17</v>
      </c>
      <c r="D13" s="210" t="s">
        <v>18</v>
      </c>
      <c r="E13" s="241" t="s">
        <v>19</v>
      </c>
      <c r="F13" s="241"/>
      <c r="G13" s="28" t="s">
        <v>20</v>
      </c>
      <c r="H13" s="29" t="s">
        <v>21</v>
      </c>
      <c r="I13" s="249">
        <f ca="1">TODAY()</f>
        <v>46294</v>
      </c>
      <c r="J13" s="249"/>
      <c r="K13" s="249"/>
      <c r="L13" s="249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3219</v>
      </c>
      <c r="C14" s="34" t="s">
        <v>92</v>
      </c>
      <c r="D14" s="209">
        <v>16800</v>
      </c>
      <c r="E14" s="36"/>
      <c r="F14" s="37">
        <v>1357.6</v>
      </c>
      <c r="G14" s="38"/>
      <c r="H14" s="39">
        <f t="shared" ref="H14:H26" si="0">F14+G14</f>
        <v>1357.6</v>
      </c>
      <c r="I14" s="40" t="str">
        <f ca="1">IFERROR(INDEX(INDIRECT("'"&amp;조회설정!$H$3&amp;"'!"&amp;조회설정!$H$5&amp;":"&amp;조회설정!$H$5),MATCH(J14,INDIRECT("'"&amp;조회설정!$H$3&amp;"'!"&amp;조회설정!$H$4&amp;":"&amp;조회설정!$H$4),0)),IFERROR(VLOOKUP(J14,'환전펀드(전체운용사)'!$B:$C,2,FALSE()),""))</f>
        <v>CITI</v>
      </c>
      <c r="J14" s="235" t="s">
        <v>981</v>
      </c>
      <c r="K14" s="42">
        <v>46294</v>
      </c>
      <c r="L14" s="43"/>
      <c r="M14" s="44" t="str">
        <f ca="1">IF(OR(J14="",J14=0),"",IF(IFERROR(MATCH(J14,INDIRECT("'"&amp;조회설정!$H$3&amp;"'!"&amp;조회설정!$H$4&amp;":"&amp;조회설정!$H$4),0),0)&gt;0,조회설정!$H$3,IF(IFERROR(MATCH(J14,'환전펀드(전체운용사)'!$B:$B,0),0)&gt;0,"환전펀드","")))</f>
        <v>한투</v>
      </c>
      <c r="N14" s="45">
        <f>IF(OR(J14="",J14=0),"",IFERROR(VLOOKUP(J14,기준가!$A:$B,2,FALSE()),IFERROR(VLOOKUP(J14&amp;"",기준가!$A:$B,2,FALSE()),"")))</f>
        <v>950.57</v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3219</v>
      </c>
      <c r="C15" s="34" t="s">
        <v>92</v>
      </c>
      <c r="D15" s="209">
        <v>18490</v>
      </c>
      <c r="E15" s="36"/>
      <c r="F15" s="37">
        <v>1357.6</v>
      </c>
      <c r="G15" s="38"/>
      <c r="H15" s="39">
        <f t="shared" si="0"/>
        <v>1357.6</v>
      </c>
      <c r="I15" s="40" t="str">
        <f ca="1">IFERROR(INDEX(INDIRECT("'"&amp;조회설정!$H$3&amp;"'!"&amp;조회설정!$H$5&amp;":"&amp;조회설정!$H$5),MATCH(J15,INDIRECT("'"&amp;조회설정!$H$3&amp;"'!"&amp;조회설정!$H$4&amp;":"&amp;조회설정!$H$4),0)),IFERROR(VLOOKUP(J15,'환전펀드(전체운용사)'!$B:$C,2,FALSE()),""))</f>
        <v>CITI</v>
      </c>
      <c r="J15" s="235" t="s">
        <v>1069</v>
      </c>
      <c r="K15" s="42">
        <v>46294</v>
      </c>
      <c r="L15" s="46"/>
      <c r="M15" s="44" t="str">
        <f ca="1">IF(OR(J15="",J15=0),"",IF(IFERROR(MATCH(J15,INDIRECT("'"&amp;조회설정!$H$3&amp;"'!"&amp;조회설정!$H$4&amp;":"&amp;조회설정!$H$4),0),0)&gt;0,조회설정!$H$3,IF(IFERROR(MATCH(J15,'환전펀드(전체운용사)'!$B:$B,0),0)&gt;0,"환전펀드","")))</f>
        <v>한투</v>
      </c>
      <c r="N15" s="47">
        <f>IF(OR(J15="",J15=0),"",IFERROR(VLOOKUP(J15,기준가!$A:$B,2,FALSE()),IFERROR(VLOOKUP(J15&amp;"",기준가!$A:$B,2,FALSE()),"")))</f>
        <v>984.75</v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H$3&amp;"'!"&amp;조회설정!$H$5&amp;":"&amp;조회설정!$H$5),MATCH(J16,INDIRECT("'"&amp;조회설정!$H$3&amp;"'!"&amp;조회설정!$H$4&amp;":"&amp;조회설정!$H$4),0)),IFERROR(VLOOKUP(J16,'환전펀드(전체운용사)'!$B:$C,2,FALSE()),""))</f>
        <v/>
      </c>
      <c r="J16" s="234"/>
      <c r="K16" s="42"/>
      <c r="L16" s="46"/>
      <c r="M16" s="44" t="str">
        <f ca="1">IF(OR(J16="",J16=0),"",IF(IFERROR(MATCH(J16,INDIRECT("'"&amp;조회설정!$H$3&amp;"'!"&amp;조회설정!$H$4&amp;":"&amp;조회설정!$H$4),0),0)&gt;0,조회설정!$H$3,IF(IFERROR(MATCH(J16,'환전펀드(전체운용사)'!$B:$B,0),0)&gt;0,"환전펀드","")))</f>
        <v/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H$3&amp;"'!"&amp;조회설정!$H$5&amp;":"&amp;조회설정!$H$5),MATCH(J17,INDIRECT("'"&amp;조회설정!$H$3&amp;"'!"&amp;조회설정!$H$4&amp;":"&amp;조회설정!$H$4),0)),IFERROR(VLOOKUP(J17,'환전펀드(전체운용사)'!$B:$C,2,FALSE()),""))</f>
        <v/>
      </c>
      <c r="J17" s="234"/>
      <c r="K17" s="42"/>
      <c r="L17" s="46"/>
      <c r="M17" s="51" t="str">
        <f ca="1">IF(OR(J17="",J17=0),"",IF(IFERROR(MATCH(J17,INDIRECT("'"&amp;조회설정!$H$3&amp;"'!"&amp;조회설정!$H$4&amp;":"&amp;조회설정!$H$4),0),0)&gt;0,조회설정!$H$3,IF(IFERROR(MATCH(J17,'환전펀드(전체운용사)'!$B:$B,0),0)&gt;0,"환전펀드","")))</f>
        <v/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H$3&amp;"'!"&amp;조회설정!$H$5&amp;":"&amp;조회설정!$H$5),MATCH(J18,INDIRECT("'"&amp;조회설정!$H$3&amp;"'!"&amp;조회설정!$H$4&amp;":"&amp;조회설정!$H$4),0)),IFERROR(VLOOKUP(J18,'환전펀드(전체운용사)'!$B:$C,2,FALSE()),""))</f>
        <v/>
      </c>
      <c r="J18" s="234"/>
      <c r="K18" s="42"/>
      <c r="L18" s="46"/>
      <c r="M18" s="44" t="str">
        <f ca="1">IF(OR(J18="",J18=0),"",IF(IFERROR(MATCH(J18,INDIRECT("'"&amp;조회설정!$H$3&amp;"'!"&amp;조회설정!$H$4&amp;":"&amp;조회설정!$H$4),0),0)&gt;0,조회설정!$H$3,IF(IFERROR(MATCH(J18,'환전펀드(전체운용사)'!$B:$B,0),0)&gt;0,"환전펀드","")))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H$3&amp;"'!"&amp;조회설정!$H$5&amp;":"&amp;조회설정!$H$5),MATCH(J19,INDIRECT("'"&amp;조회설정!$H$3&amp;"'!"&amp;조회설정!$H$4&amp;":"&amp;조회설정!$H$4),0)),IFERROR(VLOOKUP(J19,'환전펀드(전체운용사)'!$B:$C,2,FALSE()),""))</f>
        <v/>
      </c>
      <c r="J19" s="234"/>
      <c r="K19" s="42"/>
      <c r="L19" s="46"/>
      <c r="M19" s="51" t="str">
        <f ca="1">IF(OR(J19="",J19=0),"",IF(IFERROR(MATCH(J19,INDIRECT("'"&amp;조회설정!$H$3&amp;"'!"&amp;조회설정!$H$4&amp;":"&amp;조회설정!$H$4),0),0)&gt;0,조회설정!$H$3,IF(IFERROR(MATCH(J19,'환전펀드(전체운용사)'!$B:$B,0),0)&gt;0,"환전펀드","")))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H$3&amp;"'!"&amp;조회설정!$H$5&amp;":"&amp;조회설정!$H$5),MATCH(J20,INDIRECT("'"&amp;조회설정!$H$3&amp;"'!"&amp;조회설정!$H$4&amp;":"&amp;조회설정!$H$4),0)),IFERROR(VLOOKUP(J20,'환전펀드(전체운용사)'!$B:$C,2,FALSE()),""))</f>
        <v/>
      </c>
      <c r="J20" s="234"/>
      <c r="K20" s="42"/>
      <c r="L20" s="46"/>
      <c r="M20" s="51" t="str">
        <f ca="1">IF(OR(J20="",J20=0),"",IF(IFERROR(MATCH(J20,INDIRECT("'"&amp;조회설정!$H$3&amp;"'!"&amp;조회설정!$H$4&amp;":"&amp;조회설정!$H$4),0),0)&gt;0,조회설정!$H$3,IF(IFERROR(MATCH(J20,'환전펀드(전체운용사)'!$B:$B,0),0)&gt;0,"환전펀드","")))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H$3&amp;"'!"&amp;조회설정!$H$5&amp;":"&amp;조회설정!$H$5),MATCH(J21,INDIRECT("'"&amp;조회설정!$H$3&amp;"'!"&amp;조회설정!$H$4&amp;":"&amp;조회설정!$H$4),0)),IFERROR(VLOOKUP(J21,'환전펀드(전체운용사)'!$B:$C,2,FALSE()),""))</f>
        <v/>
      </c>
      <c r="J21" s="234"/>
      <c r="K21" s="42"/>
      <c r="L21" s="46"/>
      <c r="M21" s="51" t="str">
        <f ca="1">IF(OR(J21="",J21=0),"",IF(IFERROR(MATCH(J21,INDIRECT("'"&amp;조회설정!$H$3&amp;"'!"&amp;조회설정!$H$4&amp;":"&amp;조회설정!$H$4),0),0)&gt;0,조회설정!$H$3,IF(IFERROR(MATCH(J21,'환전펀드(전체운용사)'!$B:$B,0),0)&gt;0,"환전펀드","")))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H$3&amp;"'!"&amp;조회설정!$H$5&amp;":"&amp;조회설정!$H$5),MATCH(J22,INDIRECT("'"&amp;조회설정!$H$3&amp;"'!"&amp;조회설정!$H$4&amp;":"&amp;조회설정!$H$4),0)),IFERROR(VLOOKUP(J22,'환전펀드(전체운용사)'!$B:$C,2,FALSE()),""))</f>
        <v/>
      </c>
      <c r="J22" s="234"/>
      <c r="K22" s="42"/>
      <c r="L22" s="46"/>
      <c r="M22" s="51" t="str">
        <f ca="1">IF(OR(J22="",J22=0),"",IF(IFERROR(MATCH(J22,INDIRECT("'"&amp;조회설정!$H$3&amp;"'!"&amp;조회설정!$H$4&amp;":"&amp;조회설정!$H$4),0),0)&gt;0,조회설정!$H$3,IF(IFERROR(MATCH(J22,'환전펀드(전체운용사)'!$B:$B,0),0)&gt;0,"환전펀드","")))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H$3&amp;"'!"&amp;조회설정!$H$5&amp;":"&amp;조회설정!$H$5),MATCH(J23,INDIRECT("'"&amp;조회설정!$H$3&amp;"'!"&amp;조회설정!$H$4&amp;":"&amp;조회설정!$H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IF(OR(J23="",J23=0),"",IF(IFERROR(MATCH(J23,INDIRECT("'"&amp;조회설정!$H$3&amp;"'!"&amp;조회설정!$H$4&amp;":"&amp;조회설정!$H$4),0),0)&gt;0,조회설정!$H$3,IF(IFERROR(MATCH(J23,'환전펀드(전체운용사)'!$B:$B,0),0)&gt;0,"환전펀드","")))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H$3&amp;"'!"&amp;조회설정!$H$5&amp;":"&amp;조회설정!$H$5),MATCH(J24,INDIRECT("'"&amp;조회설정!$H$3&amp;"'!"&amp;조회설정!$H$4&amp;":"&amp;조회설정!$H$4),0)),IFERROR(VLOOKUP(J24,'환전펀드(전체운용사)'!$B:$C,2,FALSE()),""))</f>
        <v/>
      </c>
      <c r="J24" s="234"/>
      <c r="K24" s="42"/>
      <c r="L24" s="58"/>
      <c r="M24" s="51" t="str">
        <f ca="1">IF(OR(J24="",J24=0),"",IF(IFERROR(MATCH(J24,INDIRECT("'"&amp;조회설정!$H$3&amp;"'!"&amp;조회설정!$H$4&amp;":"&amp;조회설정!$H$4),0),0)&gt;0,조회설정!$H$3,IF(IFERROR(MATCH(J24,'환전펀드(전체운용사)'!$B:$B,0),0)&gt;0,"환전펀드","")))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H$3&amp;"'!"&amp;조회설정!$H$5&amp;":"&amp;조회설정!$H$5),MATCH(J25,INDIRECT("'"&amp;조회설정!$H$3&amp;"'!"&amp;조회설정!$H$4&amp;":"&amp;조회설정!$H$4),0)),IFERROR(VLOOKUP(J25,'환전펀드(전체운용사)'!$B:$C,2,FALSE()),""))</f>
        <v/>
      </c>
      <c r="J25" s="234"/>
      <c r="K25" s="42"/>
      <c r="L25" s="58"/>
      <c r="M25" s="51" t="str">
        <f ca="1">IF(OR(J25="",J25=0),"",IF(IFERROR(MATCH(J25,INDIRECT("'"&amp;조회설정!$H$3&amp;"'!"&amp;조회설정!$H$4&amp;":"&amp;조회설정!$H$4),0),0)&gt;0,조회설정!$H$3,IF(IFERROR(MATCH(J25,'환전펀드(전체운용사)'!$B:$B,0),0)&gt;0,"환전펀드","")))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4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70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9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금액동일SWAP,다르면 각각/★김민경·이해연건은 각각 투입",TRIM(LEFT($C$9,FIND(" ",$C$9&amp;" ")-1))&amp;" : 금액 동일하면 SWAP 투입, 다르면 각각 투입")))</f>
        <v>한투 : 금액동일SWAP,다르면 각각/★김민경·이해연건은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B14:N25">
    <cfRule type="expression" dxfId="1072" priority="111">
      <formula>AND($N14&lt;&gt;"",ISNUMBER($N14),$N14&lt;=700)</formula>
    </cfRule>
  </conditionalFormatting>
  <conditionalFormatting sqref="D27">
    <cfRule type="expression" dxfId="1071" priority="110">
      <formula>AND($N27&lt;&gt;"",ISNUMBER($N27),$N27&lt;=700)</formula>
    </cfRule>
  </conditionalFormatting>
  <conditionalFormatting sqref="C1:C1048576">
    <cfRule type="containsText" dxfId="1070" priority="106" operator="containsText" text="JPY">
      <formula>NOT(ISERROR(SEARCH("JPY",C1)))</formula>
    </cfRule>
    <cfRule type="containsText" dxfId="1069" priority="107" operator="containsText" text="JPY">
      <formula>NOT(ISERROR(SEARCH("JPY",C1)))</formula>
    </cfRule>
  </conditionalFormatting>
  <conditionalFormatting sqref="D28">
    <cfRule type="expression" dxfId="1068" priority="105">
      <formula>AND($N28&lt;&gt;"",ISNUMBER($N28),$N28&lt;=700)</formula>
    </cfRule>
  </conditionalFormatting>
  <conditionalFormatting sqref="F15">
    <cfRule type="expression" dxfId="1067" priority="73">
      <formula>AND($N15&lt;&gt;"",ISNUMBER($N15),$N15&lt;=700)</formula>
    </cfRule>
  </conditionalFormatting>
  <conditionalFormatting sqref="F16">
    <cfRule type="expression" dxfId="1066" priority="72">
      <formula>AND($N16&lt;&gt;"",ISNUMBER($N16),$N16&lt;=700)</formula>
    </cfRule>
  </conditionalFormatting>
  <conditionalFormatting sqref="F17">
    <cfRule type="expression" dxfId="1065" priority="71">
      <formula>AND($N17&lt;&gt;"",ISNUMBER($N17),$N17&lt;=700)</formula>
    </cfRule>
  </conditionalFormatting>
  <conditionalFormatting sqref="F18">
    <cfRule type="expression" dxfId="1064" priority="70">
      <formula>AND($N18&lt;&gt;"",ISNUMBER($N18),$N18&lt;=700)</formula>
    </cfRule>
  </conditionalFormatting>
  <conditionalFormatting sqref="F19">
    <cfRule type="expression" dxfId="1063" priority="69">
      <formula>AND($N19&lt;&gt;"",ISNUMBER($N19),$N19&lt;=700)</formula>
    </cfRule>
  </conditionalFormatting>
  <conditionalFormatting sqref="F20">
    <cfRule type="expression" dxfId="1062" priority="68">
      <formula>AND($N20&lt;&gt;"",ISNUMBER($N20),$N20&lt;=700)</formula>
    </cfRule>
  </conditionalFormatting>
  <conditionalFormatting sqref="F21">
    <cfRule type="expression" dxfId="1061" priority="63">
      <formula>AND($N21&lt;&gt;"",ISNUMBER($N21),$N21&lt;=700)</formula>
    </cfRule>
  </conditionalFormatting>
  <conditionalFormatting sqref="F22">
    <cfRule type="expression" dxfId="1060" priority="62">
      <formula>AND($N22&lt;&gt;"",ISNUMBER($N22),$N22&lt;=700)</formula>
    </cfRule>
  </conditionalFormatting>
  <conditionalFormatting sqref="F23">
    <cfRule type="expression" dxfId="1059" priority="61">
      <formula>AND($N23&lt;&gt;"",ISNUMBER($N23),$N23&lt;=700)</formula>
    </cfRule>
  </conditionalFormatting>
  <conditionalFormatting sqref="F24">
    <cfRule type="expression" dxfId="1058" priority="60">
      <formula>AND($N24&lt;&gt;"",ISNUMBER($N24),$N24&lt;=700)</formula>
    </cfRule>
  </conditionalFormatting>
  <conditionalFormatting sqref="F25">
    <cfRule type="expression" dxfId="1057" priority="59">
      <formula>AND($N25&lt;&gt;"",ISNUMBER($N25),$N25&lt;=700)</formula>
    </cfRule>
  </conditionalFormatting>
  <conditionalFormatting sqref="F26">
    <cfRule type="expression" dxfId="1056" priority="58">
      <formula>AND($N26&lt;&gt;"",ISNUMBER($N26),$N26&lt;=700)</formula>
    </cfRule>
  </conditionalFormatting>
  <conditionalFormatting sqref="G26">
    <cfRule type="expression" dxfId="1055" priority="56">
      <formula>AND($N26&lt;&gt;"",ISNUMBER($N26),$N26&lt;=700)</formula>
    </cfRule>
  </conditionalFormatting>
  <conditionalFormatting sqref="B14:D15">
    <cfRule type="expression" dxfId="1054" priority="52">
      <formula>AND($N14&lt;&gt;"",ISNUMBER($N14),$N14&lt;=700)</formula>
    </cfRule>
  </conditionalFormatting>
  <conditionalFormatting sqref="C14:C15">
    <cfRule type="containsText" dxfId="1053" priority="50" operator="containsText" text="JPY">
      <formula>NOT(ISERROR(SEARCH("JPY",C14)))</formula>
    </cfRule>
    <cfRule type="containsText" dxfId="1052" priority="51" operator="containsText" text="JPY">
      <formula>NOT(ISERROR(SEARCH("JPY",C14)))</formula>
    </cfRule>
  </conditionalFormatting>
  <conditionalFormatting sqref="B16:D17">
    <cfRule type="expression" dxfId="1051" priority="49">
      <formula>AND($N16&lt;&gt;"",ISNUMBER($N16),$N16&lt;=700)</formula>
    </cfRule>
  </conditionalFormatting>
  <conditionalFormatting sqref="C16:C17">
    <cfRule type="containsText" dxfId="1050" priority="47" operator="containsText" text="JPY">
      <formula>NOT(ISERROR(SEARCH("JPY",C16)))</formula>
    </cfRule>
    <cfRule type="containsText" dxfId="1049" priority="48" operator="containsText" text="JPY">
      <formula>NOT(ISERROR(SEARCH("JPY",C16)))</formula>
    </cfRule>
  </conditionalFormatting>
  <conditionalFormatting sqref="B18:D19">
    <cfRule type="expression" dxfId="1048" priority="46">
      <formula>AND($N18&lt;&gt;"",ISNUMBER($N18),$N18&lt;=700)</formula>
    </cfRule>
  </conditionalFormatting>
  <conditionalFormatting sqref="C18:C19">
    <cfRule type="containsText" dxfId="1047" priority="44" operator="containsText" text="JPY">
      <formula>NOT(ISERROR(SEARCH("JPY",C18)))</formula>
    </cfRule>
    <cfRule type="containsText" dxfId="1046" priority="45" operator="containsText" text="JPY">
      <formula>NOT(ISERROR(SEARCH("JPY",C18)))</formula>
    </cfRule>
  </conditionalFormatting>
  <conditionalFormatting sqref="B20:D21">
    <cfRule type="expression" dxfId="1045" priority="43">
      <formula>AND($N20&lt;&gt;"",ISNUMBER($N20),$N20&lt;=700)</formula>
    </cfRule>
  </conditionalFormatting>
  <conditionalFormatting sqref="C20:C21">
    <cfRule type="containsText" dxfId="1044" priority="41" operator="containsText" text="JPY">
      <formula>NOT(ISERROR(SEARCH("JPY",C20)))</formula>
    </cfRule>
    <cfRule type="containsText" dxfId="1043" priority="42" operator="containsText" text="JPY">
      <formula>NOT(ISERROR(SEARCH("JPY",C20)))</formula>
    </cfRule>
  </conditionalFormatting>
  <conditionalFormatting sqref="F18">
    <cfRule type="expression" dxfId="1042" priority="40">
      <formula>AND($N18&lt;&gt;"",ISNUMBER($N18),$N18&lt;=700)</formula>
    </cfRule>
  </conditionalFormatting>
  <conditionalFormatting sqref="D28">
    <cfRule type="expression" dxfId="1041" priority="39">
      <formula>AND($N28&lt;&gt;"",ISNUMBER($N28),$N28&lt;=700)</formula>
    </cfRule>
  </conditionalFormatting>
  <conditionalFormatting sqref="D28">
    <cfRule type="expression" dxfId="1040" priority="38">
      <formula>AND($N28&lt;&gt;"",ISNUMBER($N28),$N28&lt;=700)</formula>
    </cfRule>
  </conditionalFormatting>
  <conditionalFormatting sqref="F16">
    <cfRule type="expression" dxfId="1039" priority="37">
      <formula>AND($N16&lt;&gt;"",ISNUMBER($N16),$N16&lt;=700)</formula>
    </cfRule>
  </conditionalFormatting>
  <conditionalFormatting sqref="F17">
    <cfRule type="expression" dxfId="1038" priority="36">
      <formula>AND($N17&lt;&gt;"",ISNUMBER($N17),$N17&lt;=700)</formula>
    </cfRule>
  </conditionalFormatting>
  <conditionalFormatting sqref="F18">
    <cfRule type="expression" dxfId="1037" priority="35">
      <formula>AND($N18&lt;&gt;"",ISNUMBER($N18),$N18&lt;=700)</formula>
    </cfRule>
  </conditionalFormatting>
  <conditionalFormatting sqref="F19">
    <cfRule type="expression" dxfId="1036" priority="34">
      <formula>AND($N19&lt;&gt;"",ISNUMBER($N19),$N19&lt;=700)</formula>
    </cfRule>
  </conditionalFormatting>
  <conditionalFormatting sqref="F20">
    <cfRule type="expression" dxfId="1035" priority="33">
      <formula>AND($N20&lt;&gt;"",ISNUMBER($N20),$N20&lt;=700)</formula>
    </cfRule>
  </conditionalFormatting>
  <conditionalFormatting sqref="F21">
    <cfRule type="expression" dxfId="1034" priority="32">
      <formula>AND($N21&lt;&gt;"",ISNUMBER($N21),$N21&lt;=700)</formula>
    </cfRule>
  </conditionalFormatting>
  <conditionalFormatting sqref="F22">
    <cfRule type="expression" dxfId="1033" priority="31">
      <formula>AND($N22&lt;&gt;"",ISNUMBER($N22),$N22&lt;=700)</formula>
    </cfRule>
  </conditionalFormatting>
  <conditionalFormatting sqref="D28">
    <cfRule type="expression" dxfId="1032" priority="30">
      <formula>AND($N28&lt;&gt;"",ISNUMBER($N28),$N28&lt;=700)</formula>
    </cfRule>
  </conditionalFormatting>
  <conditionalFormatting sqref="D28">
    <cfRule type="expression" dxfId="1031" priority="29">
      <formula>AND($N28&lt;&gt;"",ISNUMBER($N28),$N28&lt;=700)</formula>
    </cfRule>
  </conditionalFormatting>
  <conditionalFormatting sqref="D28">
    <cfRule type="expression" dxfId="1030" priority="28">
      <formula>AND($N28&lt;&gt;"",ISNUMBER($N28),$N28&lt;=700)</formula>
    </cfRule>
  </conditionalFormatting>
  <conditionalFormatting sqref="D28">
    <cfRule type="expression" dxfId="1029" priority="27">
      <formula>AND($N28&lt;&gt;"",ISNUMBER($N28),$N28&lt;=700)</formula>
    </cfRule>
  </conditionalFormatting>
  <conditionalFormatting sqref="D28">
    <cfRule type="expression" dxfId="1028" priority="26">
      <formula>AND($N28&lt;&gt;"",ISNUMBER($N28),$N28&lt;=700)</formula>
    </cfRule>
  </conditionalFormatting>
  <conditionalFormatting sqref="D28">
    <cfRule type="expression" dxfId="1027" priority="25">
      <formula>AND($N28&lt;&gt;"",ISNUMBER($N28),$N28&lt;=700)</formula>
    </cfRule>
  </conditionalFormatting>
  <conditionalFormatting sqref="D28">
    <cfRule type="expression" dxfId="1026" priority="24">
      <formula>AND($N28&lt;&gt;"",ISNUMBER($N28),$N28&lt;=700)</formula>
    </cfRule>
  </conditionalFormatting>
  <conditionalFormatting sqref="F17">
    <cfRule type="expression" dxfId="1025" priority="23">
      <formula>AND($N17&lt;&gt;"",ISNUMBER($N17),$N17&lt;=700)</formula>
    </cfRule>
  </conditionalFormatting>
  <conditionalFormatting sqref="F17">
    <cfRule type="expression" dxfId="1024" priority="22">
      <formula>AND($N17&lt;&gt;"",ISNUMBER($N17),$N17&lt;=700)</formula>
    </cfRule>
  </conditionalFormatting>
  <conditionalFormatting sqref="F18">
    <cfRule type="expression" dxfId="1023" priority="21">
      <formula>AND($N18&lt;&gt;"",ISNUMBER($N18),$N18&lt;=700)</formula>
    </cfRule>
  </conditionalFormatting>
  <conditionalFormatting sqref="F18">
    <cfRule type="expression" dxfId="1022" priority="20">
      <formula>AND($N18&lt;&gt;"",ISNUMBER($N18),$N18&lt;=700)</formula>
    </cfRule>
  </conditionalFormatting>
  <conditionalFormatting sqref="F19">
    <cfRule type="expression" dxfId="1021" priority="19">
      <formula>AND($N19&lt;&gt;"",ISNUMBER($N19),$N19&lt;=700)</formula>
    </cfRule>
  </conditionalFormatting>
  <conditionalFormatting sqref="F19">
    <cfRule type="expression" dxfId="1020" priority="18">
      <formula>AND($N19&lt;&gt;"",ISNUMBER($N19),$N19&lt;=700)</formula>
    </cfRule>
  </conditionalFormatting>
  <conditionalFormatting sqref="F20">
    <cfRule type="expression" dxfId="1019" priority="17">
      <formula>AND($N20&lt;&gt;"",ISNUMBER($N20),$N20&lt;=700)</formula>
    </cfRule>
  </conditionalFormatting>
  <conditionalFormatting sqref="F20">
    <cfRule type="expression" dxfId="1018" priority="16">
      <formula>AND($N20&lt;&gt;"",ISNUMBER($N20),$N20&lt;=700)</formula>
    </cfRule>
  </conditionalFormatting>
  <conditionalFormatting sqref="F21">
    <cfRule type="expression" dxfId="1017" priority="15">
      <formula>AND($N21&lt;&gt;"",ISNUMBER($N21),$N21&lt;=700)</formula>
    </cfRule>
  </conditionalFormatting>
  <conditionalFormatting sqref="F21">
    <cfRule type="expression" dxfId="1016" priority="14">
      <formula>AND($N21&lt;&gt;"",ISNUMBER($N21),$N21&lt;=700)</formula>
    </cfRule>
  </conditionalFormatting>
  <conditionalFormatting sqref="F22">
    <cfRule type="expression" dxfId="1015" priority="13">
      <formula>AND($N22&lt;&gt;"",ISNUMBER($N22),$N22&lt;=700)</formula>
    </cfRule>
  </conditionalFormatting>
  <conditionalFormatting sqref="F22">
    <cfRule type="expression" dxfId="1014" priority="12">
      <formula>AND($N22&lt;&gt;"",ISNUMBER($N22),$N22&lt;=700)</formula>
    </cfRule>
  </conditionalFormatting>
  <conditionalFormatting sqref="F23">
    <cfRule type="expression" dxfId="1013" priority="11">
      <formula>AND($N23&lt;&gt;"",ISNUMBER($N23),$N23&lt;=700)</formula>
    </cfRule>
  </conditionalFormatting>
  <conditionalFormatting sqref="F23">
    <cfRule type="expression" dxfId="1012" priority="10">
      <formula>AND($N23&lt;&gt;"",ISNUMBER($N23),$N23&lt;=700)</formula>
    </cfRule>
  </conditionalFormatting>
  <conditionalFormatting sqref="D28">
    <cfRule type="expression" dxfId="1011" priority="9">
      <formula>AND($N28&lt;&gt;"",ISNUMBER($N28),$N28&lt;=700)</formula>
    </cfRule>
  </conditionalFormatting>
  <conditionalFormatting sqref="D28">
    <cfRule type="expression" dxfId="1010" priority="8">
      <formula>AND($N28&lt;&gt;"",ISNUMBER($N28),$N28&lt;=700)</formula>
    </cfRule>
  </conditionalFormatting>
  <conditionalFormatting sqref="F17">
    <cfRule type="expression" dxfId="1009" priority="7">
      <formula>AND($N17&lt;&gt;"",ISNUMBER($N17),$N17&lt;=700)</formula>
    </cfRule>
  </conditionalFormatting>
  <conditionalFormatting sqref="D28">
    <cfRule type="expression" dxfId="1008" priority="6">
      <formula>AND($N28&lt;&gt;"",ISNUMBER($N28),$N28&lt;=700)</formula>
    </cfRule>
  </conditionalFormatting>
  <conditionalFormatting sqref="D28">
    <cfRule type="expression" dxfId="1007" priority="5">
      <formula>AND($N28&lt;&gt;"",ISNUMBER($N28),$N28&lt;=700)</formula>
    </cfRule>
  </conditionalFormatting>
  <conditionalFormatting sqref="D27">
    <cfRule type="expression" dxfId="1006" priority="4">
      <formula>AND($N27&lt;&gt;"",ISNUMBER($N27),$N27&lt;=700)</formula>
    </cfRule>
  </conditionalFormatting>
  <conditionalFormatting sqref="D27">
    <cfRule type="expression" dxfId="1005" priority="3">
      <formula>AND($N27&lt;&gt;"",ISNUMBER($N27),$N27&lt;=700)</formula>
    </cfRule>
  </conditionalFormatting>
  <conditionalFormatting sqref="D28">
    <cfRule type="expression" dxfId="1" priority="2">
      <formula>AND($N28&lt;&gt;"",ISNUMBER($N28),$N28&lt;=700)</formula>
    </cfRule>
  </conditionalFormatting>
  <conditionalFormatting sqref="D28">
    <cfRule type="expression" dxfId="0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IW63"/>
  <sheetViews>
    <sheetView zoomScaleNormal="100" workbookViewId="0">
      <selection activeCell="G20" sqref="G20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A8" s="1" t="s">
        <v>3207</v>
      </c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3215</v>
      </c>
      <c r="D9" s="13" t="s">
        <v>3214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7" t="s">
        <v>17</v>
      </c>
      <c r="D13" s="27" t="s">
        <v>18</v>
      </c>
      <c r="E13" s="241" t="s">
        <v>19</v>
      </c>
      <c r="F13" s="241"/>
      <c r="G13" s="28" t="s">
        <v>20</v>
      </c>
      <c r="H13" s="29" t="s">
        <v>21</v>
      </c>
      <c r="I13" s="249">
        <f ca="1">TODAY()</f>
        <v>46294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3213</v>
      </c>
      <c r="C14" s="34" t="s">
        <v>92</v>
      </c>
      <c r="D14" s="209">
        <v>1060000</v>
      </c>
      <c r="E14" s="36"/>
      <c r="F14" s="36">
        <v>1364.9</v>
      </c>
      <c r="G14" s="37"/>
      <c r="H14" s="39">
        <f t="shared" ref="H14:H26" si="0">F14+G14</f>
        <v>1364.9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SHB</v>
      </c>
      <c r="J14" s="235">
        <v>83659</v>
      </c>
      <c r="K14" s="42">
        <v>46295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IBK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6"/>
      <c r="G15" s="37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5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212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5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4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4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209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3176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2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IBK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E2:H3"/>
    <mergeCell ref="B7:D7"/>
    <mergeCell ref="A9:B9"/>
    <mergeCell ref="A10:B10"/>
    <mergeCell ref="A11:B11"/>
    <mergeCell ref="E13:F13"/>
    <mergeCell ref="I13:L13"/>
    <mergeCell ref="A28:B28"/>
    <mergeCell ref="A29:B29"/>
    <mergeCell ref="K29:L29"/>
  </mergeCells>
  <phoneticPr fontId="10" type="noConversion"/>
  <conditionalFormatting sqref="D14">
    <cfRule type="expression" dxfId="1004" priority="7099">
      <formula>AND($N14&lt;&gt;"",ISNUMBER($N14),$N14&lt;=700)</formula>
    </cfRule>
  </conditionalFormatting>
  <conditionalFormatting sqref="D15">
    <cfRule type="expression" dxfId="1003" priority="7098">
      <formula>AND($N15&lt;&gt;"",ISNUMBER($N15),$N15&lt;=700)</formula>
    </cfRule>
  </conditionalFormatting>
  <conditionalFormatting sqref="D18">
    <cfRule type="expression" dxfId="1002" priority="7096">
      <formula>AND($N18&lt;&gt;"",ISNUMBER($N18),$N18&lt;=700)</formula>
    </cfRule>
  </conditionalFormatting>
  <conditionalFormatting sqref="D19">
    <cfRule type="expression" dxfId="1001" priority="7095">
      <formula>AND($N19&lt;&gt;"",ISNUMBER($N19),$N19&lt;=700)</formula>
    </cfRule>
  </conditionalFormatting>
  <conditionalFormatting sqref="D22">
    <cfRule type="expression" dxfId="1000" priority="7093">
      <formula>AND($N22&lt;&gt;"",ISNUMBER($N22),$N22&lt;=700)</formula>
    </cfRule>
  </conditionalFormatting>
  <conditionalFormatting sqref="D23">
    <cfRule type="expression" dxfId="999" priority="7092">
      <formula>AND($N23&lt;&gt;"",ISNUMBER($N23),$N23&lt;=700)</formula>
    </cfRule>
  </conditionalFormatting>
  <conditionalFormatting sqref="D24">
    <cfRule type="expression" dxfId="998" priority="7091">
      <formula>AND($N24&lt;&gt;"",ISNUMBER($N24),$N24&lt;=700)</formula>
    </cfRule>
  </conditionalFormatting>
  <conditionalFormatting sqref="D25">
    <cfRule type="expression" dxfId="997" priority="7090">
      <formula>AND($N25&lt;&gt;"",ISNUMBER($N25),$N25&lt;=700)</formula>
    </cfRule>
  </conditionalFormatting>
  <conditionalFormatting sqref="D26">
    <cfRule type="expression" dxfId="996" priority="7089">
      <formula>AND($N26&lt;&gt;"",ISNUMBER($N26),$N26&lt;=700)</formula>
    </cfRule>
  </conditionalFormatting>
  <conditionalFormatting sqref="D28">
    <cfRule type="expression" dxfId="995" priority="7085">
      <formula>AND($N28&lt;&gt;"",ISNUMBER($N28),$N28&lt;=700)</formula>
    </cfRule>
  </conditionalFormatting>
  <conditionalFormatting sqref="D27">
    <cfRule type="expression" dxfId="994" priority="7084">
      <formula>AND($N27&lt;&gt;"",ISNUMBER($N27),$N27&lt;=700)</formula>
    </cfRule>
  </conditionalFormatting>
  <conditionalFormatting sqref="D16:D25">
    <cfRule type="expression" dxfId="993" priority="7066">
      <formula>AND($N16&lt;&gt;"",ISNUMBER($N16),$N16&lt;=700)</formula>
    </cfRule>
  </conditionalFormatting>
  <conditionalFormatting sqref="D16">
    <cfRule type="expression" dxfId="992" priority="7036">
      <formula>AND($N16&lt;&gt;"",ISNUMBER($N16),$N16&lt;=700)</formula>
    </cfRule>
  </conditionalFormatting>
  <conditionalFormatting sqref="D20">
    <cfRule type="expression" dxfId="991" priority="7008">
      <formula>AND($N20&lt;&gt;"",ISNUMBER($N20),$N20&lt;=700)</formula>
    </cfRule>
  </conditionalFormatting>
  <conditionalFormatting sqref="D21">
    <cfRule type="expression" dxfId="990" priority="6607">
      <formula>AND($N21&lt;&gt;"",ISNUMBER($N21),$N21&lt;=700)</formula>
    </cfRule>
  </conditionalFormatting>
  <conditionalFormatting sqref="D19">
    <cfRule type="expression" dxfId="989" priority="898">
      <formula>AND($N19&lt;&gt;"",ISNUMBER($N19),$N19&lt;=700)</formula>
    </cfRule>
  </conditionalFormatting>
  <conditionalFormatting sqref="D20">
    <cfRule type="expression" dxfId="988" priority="897">
      <formula>AND($N20&lt;&gt;"",ISNUMBER($N20),$N20&lt;=700)</formula>
    </cfRule>
  </conditionalFormatting>
  <conditionalFormatting sqref="D23">
    <cfRule type="expression" dxfId="987" priority="896">
      <formula>AND($N23&lt;&gt;"",ISNUMBER($N23),$N23&lt;=700)</formula>
    </cfRule>
  </conditionalFormatting>
  <conditionalFormatting sqref="D21">
    <cfRule type="expression" dxfId="986" priority="895">
      <formula>AND($N21&lt;&gt;"",ISNUMBER($N21),$N21&lt;=700)</formula>
    </cfRule>
  </conditionalFormatting>
  <conditionalFormatting sqref="D22">
    <cfRule type="expression" dxfId="985" priority="894">
      <formula>AND($N22&lt;&gt;"",ISNUMBER($N22),$N22&lt;=700)</formula>
    </cfRule>
  </conditionalFormatting>
  <conditionalFormatting sqref="D23">
    <cfRule type="expression" dxfId="984" priority="893">
      <formula>AND($N23&lt;&gt;"",ISNUMBER($N23),$N23&lt;=700)</formula>
    </cfRule>
  </conditionalFormatting>
  <conditionalFormatting sqref="D24">
    <cfRule type="expression" dxfId="983" priority="892">
      <formula>AND($N24&lt;&gt;"",ISNUMBER($N24),$N24&lt;=700)</formula>
    </cfRule>
  </conditionalFormatting>
  <conditionalFormatting sqref="D22">
    <cfRule type="expression" dxfId="982" priority="891">
      <formula>AND($N22&lt;&gt;"",ISNUMBER($N22),$N22&lt;=700)</formula>
    </cfRule>
  </conditionalFormatting>
  <conditionalFormatting sqref="D24">
    <cfRule type="expression" dxfId="981" priority="890">
      <formula>AND($N24&lt;&gt;"",ISNUMBER($N24),$N24&lt;=700)</formula>
    </cfRule>
  </conditionalFormatting>
  <conditionalFormatting sqref="D22">
    <cfRule type="expression" dxfId="980" priority="889">
      <formula>AND($N22&lt;&gt;"",ISNUMBER($N22),$N22&lt;=700)</formula>
    </cfRule>
  </conditionalFormatting>
  <conditionalFormatting sqref="D23">
    <cfRule type="expression" dxfId="979" priority="888">
      <formula>AND($N23&lt;&gt;"",ISNUMBER($N23),$N23&lt;=700)</formula>
    </cfRule>
  </conditionalFormatting>
  <conditionalFormatting sqref="D19">
    <cfRule type="expression" dxfId="978" priority="887">
      <formula>AND($N19&lt;&gt;"",ISNUMBER($N19),$N19&lt;=700)</formula>
    </cfRule>
  </conditionalFormatting>
  <conditionalFormatting sqref="D20">
    <cfRule type="expression" dxfId="977" priority="886">
      <formula>AND($N20&lt;&gt;"",ISNUMBER($N20),$N20&lt;=700)</formula>
    </cfRule>
  </conditionalFormatting>
  <conditionalFormatting sqref="D23">
    <cfRule type="expression" dxfId="976" priority="885">
      <formula>AND($N23&lt;&gt;"",ISNUMBER($N23),$N23&lt;=700)</formula>
    </cfRule>
  </conditionalFormatting>
  <conditionalFormatting sqref="D21">
    <cfRule type="expression" dxfId="975" priority="884">
      <formula>AND($N21&lt;&gt;"",ISNUMBER($N21),$N21&lt;=700)</formula>
    </cfRule>
  </conditionalFormatting>
  <conditionalFormatting sqref="D22">
    <cfRule type="expression" dxfId="974" priority="883">
      <formula>AND($N22&lt;&gt;"",ISNUMBER($N22),$N22&lt;=700)</formula>
    </cfRule>
  </conditionalFormatting>
  <conditionalFormatting sqref="D20">
    <cfRule type="expression" dxfId="973" priority="882">
      <formula>AND($N20&lt;&gt;"",ISNUMBER($N20),$N20&lt;=700)</formula>
    </cfRule>
  </conditionalFormatting>
  <conditionalFormatting sqref="D21">
    <cfRule type="expression" dxfId="972" priority="881">
      <formula>AND($N21&lt;&gt;"",ISNUMBER($N21),$N21&lt;=700)</formula>
    </cfRule>
  </conditionalFormatting>
  <conditionalFormatting sqref="D22">
    <cfRule type="expression" dxfId="971" priority="880">
      <formula>AND($N22&lt;&gt;"",ISNUMBER($N22),$N22&lt;=700)</formula>
    </cfRule>
  </conditionalFormatting>
  <conditionalFormatting sqref="D23">
    <cfRule type="expression" dxfId="970" priority="879">
      <formula>AND($N23&lt;&gt;"",ISNUMBER($N23),$N23&lt;=700)</formula>
    </cfRule>
  </conditionalFormatting>
  <conditionalFormatting sqref="D23">
    <cfRule type="expression" dxfId="969" priority="878">
      <formula>AND($N23&lt;&gt;"",ISNUMBER($N23),$N23&lt;=700)</formula>
    </cfRule>
  </conditionalFormatting>
  <conditionalFormatting sqref="D23">
    <cfRule type="expression" dxfId="968" priority="877">
      <formula>AND($N23&lt;&gt;"",ISNUMBER($N23),$N23&lt;=700)</formula>
    </cfRule>
  </conditionalFormatting>
  <conditionalFormatting sqref="D23">
    <cfRule type="expression" dxfId="967" priority="876">
      <formula>AND($N23&lt;&gt;"",ISNUMBER($N23),$N23&lt;=700)</formula>
    </cfRule>
  </conditionalFormatting>
  <conditionalFormatting sqref="D24">
    <cfRule type="expression" dxfId="966" priority="875">
      <formula>AND($N24&lt;&gt;"",ISNUMBER($N24),$N24&lt;=700)</formula>
    </cfRule>
  </conditionalFormatting>
  <conditionalFormatting sqref="D22">
    <cfRule type="expression" dxfId="965" priority="874">
      <formula>AND($N22&lt;&gt;"",ISNUMBER($N22),$N22&lt;=700)</formula>
    </cfRule>
  </conditionalFormatting>
  <conditionalFormatting sqref="D24">
    <cfRule type="expression" dxfId="964" priority="873">
      <formula>AND($N24&lt;&gt;"",ISNUMBER($N24),$N24&lt;=700)</formula>
    </cfRule>
  </conditionalFormatting>
  <conditionalFormatting sqref="D22">
    <cfRule type="expression" dxfId="963" priority="872">
      <formula>AND($N22&lt;&gt;"",ISNUMBER($N22),$N22&lt;=700)</formula>
    </cfRule>
  </conditionalFormatting>
  <conditionalFormatting sqref="D23">
    <cfRule type="expression" dxfId="962" priority="871">
      <formula>AND($N23&lt;&gt;"",ISNUMBER($N23),$N23&lt;=700)</formula>
    </cfRule>
  </conditionalFormatting>
  <conditionalFormatting sqref="D24">
    <cfRule type="expression" dxfId="961" priority="870">
      <formula>AND($N24&lt;&gt;"",ISNUMBER($N24),$N24&lt;=700)</formula>
    </cfRule>
  </conditionalFormatting>
  <conditionalFormatting sqref="D23">
    <cfRule type="expression" dxfId="960" priority="869">
      <formula>AND($N23&lt;&gt;"",ISNUMBER($N23),$N23&lt;=700)</formula>
    </cfRule>
  </conditionalFormatting>
  <conditionalFormatting sqref="D23">
    <cfRule type="expression" dxfId="959" priority="868">
      <formula>AND($N23&lt;&gt;"",ISNUMBER($N23),$N23&lt;=700)</formula>
    </cfRule>
  </conditionalFormatting>
  <conditionalFormatting sqref="D24">
    <cfRule type="expression" dxfId="958" priority="867">
      <formula>AND($N24&lt;&gt;"",ISNUMBER($N24),$N24&lt;=700)</formula>
    </cfRule>
  </conditionalFormatting>
  <conditionalFormatting sqref="D24">
    <cfRule type="expression" dxfId="957" priority="866">
      <formula>AND($N24&lt;&gt;"",ISNUMBER($N24),$N24&lt;=700)</formula>
    </cfRule>
  </conditionalFormatting>
  <conditionalFormatting sqref="D22">
    <cfRule type="expression" dxfId="956" priority="865">
      <formula>AND($N22&lt;&gt;"",ISNUMBER($N22),$N22&lt;=700)</formula>
    </cfRule>
  </conditionalFormatting>
  <conditionalFormatting sqref="D23">
    <cfRule type="expression" dxfId="955" priority="864">
      <formula>AND($N23&lt;&gt;"",ISNUMBER($N23),$N23&lt;=700)</formula>
    </cfRule>
  </conditionalFormatting>
  <conditionalFormatting sqref="D22">
    <cfRule type="expression" dxfId="954" priority="863">
      <formula>AND($N22&lt;&gt;"",ISNUMBER($N22),$N22&lt;=700)</formula>
    </cfRule>
  </conditionalFormatting>
  <conditionalFormatting sqref="D23">
    <cfRule type="expression" dxfId="953" priority="862">
      <formula>AND($N23&lt;&gt;"",ISNUMBER($N23),$N23&lt;=700)</formula>
    </cfRule>
  </conditionalFormatting>
  <conditionalFormatting sqref="D24">
    <cfRule type="expression" dxfId="952" priority="861">
      <formula>AND($N24&lt;&gt;"",ISNUMBER($N24),$N24&lt;=700)</formula>
    </cfRule>
  </conditionalFormatting>
  <conditionalFormatting sqref="D24">
    <cfRule type="expression" dxfId="951" priority="860">
      <formula>AND($N24&lt;&gt;"",ISNUMBER($N24),$N24&lt;=700)</formula>
    </cfRule>
  </conditionalFormatting>
  <conditionalFormatting sqref="D24">
    <cfRule type="expression" dxfId="950" priority="859">
      <formula>AND($N24&lt;&gt;"",ISNUMBER($N24),$N24&lt;=700)</formula>
    </cfRule>
  </conditionalFormatting>
  <conditionalFormatting sqref="D28">
    <cfRule type="expression" dxfId="949" priority="858">
      <formula>AND($N28&lt;&gt;"",ISNUMBER($N28),$N28&lt;=700)</formula>
    </cfRule>
  </conditionalFormatting>
  <conditionalFormatting sqref="D27">
    <cfRule type="expression" dxfId="948" priority="857">
      <formula>AND($N27&lt;&gt;"",ISNUMBER($N27),$N27&lt;=700)</formula>
    </cfRule>
  </conditionalFormatting>
  <conditionalFormatting sqref="B14:D15">
    <cfRule type="expression" dxfId="947" priority="856">
      <formula>AND($N14&lt;&gt;"",ISNUMBER($N14),$N14&lt;=700)</formula>
    </cfRule>
  </conditionalFormatting>
  <conditionalFormatting sqref="C14:C15">
    <cfRule type="containsText" dxfId="946" priority="854" operator="containsText" text="JPY">
      <formula>NOT(ISERROR(SEARCH("JPY",C14)))</formula>
    </cfRule>
    <cfRule type="containsText" dxfId="945" priority="855" operator="containsText" text="JPY">
      <formula>NOT(ISERROR(SEARCH("JPY",C14)))</formula>
    </cfRule>
  </conditionalFormatting>
  <conditionalFormatting sqref="B17:D20">
    <cfRule type="expression" dxfId="944" priority="853">
      <formula>AND($N17&lt;&gt;"",ISNUMBER($N17),$N17&lt;=700)</formula>
    </cfRule>
  </conditionalFormatting>
  <conditionalFormatting sqref="C17:C20">
    <cfRule type="containsText" dxfId="943" priority="851" operator="containsText" text="JPY">
      <formula>NOT(ISERROR(SEARCH("JPY",C17)))</formula>
    </cfRule>
    <cfRule type="containsText" dxfId="942" priority="852" operator="containsText" text="JPY">
      <formula>NOT(ISERROR(SEARCH("JPY",C17)))</formula>
    </cfRule>
  </conditionalFormatting>
  <conditionalFormatting sqref="B21:D24">
    <cfRule type="expression" dxfId="941" priority="850">
      <formula>AND($N21&lt;&gt;"",ISNUMBER($N21),$N21&lt;=700)</formula>
    </cfRule>
  </conditionalFormatting>
  <conditionalFormatting sqref="C21:C24">
    <cfRule type="containsText" dxfId="940" priority="848" operator="containsText" text="JPY">
      <formula>NOT(ISERROR(SEARCH("JPY",C21)))</formula>
    </cfRule>
    <cfRule type="containsText" dxfId="939" priority="849" operator="containsText" text="JPY">
      <formula>NOT(ISERROR(SEARCH("JPY",C21)))</formula>
    </cfRule>
  </conditionalFormatting>
  <conditionalFormatting sqref="B23:D24">
    <cfRule type="expression" dxfId="938" priority="847">
      <formula>AND($N23&lt;&gt;"",ISNUMBER($N23),$N23&lt;=700)</formula>
    </cfRule>
  </conditionalFormatting>
  <conditionalFormatting sqref="C23:C24">
    <cfRule type="containsText" dxfId="937" priority="845" operator="containsText" text="JPY">
      <formula>NOT(ISERROR(SEARCH("JPY",C23)))</formula>
    </cfRule>
    <cfRule type="containsText" dxfId="936" priority="846" operator="containsText" text="JPY">
      <formula>NOT(ISERROR(SEARCH("JPY",C23)))</formula>
    </cfRule>
  </conditionalFormatting>
  <conditionalFormatting sqref="B18:D20">
    <cfRule type="expression" dxfId="935" priority="844">
      <formula>AND($N18&lt;&gt;"",ISNUMBER($N18),$N18&lt;=700)</formula>
    </cfRule>
  </conditionalFormatting>
  <conditionalFormatting sqref="C18:C20">
    <cfRule type="containsText" dxfId="934" priority="842" operator="containsText" text="JPY">
      <formula>NOT(ISERROR(SEARCH("JPY",C18)))</formula>
    </cfRule>
    <cfRule type="containsText" dxfId="933" priority="843" operator="containsText" text="JPY">
      <formula>NOT(ISERROR(SEARCH("JPY",C18)))</formula>
    </cfRule>
  </conditionalFormatting>
  <conditionalFormatting sqref="B19:D21">
    <cfRule type="expression" dxfId="932" priority="841">
      <formula>AND($N19&lt;&gt;"",ISNUMBER($N19),$N19&lt;=700)</formula>
    </cfRule>
  </conditionalFormatting>
  <conditionalFormatting sqref="C19:C21">
    <cfRule type="containsText" dxfId="931" priority="839" operator="containsText" text="JPY">
      <formula>NOT(ISERROR(SEARCH("JPY",C19)))</formula>
    </cfRule>
    <cfRule type="containsText" dxfId="930" priority="840" operator="containsText" text="JPY">
      <formula>NOT(ISERROR(SEARCH("JPY",C19)))</formula>
    </cfRule>
  </conditionalFormatting>
  <conditionalFormatting sqref="D19">
    <cfRule type="expression" dxfId="929" priority="838">
      <formula>AND($N19&lt;&gt;"",ISNUMBER($N19),$N19&lt;=700)</formula>
    </cfRule>
  </conditionalFormatting>
  <conditionalFormatting sqref="D20">
    <cfRule type="expression" dxfId="928" priority="837">
      <formula>AND($N20&lt;&gt;"",ISNUMBER($N20),$N20&lt;=700)</formula>
    </cfRule>
  </conditionalFormatting>
  <conditionalFormatting sqref="D23">
    <cfRule type="expression" dxfId="927" priority="836">
      <formula>AND($N23&lt;&gt;"",ISNUMBER($N23),$N23&lt;=700)</formula>
    </cfRule>
  </conditionalFormatting>
  <conditionalFormatting sqref="D21">
    <cfRule type="expression" dxfId="926" priority="835">
      <formula>AND($N21&lt;&gt;"",ISNUMBER($N21),$N21&lt;=700)</formula>
    </cfRule>
  </conditionalFormatting>
  <conditionalFormatting sqref="D22">
    <cfRule type="expression" dxfId="925" priority="834">
      <formula>AND($N22&lt;&gt;"",ISNUMBER($N22),$N22&lt;=700)</formula>
    </cfRule>
  </conditionalFormatting>
  <conditionalFormatting sqref="D20">
    <cfRule type="expression" dxfId="924" priority="833">
      <formula>AND($N20&lt;&gt;"",ISNUMBER($N20),$N20&lt;=700)</formula>
    </cfRule>
  </conditionalFormatting>
  <conditionalFormatting sqref="D21">
    <cfRule type="expression" dxfId="923" priority="832">
      <formula>AND($N21&lt;&gt;"",ISNUMBER($N21),$N21&lt;=700)</formula>
    </cfRule>
  </conditionalFormatting>
  <conditionalFormatting sqref="D22">
    <cfRule type="expression" dxfId="922" priority="831">
      <formula>AND($N22&lt;&gt;"",ISNUMBER($N22),$N22&lt;=700)</formula>
    </cfRule>
  </conditionalFormatting>
  <conditionalFormatting sqref="D23">
    <cfRule type="expression" dxfId="921" priority="830">
      <formula>AND($N23&lt;&gt;"",ISNUMBER($N23),$N23&lt;=700)</formula>
    </cfRule>
  </conditionalFormatting>
  <conditionalFormatting sqref="D23">
    <cfRule type="expression" dxfId="920" priority="829">
      <formula>AND($N23&lt;&gt;"",ISNUMBER($N23),$N23&lt;=700)</formula>
    </cfRule>
  </conditionalFormatting>
  <conditionalFormatting sqref="D23">
    <cfRule type="expression" dxfId="919" priority="828">
      <formula>AND($N23&lt;&gt;"",ISNUMBER($N23),$N23&lt;=700)</formula>
    </cfRule>
  </conditionalFormatting>
  <conditionalFormatting sqref="D20">
    <cfRule type="expression" dxfId="918" priority="827">
      <formula>AND($N20&lt;&gt;"",ISNUMBER($N20),$N20&lt;=700)</formula>
    </cfRule>
  </conditionalFormatting>
  <conditionalFormatting sqref="D21">
    <cfRule type="expression" dxfId="917" priority="826">
      <formula>AND($N21&lt;&gt;"",ISNUMBER($N21),$N21&lt;=700)</formula>
    </cfRule>
  </conditionalFormatting>
  <conditionalFormatting sqref="D22">
    <cfRule type="expression" dxfId="916" priority="825">
      <formula>AND($N22&lt;&gt;"",ISNUMBER($N22),$N22&lt;=700)</formula>
    </cfRule>
  </conditionalFormatting>
  <conditionalFormatting sqref="D23">
    <cfRule type="expression" dxfId="915" priority="824">
      <formula>AND($N23&lt;&gt;"",ISNUMBER($N23),$N23&lt;=700)</formula>
    </cfRule>
  </conditionalFormatting>
  <conditionalFormatting sqref="D21">
    <cfRule type="expression" dxfId="914" priority="823">
      <formula>AND($N21&lt;&gt;"",ISNUMBER($N21),$N21&lt;=700)</formula>
    </cfRule>
  </conditionalFormatting>
  <conditionalFormatting sqref="D22">
    <cfRule type="expression" dxfId="913" priority="822">
      <formula>AND($N22&lt;&gt;"",ISNUMBER($N22),$N22&lt;=700)</formula>
    </cfRule>
  </conditionalFormatting>
  <conditionalFormatting sqref="D23">
    <cfRule type="expression" dxfId="912" priority="821">
      <formula>AND($N23&lt;&gt;"",ISNUMBER($N23),$N23&lt;=700)</formula>
    </cfRule>
  </conditionalFormatting>
  <conditionalFormatting sqref="D23">
    <cfRule type="expression" dxfId="911" priority="820">
      <formula>AND($N23&lt;&gt;"",ISNUMBER($N23),$N23&lt;=700)</formula>
    </cfRule>
  </conditionalFormatting>
  <conditionalFormatting sqref="D23">
    <cfRule type="expression" dxfId="910" priority="819">
      <formula>AND($N23&lt;&gt;"",ISNUMBER($N23),$N23&lt;=700)</formula>
    </cfRule>
  </conditionalFormatting>
  <conditionalFormatting sqref="D23">
    <cfRule type="expression" dxfId="909" priority="818">
      <formula>AND($N23&lt;&gt;"",ISNUMBER($N23),$N23&lt;=700)</formula>
    </cfRule>
  </conditionalFormatting>
  <conditionalFormatting sqref="D23">
    <cfRule type="expression" dxfId="908" priority="817">
      <formula>AND($N23&lt;&gt;"",ISNUMBER($N23),$N23&lt;=700)</formula>
    </cfRule>
  </conditionalFormatting>
  <conditionalFormatting sqref="D23">
    <cfRule type="expression" dxfId="907" priority="816">
      <formula>AND($N23&lt;&gt;"",ISNUMBER($N23),$N23&lt;=700)</formula>
    </cfRule>
  </conditionalFormatting>
  <conditionalFormatting sqref="D24">
    <cfRule type="expression" dxfId="906" priority="815">
      <formula>AND($N24&lt;&gt;"",ISNUMBER($N24),$N24&lt;=700)</formula>
    </cfRule>
  </conditionalFormatting>
  <conditionalFormatting sqref="D22">
    <cfRule type="expression" dxfId="905" priority="814">
      <formula>AND($N22&lt;&gt;"",ISNUMBER($N22),$N22&lt;=700)</formula>
    </cfRule>
  </conditionalFormatting>
  <conditionalFormatting sqref="D24">
    <cfRule type="expression" dxfId="904" priority="813">
      <formula>AND($N24&lt;&gt;"",ISNUMBER($N24),$N24&lt;=700)</formula>
    </cfRule>
  </conditionalFormatting>
  <conditionalFormatting sqref="D22">
    <cfRule type="expression" dxfId="903" priority="812">
      <formula>AND($N22&lt;&gt;"",ISNUMBER($N22),$N22&lt;=700)</formula>
    </cfRule>
  </conditionalFormatting>
  <conditionalFormatting sqref="D23">
    <cfRule type="expression" dxfId="902" priority="811">
      <formula>AND($N23&lt;&gt;"",ISNUMBER($N23),$N23&lt;=700)</formula>
    </cfRule>
  </conditionalFormatting>
  <conditionalFormatting sqref="D24">
    <cfRule type="expression" dxfId="901" priority="810">
      <formula>AND($N24&lt;&gt;"",ISNUMBER($N24),$N24&lt;=700)</formula>
    </cfRule>
  </conditionalFormatting>
  <conditionalFormatting sqref="D23">
    <cfRule type="expression" dxfId="900" priority="809">
      <formula>AND($N23&lt;&gt;"",ISNUMBER($N23),$N23&lt;=700)</formula>
    </cfRule>
  </conditionalFormatting>
  <conditionalFormatting sqref="D23">
    <cfRule type="expression" dxfId="899" priority="808">
      <formula>AND($N23&lt;&gt;"",ISNUMBER($N23),$N23&lt;=700)</formula>
    </cfRule>
  </conditionalFormatting>
  <conditionalFormatting sqref="D24">
    <cfRule type="expression" dxfId="898" priority="807">
      <formula>AND($N24&lt;&gt;"",ISNUMBER($N24),$N24&lt;=700)</formula>
    </cfRule>
  </conditionalFormatting>
  <conditionalFormatting sqref="D24">
    <cfRule type="expression" dxfId="897" priority="806">
      <formula>AND($N24&lt;&gt;"",ISNUMBER($N24),$N24&lt;=700)</formula>
    </cfRule>
  </conditionalFormatting>
  <conditionalFormatting sqref="D22">
    <cfRule type="expression" dxfId="896" priority="805">
      <formula>AND($N22&lt;&gt;"",ISNUMBER($N22),$N22&lt;=700)</formula>
    </cfRule>
  </conditionalFormatting>
  <conditionalFormatting sqref="D23">
    <cfRule type="expression" dxfId="895" priority="804">
      <formula>AND($N23&lt;&gt;"",ISNUMBER($N23),$N23&lt;=700)</formula>
    </cfRule>
  </conditionalFormatting>
  <conditionalFormatting sqref="D22">
    <cfRule type="expression" dxfId="894" priority="803">
      <formula>AND($N22&lt;&gt;"",ISNUMBER($N22),$N22&lt;=700)</formula>
    </cfRule>
  </conditionalFormatting>
  <conditionalFormatting sqref="D23">
    <cfRule type="expression" dxfId="893" priority="802">
      <formula>AND($N23&lt;&gt;"",ISNUMBER($N23),$N23&lt;=700)</formula>
    </cfRule>
  </conditionalFormatting>
  <conditionalFormatting sqref="D24">
    <cfRule type="expression" dxfId="892" priority="801">
      <formula>AND($N24&lt;&gt;"",ISNUMBER($N24),$N24&lt;=700)</formula>
    </cfRule>
  </conditionalFormatting>
  <conditionalFormatting sqref="D24">
    <cfRule type="expression" dxfId="891" priority="800">
      <formula>AND($N24&lt;&gt;"",ISNUMBER($N24),$N24&lt;=700)</formula>
    </cfRule>
  </conditionalFormatting>
  <conditionalFormatting sqref="D24">
    <cfRule type="expression" dxfId="890" priority="799">
      <formula>AND($N24&lt;&gt;"",ISNUMBER($N24),$N24&lt;=700)</formula>
    </cfRule>
  </conditionalFormatting>
  <conditionalFormatting sqref="D24">
    <cfRule type="expression" dxfId="889" priority="798">
      <formula>AND($N24&lt;&gt;"",ISNUMBER($N24),$N24&lt;=700)</formula>
    </cfRule>
  </conditionalFormatting>
  <conditionalFormatting sqref="D23">
    <cfRule type="expression" dxfId="888" priority="797">
      <formula>AND($N23&lt;&gt;"",ISNUMBER($N23),$N23&lt;=700)</formula>
    </cfRule>
  </conditionalFormatting>
  <conditionalFormatting sqref="D23">
    <cfRule type="expression" dxfId="887" priority="796">
      <formula>AND($N23&lt;&gt;"",ISNUMBER($N23),$N23&lt;=700)</formula>
    </cfRule>
  </conditionalFormatting>
  <conditionalFormatting sqref="D24">
    <cfRule type="expression" dxfId="886" priority="795">
      <formula>AND($N24&lt;&gt;"",ISNUMBER($N24),$N24&lt;=700)</formula>
    </cfRule>
  </conditionalFormatting>
  <conditionalFormatting sqref="D24">
    <cfRule type="expression" dxfId="885" priority="794">
      <formula>AND($N24&lt;&gt;"",ISNUMBER($N24),$N24&lt;=700)</formula>
    </cfRule>
  </conditionalFormatting>
  <conditionalFormatting sqref="D24">
    <cfRule type="expression" dxfId="884" priority="793">
      <formula>AND($N24&lt;&gt;"",ISNUMBER($N24),$N24&lt;=700)</formula>
    </cfRule>
  </conditionalFormatting>
  <conditionalFormatting sqref="D23">
    <cfRule type="expression" dxfId="883" priority="792">
      <formula>AND($N23&lt;&gt;"",ISNUMBER($N23),$N23&lt;=700)</formula>
    </cfRule>
  </conditionalFormatting>
  <conditionalFormatting sqref="D24">
    <cfRule type="expression" dxfId="882" priority="791">
      <formula>AND($N24&lt;&gt;"",ISNUMBER($N24),$N24&lt;=700)</formula>
    </cfRule>
  </conditionalFormatting>
  <conditionalFormatting sqref="D23">
    <cfRule type="expression" dxfId="881" priority="790">
      <formula>AND($N23&lt;&gt;"",ISNUMBER($N23),$N23&lt;=700)</formula>
    </cfRule>
  </conditionalFormatting>
  <conditionalFormatting sqref="D24">
    <cfRule type="expression" dxfId="880" priority="789">
      <formula>AND($N24&lt;&gt;"",ISNUMBER($N24),$N24&lt;=700)</formula>
    </cfRule>
  </conditionalFormatting>
  <conditionalFormatting sqref="B22:D22">
    <cfRule type="expression" dxfId="879" priority="788">
      <formula>AND($N22&lt;&gt;"",ISNUMBER($N22),$N22&lt;=700)</formula>
    </cfRule>
  </conditionalFormatting>
  <conditionalFormatting sqref="C22">
    <cfRule type="containsText" dxfId="878" priority="786" operator="containsText" text="JPY">
      <formula>NOT(ISERROR(SEARCH("JPY",C22)))</formula>
    </cfRule>
    <cfRule type="containsText" dxfId="877" priority="787" operator="containsText" text="JPY">
      <formula>NOT(ISERROR(SEARCH("JPY",C22)))</formula>
    </cfRule>
  </conditionalFormatting>
  <conditionalFormatting sqref="D24">
    <cfRule type="expression" dxfId="876" priority="785">
      <formula>AND($N24&lt;&gt;"",ISNUMBER($N24),$N24&lt;=700)</formula>
    </cfRule>
  </conditionalFormatting>
  <conditionalFormatting sqref="D22">
    <cfRule type="expression" dxfId="875" priority="784">
      <formula>AND($N22&lt;&gt;"",ISNUMBER($N22),$N22&lt;=700)</formula>
    </cfRule>
  </conditionalFormatting>
  <conditionalFormatting sqref="D23">
    <cfRule type="expression" dxfId="874" priority="783">
      <formula>AND($N23&lt;&gt;"",ISNUMBER($N23),$N23&lt;=700)</formula>
    </cfRule>
  </conditionalFormatting>
  <conditionalFormatting sqref="D22">
    <cfRule type="expression" dxfId="873" priority="782">
      <formula>AND($N22&lt;&gt;"",ISNUMBER($N22),$N22&lt;=700)</formula>
    </cfRule>
  </conditionalFormatting>
  <conditionalFormatting sqref="D23">
    <cfRule type="expression" dxfId="872" priority="781">
      <formula>AND($N23&lt;&gt;"",ISNUMBER($N23),$N23&lt;=700)</formula>
    </cfRule>
  </conditionalFormatting>
  <conditionalFormatting sqref="D24">
    <cfRule type="expression" dxfId="871" priority="780">
      <formula>AND($N24&lt;&gt;"",ISNUMBER($N24),$N24&lt;=700)</formula>
    </cfRule>
  </conditionalFormatting>
  <conditionalFormatting sqref="D24">
    <cfRule type="expression" dxfId="870" priority="779">
      <formula>AND($N24&lt;&gt;"",ISNUMBER($N24),$N24&lt;=700)</formula>
    </cfRule>
  </conditionalFormatting>
  <conditionalFormatting sqref="D24">
    <cfRule type="expression" dxfId="869" priority="778">
      <formula>AND($N24&lt;&gt;"",ISNUMBER($N24),$N24&lt;=700)</formula>
    </cfRule>
  </conditionalFormatting>
  <conditionalFormatting sqref="D22">
    <cfRule type="expression" dxfId="868" priority="777">
      <formula>AND($N22&lt;&gt;"",ISNUMBER($N22),$N22&lt;=700)</formula>
    </cfRule>
  </conditionalFormatting>
  <conditionalFormatting sqref="D23">
    <cfRule type="expression" dxfId="867" priority="776">
      <formula>AND($N23&lt;&gt;"",ISNUMBER($N23),$N23&lt;=700)</formula>
    </cfRule>
  </conditionalFormatting>
  <conditionalFormatting sqref="D24">
    <cfRule type="expression" dxfId="866" priority="775">
      <formula>AND($N24&lt;&gt;"",ISNUMBER($N24),$N24&lt;=700)</formula>
    </cfRule>
  </conditionalFormatting>
  <conditionalFormatting sqref="D22">
    <cfRule type="expression" dxfId="865" priority="774">
      <formula>AND($N22&lt;&gt;"",ISNUMBER($N22),$N22&lt;=700)</formula>
    </cfRule>
  </conditionalFormatting>
  <conditionalFormatting sqref="D23">
    <cfRule type="expression" dxfId="864" priority="773">
      <formula>AND($N23&lt;&gt;"",ISNUMBER($N23),$N23&lt;=700)</formula>
    </cfRule>
  </conditionalFormatting>
  <conditionalFormatting sqref="D24">
    <cfRule type="expression" dxfId="863" priority="772">
      <formula>AND($N24&lt;&gt;"",ISNUMBER($N24),$N24&lt;=700)</formula>
    </cfRule>
  </conditionalFormatting>
  <conditionalFormatting sqref="D24">
    <cfRule type="expression" dxfId="862" priority="771">
      <formula>AND($N24&lt;&gt;"",ISNUMBER($N24),$N24&lt;=700)</formula>
    </cfRule>
  </conditionalFormatting>
  <conditionalFormatting sqref="D24">
    <cfRule type="expression" dxfId="861" priority="770">
      <formula>AND($N24&lt;&gt;"",ISNUMBER($N24),$N24&lt;=700)</formula>
    </cfRule>
  </conditionalFormatting>
  <conditionalFormatting sqref="D24">
    <cfRule type="expression" dxfId="860" priority="769">
      <formula>AND($N24&lt;&gt;"",ISNUMBER($N24),$N24&lt;=700)</formula>
    </cfRule>
  </conditionalFormatting>
  <conditionalFormatting sqref="D24">
    <cfRule type="expression" dxfId="859" priority="768">
      <formula>AND($N24&lt;&gt;"",ISNUMBER($N24),$N24&lt;=700)</formula>
    </cfRule>
  </conditionalFormatting>
  <conditionalFormatting sqref="B18:B20">
    <cfRule type="expression" dxfId="858" priority="767">
      <formula>AND($N18&lt;&gt;"",ISNUMBER($N18),$N18&lt;=700)</formula>
    </cfRule>
  </conditionalFormatting>
  <conditionalFormatting sqref="B22:B23">
    <cfRule type="expression" dxfId="857" priority="766">
      <formula>AND($N22&lt;&gt;"",ISNUMBER($N22),$N22&lt;=700)</formula>
    </cfRule>
  </conditionalFormatting>
  <conditionalFormatting sqref="D28">
    <cfRule type="expression" dxfId="856" priority="765">
      <formula>AND($N28&lt;&gt;"",ISNUMBER($N28),$N28&lt;=700)</formula>
    </cfRule>
  </conditionalFormatting>
  <conditionalFormatting sqref="D27">
    <cfRule type="expression" dxfId="855" priority="764">
      <formula>AND($N27&lt;&gt;"",ISNUMBER($N27),$N27&lt;=700)</formula>
    </cfRule>
  </conditionalFormatting>
  <conditionalFormatting sqref="D27">
    <cfRule type="expression" dxfId="854" priority="763">
      <formula>AND($N27&lt;&gt;"",ISNUMBER($N27),$N27&lt;=700)</formula>
    </cfRule>
  </conditionalFormatting>
  <conditionalFormatting sqref="D27">
    <cfRule type="expression" dxfId="853" priority="762">
      <formula>AND($N27&lt;&gt;"",ISNUMBER($N27),$N27&lt;=700)</formula>
    </cfRule>
  </conditionalFormatting>
  <conditionalFormatting sqref="C16">
    <cfRule type="expression" dxfId="852" priority="761">
      <formula>AND($N16&lt;&gt;"",ISNUMBER($N16),$N16&lt;=700)</formula>
    </cfRule>
  </conditionalFormatting>
  <conditionalFormatting sqref="C16">
    <cfRule type="containsText" dxfId="851" priority="759" operator="containsText" text="JPY">
      <formula>NOT(ISERROR(SEARCH("JPY",C16)))</formula>
    </cfRule>
    <cfRule type="containsText" dxfId="850" priority="760" operator="containsText" text="JPY">
      <formula>NOT(ISERROR(SEARCH("JPY",C16)))</formula>
    </cfRule>
  </conditionalFormatting>
  <conditionalFormatting sqref="D15">
    <cfRule type="expression" dxfId="849" priority="758">
      <formula>AND($N15&lt;&gt;"",ISNUMBER($N15),$N15&lt;=700)</formula>
    </cfRule>
  </conditionalFormatting>
  <conditionalFormatting sqref="D16">
    <cfRule type="expression" dxfId="848" priority="757">
      <formula>AND($N16&lt;&gt;"",ISNUMBER($N16),$N16&lt;=700)</formula>
    </cfRule>
  </conditionalFormatting>
  <conditionalFormatting sqref="D16">
    <cfRule type="expression" dxfId="847" priority="756">
      <formula>AND($N16&lt;&gt;"",ISNUMBER($N16),$N16&lt;=700)</formula>
    </cfRule>
  </conditionalFormatting>
  <conditionalFormatting sqref="D28">
    <cfRule type="expression" dxfId="846" priority="755">
      <formula>AND($N28&lt;&gt;"",ISNUMBER($N28),$N28&lt;=700)</formula>
    </cfRule>
  </conditionalFormatting>
  <conditionalFormatting sqref="D28">
    <cfRule type="expression" dxfId="845" priority="754">
      <formula>AND($N28&lt;&gt;"",ISNUMBER($N28),$N28&lt;=700)</formula>
    </cfRule>
  </conditionalFormatting>
  <conditionalFormatting sqref="D28">
    <cfRule type="expression" dxfId="844" priority="753">
      <formula>AND($N28&lt;&gt;"",ISNUMBER($N28),$N28&lt;=700)</formula>
    </cfRule>
  </conditionalFormatting>
  <conditionalFormatting sqref="D28">
    <cfRule type="expression" dxfId="843" priority="752">
      <formula>AND($N28&lt;&gt;"",ISNUMBER($N28),$N28&lt;=700)</formula>
    </cfRule>
  </conditionalFormatting>
  <conditionalFormatting sqref="D28">
    <cfRule type="expression" dxfId="842" priority="751">
      <formula>AND($N28&lt;&gt;"",ISNUMBER($N28),$N28&lt;=700)</formula>
    </cfRule>
  </conditionalFormatting>
  <conditionalFormatting sqref="D28">
    <cfRule type="expression" dxfId="841" priority="750">
      <formula>AND($N28&lt;&gt;"",ISNUMBER($N28),$N28&lt;=700)</formula>
    </cfRule>
  </conditionalFormatting>
  <conditionalFormatting sqref="D28">
    <cfRule type="expression" dxfId="840" priority="749">
      <formula>AND($N28&lt;&gt;"",ISNUMBER($N28),$N28&lt;=700)</formula>
    </cfRule>
  </conditionalFormatting>
  <conditionalFormatting sqref="D28">
    <cfRule type="expression" dxfId="839" priority="748">
      <formula>AND($N28&lt;&gt;"",ISNUMBER($N28),$N28&lt;=700)</formula>
    </cfRule>
  </conditionalFormatting>
  <conditionalFormatting sqref="D28">
    <cfRule type="expression" dxfId="838" priority="747">
      <formula>AND($N28&lt;&gt;"",ISNUMBER($N28),$N28&lt;=700)</formula>
    </cfRule>
  </conditionalFormatting>
  <conditionalFormatting sqref="D28">
    <cfRule type="expression" dxfId="837" priority="746">
      <formula>AND($N28&lt;&gt;"",ISNUMBER($N28),$N28&lt;=700)</formula>
    </cfRule>
  </conditionalFormatting>
  <conditionalFormatting sqref="D28">
    <cfRule type="expression" dxfId="836" priority="745">
      <formula>AND($N28&lt;&gt;"",ISNUMBER($N28),$N28&lt;=700)</formula>
    </cfRule>
  </conditionalFormatting>
  <conditionalFormatting sqref="D28">
    <cfRule type="expression" dxfId="835" priority="744">
      <formula>AND($N28&lt;&gt;"",ISNUMBER($N28),$N28&lt;=700)</formula>
    </cfRule>
  </conditionalFormatting>
  <conditionalFormatting sqref="D28">
    <cfRule type="expression" dxfId="834" priority="743">
      <formula>AND($N28&lt;&gt;"",ISNUMBER($N28),$N28&lt;=700)</formula>
    </cfRule>
  </conditionalFormatting>
  <conditionalFormatting sqref="D28">
    <cfRule type="expression" dxfId="833" priority="742">
      <formula>AND($N28&lt;&gt;"",ISNUMBER($N28),$N28&lt;=700)</formula>
    </cfRule>
  </conditionalFormatting>
  <conditionalFormatting sqref="D28">
    <cfRule type="expression" dxfId="832" priority="741">
      <formula>AND($N28&lt;&gt;"",ISNUMBER($N28),$N28&lt;=700)</formula>
    </cfRule>
  </conditionalFormatting>
  <conditionalFormatting sqref="D28">
    <cfRule type="expression" dxfId="831" priority="740">
      <formula>AND($N28&lt;&gt;"",ISNUMBER($N28),$N28&lt;=700)</formula>
    </cfRule>
  </conditionalFormatting>
  <conditionalFormatting sqref="D28">
    <cfRule type="expression" dxfId="830" priority="739">
      <formula>AND($N28&lt;&gt;"",ISNUMBER($N28),$N28&lt;=700)</formula>
    </cfRule>
  </conditionalFormatting>
  <conditionalFormatting sqref="D28">
    <cfRule type="expression" dxfId="829" priority="738">
      <formula>AND($N28&lt;&gt;"",ISNUMBER($N28),$N28&lt;=700)</formula>
    </cfRule>
  </conditionalFormatting>
  <conditionalFormatting sqref="D28">
    <cfRule type="expression" dxfId="828" priority="737">
      <formula>AND($N28&lt;&gt;"",ISNUMBER($N28),$N28&lt;=700)</formula>
    </cfRule>
  </conditionalFormatting>
  <conditionalFormatting sqref="D28">
    <cfRule type="expression" dxfId="827" priority="736">
      <formula>AND($N28&lt;&gt;"",ISNUMBER($N28),$N28&lt;=700)</formula>
    </cfRule>
  </conditionalFormatting>
  <conditionalFormatting sqref="D28">
    <cfRule type="expression" dxfId="826" priority="735">
      <formula>AND($N28&lt;&gt;"",ISNUMBER($N28),$N28&lt;=700)</formula>
    </cfRule>
  </conditionalFormatting>
  <conditionalFormatting sqref="D28">
    <cfRule type="expression" dxfId="825" priority="734">
      <formula>AND($N28&lt;&gt;"",ISNUMBER($N28),$N28&lt;=700)</formula>
    </cfRule>
  </conditionalFormatting>
  <conditionalFormatting sqref="D28">
    <cfRule type="expression" dxfId="824" priority="733">
      <formula>AND($N28&lt;&gt;"",ISNUMBER($N28),$N28&lt;=700)</formula>
    </cfRule>
  </conditionalFormatting>
  <conditionalFormatting sqref="D28">
    <cfRule type="expression" dxfId="823" priority="732">
      <formula>AND($N28&lt;&gt;"",ISNUMBER($N28),$N28&lt;=700)</formula>
    </cfRule>
  </conditionalFormatting>
  <conditionalFormatting sqref="D28">
    <cfRule type="expression" dxfId="822" priority="731">
      <formula>AND($N28&lt;&gt;"",ISNUMBER($N28),$N28&lt;=700)</formula>
    </cfRule>
  </conditionalFormatting>
  <conditionalFormatting sqref="D28">
    <cfRule type="expression" dxfId="821" priority="730">
      <formula>AND($N28&lt;&gt;"",ISNUMBER($N28),$N28&lt;=700)</formula>
    </cfRule>
  </conditionalFormatting>
  <conditionalFormatting sqref="D28">
    <cfRule type="expression" dxfId="820" priority="729">
      <formula>AND($N28&lt;&gt;"",ISNUMBER($N28),$N28&lt;=700)</formula>
    </cfRule>
  </conditionalFormatting>
  <conditionalFormatting sqref="D28">
    <cfRule type="expression" dxfId="819" priority="728">
      <formula>AND($N28&lt;&gt;"",ISNUMBER($N28),$N28&lt;=700)</formula>
    </cfRule>
  </conditionalFormatting>
  <conditionalFormatting sqref="D28">
    <cfRule type="expression" dxfId="818" priority="727">
      <formula>AND($N28&lt;&gt;"",ISNUMBER($N28),$N28&lt;=700)</formula>
    </cfRule>
  </conditionalFormatting>
  <conditionalFormatting sqref="D28">
    <cfRule type="expression" dxfId="817" priority="726">
      <formula>AND($N28&lt;&gt;"",ISNUMBER($N28),$N28&lt;=700)</formula>
    </cfRule>
  </conditionalFormatting>
  <conditionalFormatting sqref="D28">
    <cfRule type="expression" dxfId="816" priority="725">
      <formula>AND($N28&lt;&gt;"",ISNUMBER($N28),$N28&lt;=700)</formula>
    </cfRule>
  </conditionalFormatting>
  <conditionalFormatting sqref="D28">
    <cfRule type="expression" dxfId="815" priority="724">
      <formula>AND($N28&lt;&gt;"",ISNUMBER($N28),$N28&lt;=700)</formula>
    </cfRule>
  </conditionalFormatting>
  <conditionalFormatting sqref="D28">
    <cfRule type="expression" dxfId="814" priority="723">
      <formula>AND($N28&lt;&gt;"",ISNUMBER($N28),$N28&lt;=700)</formula>
    </cfRule>
  </conditionalFormatting>
  <conditionalFormatting sqref="D28">
    <cfRule type="expression" dxfId="813" priority="722">
      <formula>AND($N28&lt;&gt;"",ISNUMBER($N28),$N28&lt;=700)</formula>
    </cfRule>
  </conditionalFormatting>
  <conditionalFormatting sqref="D28">
    <cfRule type="expression" dxfId="812" priority="721">
      <formula>AND($N28&lt;&gt;"",ISNUMBER($N28),$N28&lt;=700)</formula>
    </cfRule>
  </conditionalFormatting>
  <conditionalFormatting sqref="D28">
    <cfRule type="expression" dxfId="811" priority="720">
      <formula>AND($N28&lt;&gt;"",ISNUMBER($N28),$N28&lt;=700)</formula>
    </cfRule>
  </conditionalFormatting>
  <conditionalFormatting sqref="D28">
    <cfRule type="expression" dxfId="810" priority="719">
      <formula>AND($N28&lt;&gt;"",ISNUMBER($N28),$N28&lt;=700)</formula>
    </cfRule>
  </conditionalFormatting>
  <conditionalFormatting sqref="D28">
    <cfRule type="expression" dxfId="809" priority="718">
      <formula>AND($N28&lt;&gt;"",ISNUMBER($N28),$N28&lt;=700)</formula>
    </cfRule>
  </conditionalFormatting>
  <conditionalFormatting sqref="D28">
    <cfRule type="expression" dxfId="808" priority="717">
      <formula>AND($N28&lt;&gt;"",ISNUMBER($N28),$N28&lt;=700)</formula>
    </cfRule>
  </conditionalFormatting>
  <conditionalFormatting sqref="D28">
    <cfRule type="expression" dxfId="807" priority="716">
      <formula>AND($N28&lt;&gt;"",ISNUMBER($N28),$N28&lt;=700)</formula>
    </cfRule>
  </conditionalFormatting>
  <conditionalFormatting sqref="D28">
    <cfRule type="expression" dxfId="806" priority="715">
      <formula>AND($N28&lt;&gt;"",ISNUMBER($N28),$N28&lt;=700)</formula>
    </cfRule>
  </conditionalFormatting>
  <conditionalFormatting sqref="D27">
    <cfRule type="expression" dxfId="805" priority="714">
      <formula>AND($N27&lt;&gt;"",ISNUMBER($N27),$N27&lt;=700)</formula>
    </cfRule>
  </conditionalFormatting>
  <conditionalFormatting sqref="D27">
    <cfRule type="expression" dxfId="804" priority="713">
      <formula>AND($N27&lt;&gt;"",ISNUMBER($N27),$N27&lt;=700)</formula>
    </cfRule>
  </conditionalFormatting>
  <conditionalFormatting sqref="D27">
    <cfRule type="expression" dxfId="803" priority="712">
      <formula>AND($N27&lt;&gt;"",ISNUMBER($N27),$N27&lt;=700)</formula>
    </cfRule>
  </conditionalFormatting>
  <conditionalFormatting sqref="D27">
    <cfRule type="expression" dxfId="802" priority="711">
      <formula>AND($N27&lt;&gt;"",ISNUMBER($N27),$N27&lt;=700)</formula>
    </cfRule>
  </conditionalFormatting>
  <conditionalFormatting sqref="D27">
    <cfRule type="expression" dxfId="801" priority="710">
      <formula>AND($N27&lt;&gt;"",ISNUMBER($N27),$N27&lt;=700)</formula>
    </cfRule>
  </conditionalFormatting>
  <conditionalFormatting sqref="D27">
    <cfRule type="expression" dxfId="800" priority="709">
      <formula>AND($N27&lt;&gt;"",ISNUMBER($N27),$N27&lt;=700)</formula>
    </cfRule>
  </conditionalFormatting>
  <conditionalFormatting sqref="D27">
    <cfRule type="expression" dxfId="799" priority="708">
      <formula>AND($N27&lt;&gt;"",ISNUMBER($N27),$N27&lt;=700)</formula>
    </cfRule>
  </conditionalFormatting>
  <conditionalFormatting sqref="D27">
    <cfRule type="expression" dxfId="798" priority="707">
      <formula>AND($N27&lt;&gt;"",ISNUMBER($N27),$N27&lt;=700)</formula>
    </cfRule>
  </conditionalFormatting>
  <conditionalFormatting sqref="D27">
    <cfRule type="expression" dxfId="797" priority="706">
      <formula>AND($N27&lt;&gt;"",ISNUMBER($N27),$N27&lt;=700)</formula>
    </cfRule>
  </conditionalFormatting>
  <conditionalFormatting sqref="D27">
    <cfRule type="expression" dxfId="796" priority="705">
      <formula>AND($N27&lt;&gt;"",ISNUMBER($N27),$N27&lt;=700)</formula>
    </cfRule>
  </conditionalFormatting>
  <conditionalFormatting sqref="D27">
    <cfRule type="expression" dxfId="795" priority="704">
      <formula>AND($N27&lt;&gt;"",ISNUMBER($N27),$N27&lt;=700)</formula>
    </cfRule>
  </conditionalFormatting>
  <conditionalFormatting sqref="D27">
    <cfRule type="expression" dxfId="794" priority="703">
      <formula>AND($N27&lt;&gt;"",ISNUMBER($N27),$N27&lt;=700)</formula>
    </cfRule>
  </conditionalFormatting>
  <conditionalFormatting sqref="D27">
    <cfRule type="expression" dxfId="793" priority="702">
      <formula>AND($N27&lt;&gt;"",ISNUMBER($N27),$N27&lt;=700)</formula>
    </cfRule>
  </conditionalFormatting>
  <conditionalFormatting sqref="D27">
    <cfRule type="expression" dxfId="792" priority="701">
      <formula>AND($N27&lt;&gt;"",ISNUMBER($N27),$N27&lt;=700)</formula>
    </cfRule>
  </conditionalFormatting>
  <conditionalFormatting sqref="D27">
    <cfRule type="expression" dxfId="791" priority="700">
      <formula>AND($N27&lt;&gt;"",ISNUMBER($N27),$N27&lt;=700)</formula>
    </cfRule>
  </conditionalFormatting>
  <conditionalFormatting sqref="D27">
    <cfRule type="expression" dxfId="790" priority="699">
      <formula>AND($N27&lt;&gt;"",ISNUMBER($N27),$N27&lt;=700)</formula>
    </cfRule>
  </conditionalFormatting>
  <conditionalFormatting sqref="D27">
    <cfRule type="expression" dxfId="789" priority="698">
      <formula>AND($N27&lt;&gt;"",ISNUMBER($N27),$N27&lt;=700)</formula>
    </cfRule>
  </conditionalFormatting>
  <conditionalFormatting sqref="D27">
    <cfRule type="expression" dxfId="788" priority="697">
      <formula>AND($N27&lt;&gt;"",ISNUMBER($N27),$N27&lt;=700)</formula>
    </cfRule>
  </conditionalFormatting>
  <conditionalFormatting sqref="D27">
    <cfRule type="expression" dxfId="787" priority="696">
      <formula>AND($N27&lt;&gt;"",ISNUMBER($N27),$N27&lt;=700)</formula>
    </cfRule>
  </conditionalFormatting>
  <conditionalFormatting sqref="D27">
    <cfRule type="expression" dxfId="786" priority="695">
      <formula>AND($N27&lt;&gt;"",ISNUMBER($N27),$N27&lt;=700)</formula>
    </cfRule>
  </conditionalFormatting>
  <conditionalFormatting sqref="D27">
    <cfRule type="expression" dxfId="785" priority="694">
      <formula>AND($N27&lt;&gt;"",ISNUMBER($N27),$N27&lt;=700)</formula>
    </cfRule>
  </conditionalFormatting>
  <conditionalFormatting sqref="D27">
    <cfRule type="expression" dxfId="784" priority="693">
      <formula>AND($N27&lt;&gt;"",ISNUMBER($N27),$N27&lt;=700)</formula>
    </cfRule>
  </conditionalFormatting>
  <conditionalFormatting sqref="D27">
    <cfRule type="expression" dxfId="783" priority="692">
      <formula>AND($N27&lt;&gt;"",ISNUMBER($N27),$N27&lt;=700)</formula>
    </cfRule>
  </conditionalFormatting>
  <conditionalFormatting sqref="D27">
    <cfRule type="expression" dxfId="782" priority="691">
      <formula>AND($N27&lt;&gt;"",ISNUMBER($N27),$N27&lt;=700)</formula>
    </cfRule>
  </conditionalFormatting>
  <conditionalFormatting sqref="D27">
    <cfRule type="expression" dxfId="781" priority="690">
      <formula>AND($N27&lt;&gt;"",ISNUMBER($N27),$N27&lt;=700)</formula>
    </cfRule>
  </conditionalFormatting>
  <conditionalFormatting sqref="D27">
    <cfRule type="expression" dxfId="780" priority="689">
      <formula>AND($N27&lt;&gt;"",ISNUMBER($N27),$N27&lt;=700)</formula>
    </cfRule>
  </conditionalFormatting>
  <conditionalFormatting sqref="D27">
    <cfRule type="expression" dxfId="779" priority="688">
      <formula>AND($N27&lt;&gt;"",ISNUMBER($N27),$N27&lt;=700)</formula>
    </cfRule>
  </conditionalFormatting>
  <conditionalFormatting sqref="D27">
    <cfRule type="expression" dxfId="778" priority="687">
      <formula>AND($N27&lt;&gt;"",ISNUMBER($N27),$N27&lt;=700)</formula>
    </cfRule>
  </conditionalFormatting>
  <conditionalFormatting sqref="D27">
    <cfRule type="expression" dxfId="777" priority="686">
      <formula>AND($N27&lt;&gt;"",ISNUMBER($N27),$N27&lt;=700)</formula>
    </cfRule>
  </conditionalFormatting>
  <conditionalFormatting sqref="D27">
    <cfRule type="expression" dxfId="776" priority="685">
      <formula>AND($N27&lt;&gt;"",ISNUMBER($N27),$N27&lt;=700)</formula>
    </cfRule>
  </conditionalFormatting>
  <conditionalFormatting sqref="D27">
    <cfRule type="expression" dxfId="775" priority="684">
      <formula>AND($N27&lt;&gt;"",ISNUMBER($N27),$N27&lt;=700)</formula>
    </cfRule>
  </conditionalFormatting>
  <conditionalFormatting sqref="D27">
    <cfRule type="expression" dxfId="774" priority="683">
      <formula>AND($N27&lt;&gt;"",ISNUMBER($N27),$N27&lt;=700)</formula>
    </cfRule>
  </conditionalFormatting>
  <conditionalFormatting sqref="D27">
    <cfRule type="expression" dxfId="773" priority="682">
      <formula>AND($N27&lt;&gt;"",ISNUMBER($N27),$N27&lt;=700)</formula>
    </cfRule>
  </conditionalFormatting>
  <conditionalFormatting sqref="D27">
    <cfRule type="expression" dxfId="772" priority="681">
      <formula>AND($N27&lt;&gt;"",ISNUMBER($N27),$N27&lt;=700)</formula>
    </cfRule>
  </conditionalFormatting>
  <conditionalFormatting sqref="D27">
    <cfRule type="expression" dxfId="771" priority="680">
      <formula>AND($N27&lt;&gt;"",ISNUMBER($N27),$N27&lt;=700)</formula>
    </cfRule>
  </conditionalFormatting>
  <conditionalFormatting sqref="D27">
    <cfRule type="expression" dxfId="770" priority="679">
      <formula>AND($N27&lt;&gt;"",ISNUMBER($N27),$N27&lt;=700)</formula>
    </cfRule>
  </conditionalFormatting>
  <conditionalFormatting sqref="D27">
    <cfRule type="expression" dxfId="769" priority="678">
      <formula>AND($N27&lt;&gt;"",ISNUMBER($N27),$N27&lt;=700)</formula>
    </cfRule>
  </conditionalFormatting>
  <conditionalFormatting sqref="D27">
    <cfRule type="expression" dxfId="768" priority="677">
      <formula>AND($N27&lt;&gt;"",ISNUMBER($N27),$N27&lt;=700)</formula>
    </cfRule>
  </conditionalFormatting>
  <conditionalFormatting sqref="D27">
    <cfRule type="expression" dxfId="767" priority="676">
      <formula>AND($N27&lt;&gt;"",ISNUMBER($N27),$N27&lt;=700)</formula>
    </cfRule>
  </conditionalFormatting>
  <conditionalFormatting sqref="D27">
    <cfRule type="expression" dxfId="766" priority="675">
      <formula>AND($N27&lt;&gt;"",ISNUMBER($N27),$N27&lt;=700)</formula>
    </cfRule>
  </conditionalFormatting>
  <conditionalFormatting sqref="D27">
    <cfRule type="expression" dxfId="765" priority="674">
      <formula>AND($N27&lt;&gt;"",ISNUMBER($N27),$N27&lt;=700)</formula>
    </cfRule>
  </conditionalFormatting>
  <conditionalFormatting sqref="D27">
    <cfRule type="expression" dxfId="764" priority="673">
      <formula>AND($N27&lt;&gt;"",ISNUMBER($N27),$N27&lt;=700)</formula>
    </cfRule>
  </conditionalFormatting>
  <conditionalFormatting sqref="D27">
    <cfRule type="expression" dxfId="763" priority="672">
      <formula>AND($N27&lt;&gt;"",ISNUMBER($N27),$N27&lt;=700)</formula>
    </cfRule>
  </conditionalFormatting>
  <conditionalFormatting sqref="D27">
    <cfRule type="expression" dxfId="762" priority="671">
      <formula>AND($N27&lt;&gt;"",ISNUMBER($N27),$N27&lt;=700)</formula>
    </cfRule>
  </conditionalFormatting>
  <conditionalFormatting sqref="D27">
    <cfRule type="expression" dxfId="761" priority="670">
      <formula>AND($N27&lt;&gt;"",ISNUMBER($N27),$N27&lt;=700)</formula>
    </cfRule>
  </conditionalFormatting>
  <conditionalFormatting sqref="D28">
    <cfRule type="expression" dxfId="760" priority="669">
      <formula>AND($N28&lt;&gt;"",ISNUMBER($N28),$N28&lt;=700)</formula>
    </cfRule>
  </conditionalFormatting>
  <conditionalFormatting sqref="D28">
    <cfRule type="expression" dxfId="759" priority="668">
      <formula>AND($N28&lt;&gt;"",ISNUMBER($N28),$N28&lt;=700)</formula>
    </cfRule>
  </conditionalFormatting>
  <conditionalFormatting sqref="D28">
    <cfRule type="expression" dxfId="758" priority="667">
      <formula>AND($N28&lt;&gt;"",ISNUMBER($N28),$N28&lt;=700)</formula>
    </cfRule>
  </conditionalFormatting>
  <conditionalFormatting sqref="D28">
    <cfRule type="expression" dxfId="757" priority="666">
      <formula>AND($N28&lt;&gt;"",ISNUMBER($N28),$N28&lt;=700)</formula>
    </cfRule>
  </conditionalFormatting>
  <conditionalFormatting sqref="D28">
    <cfRule type="expression" dxfId="756" priority="665">
      <formula>AND($N28&lt;&gt;"",ISNUMBER($N28),$N28&lt;=700)</formula>
    </cfRule>
  </conditionalFormatting>
  <conditionalFormatting sqref="D28">
    <cfRule type="expression" dxfId="755" priority="664">
      <formula>AND($N28&lt;&gt;"",ISNUMBER($N28),$N28&lt;=700)</formula>
    </cfRule>
  </conditionalFormatting>
  <conditionalFormatting sqref="D28">
    <cfRule type="expression" dxfId="754" priority="663">
      <formula>AND($N28&lt;&gt;"",ISNUMBER($N28),$N28&lt;=700)</formula>
    </cfRule>
  </conditionalFormatting>
  <conditionalFormatting sqref="D28">
    <cfRule type="expression" dxfId="753" priority="662">
      <formula>AND($N28&lt;&gt;"",ISNUMBER($N28),$N28&lt;=700)</formula>
    </cfRule>
  </conditionalFormatting>
  <conditionalFormatting sqref="D28">
    <cfRule type="expression" dxfId="752" priority="661">
      <formula>AND($N28&lt;&gt;"",ISNUMBER($N28),$N28&lt;=700)</formula>
    </cfRule>
  </conditionalFormatting>
  <conditionalFormatting sqref="D28">
    <cfRule type="expression" dxfId="751" priority="660">
      <formula>AND($N28&lt;&gt;"",ISNUMBER($N28),$N28&lt;=700)</formula>
    </cfRule>
  </conditionalFormatting>
  <conditionalFormatting sqref="D28">
    <cfRule type="expression" dxfId="750" priority="659">
      <formula>AND($N28&lt;&gt;"",ISNUMBER($N28),$N28&lt;=700)</formula>
    </cfRule>
  </conditionalFormatting>
  <conditionalFormatting sqref="D28">
    <cfRule type="expression" dxfId="749" priority="658">
      <formula>AND($N28&lt;&gt;"",ISNUMBER($N28),$N28&lt;=700)</formula>
    </cfRule>
  </conditionalFormatting>
  <conditionalFormatting sqref="D28">
    <cfRule type="expression" dxfId="748" priority="657">
      <formula>AND($N28&lt;&gt;"",ISNUMBER($N28),$N28&lt;=700)</formula>
    </cfRule>
  </conditionalFormatting>
  <conditionalFormatting sqref="D28">
    <cfRule type="expression" dxfId="747" priority="656">
      <formula>AND($N28&lt;&gt;"",ISNUMBER($N28),$N28&lt;=700)</formula>
    </cfRule>
  </conditionalFormatting>
  <conditionalFormatting sqref="D28">
    <cfRule type="expression" dxfId="746" priority="655">
      <formula>AND($N28&lt;&gt;"",ISNUMBER($N28),$N28&lt;=700)</formula>
    </cfRule>
  </conditionalFormatting>
  <conditionalFormatting sqref="D28">
    <cfRule type="expression" dxfId="745" priority="654">
      <formula>AND($N28&lt;&gt;"",ISNUMBER($N28),$N28&lt;=700)</formula>
    </cfRule>
  </conditionalFormatting>
  <conditionalFormatting sqref="D28">
    <cfRule type="expression" dxfId="744" priority="653">
      <formula>AND($N28&lt;&gt;"",ISNUMBER($N28),$N28&lt;=700)</formula>
    </cfRule>
  </conditionalFormatting>
  <conditionalFormatting sqref="D28">
    <cfRule type="expression" dxfId="743" priority="652">
      <formula>AND($N28&lt;&gt;"",ISNUMBER($N28),$N28&lt;=700)</formula>
    </cfRule>
  </conditionalFormatting>
  <conditionalFormatting sqref="D28">
    <cfRule type="expression" dxfId="742" priority="651">
      <formula>AND($N28&lt;&gt;"",ISNUMBER($N28),$N28&lt;=700)</formula>
    </cfRule>
  </conditionalFormatting>
  <conditionalFormatting sqref="D28">
    <cfRule type="expression" dxfId="741" priority="650">
      <formula>AND($N28&lt;&gt;"",ISNUMBER($N28),$N28&lt;=700)</formula>
    </cfRule>
  </conditionalFormatting>
  <conditionalFormatting sqref="D28">
    <cfRule type="expression" dxfId="740" priority="649">
      <formula>AND($N28&lt;&gt;"",ISNUMBER($N28),$N28&lt;=700)</formula>
    </cfRule>
  </conditionalFormatting>
  <conditionalFormatting sqref="D28">
    <cfRule type="expression" dxfId="739" priority="648">
      <formula>AND($N28&lt;&gt;"",ISNUMBER($N28),$N28&lt;=700)</formula>
    </cfRule>
  </conditionalFormatting>
  <conditionalFormatting sqref="D28">
    <cfRule type="expression" dxfId="738" priority="647">
      <formula>AND($N28&lt;&gt;"",ISNUMBER($N28),$N28&lt;=700)</formula>
    </cfRule>
  </conditionalFormatting>
  <conditionalFormatting sqref="D28">
    <cfRule type="expression" dxfId="737" priority="646">
      <formula>AND($N28&lt;&gt;"",ISNUMBER($N28),$N28&lt;=700)</formula>
    </cfRule>
  </conditionalFormatting>
  <conditionalFormatting sqref="D28">
    <cfRule type="expression" dxfId="736" priority="645">
      <formula>AND($N28&lt;&gt;"",ISNUMBER($N28),$N28&lt;=700)</formula>
    </cfRule>
  </conditionalFormatting>
  <conditionalFormatting sqref="D28">
    <cfRule type="expression" dxfId="735" priority="644">
      <formula>AND($N28&lt;&gt;"",ISNUMBER($N28),$N28&lt;=700)</formula>
    </cfRule>
  </conditionalFormatting>
  <conditionalFormatting sqref="D28">
    <cfRule type="expression" dxfId="734" priority="643">
      <formula>AND($N28&lt;&gt;"",ISNUMBER($N28),$N28&lt;=700)</formula>
    </cfRule>
  </conditionalFormatting>
  <conditionalFormatting sqref="D28">
    <cfRule type="expression" dxfId="733" priority="642">
      <formula>AND($N28&lt;&gt;"",ISNUMBER($N28),$N28&lt;=700)</formula>
    </cfRule>
  </conditionalFormatting>
  <conditionalFormatting sqref="D28">
    <cfRule type="expression" dxfId="732" priority="641">
      <formula>AND($N28&lt;&gt;"",ISNUMBER($N28),$N28&lt;=700)</formula>
    </cfRule>
  </conditionalFormatting>
  <conditionalFormatting sqref="D28">
    <cfRule type="expression" dxfId="731" priority="640">
      <formula>AND($N28&lt;&gt;"",ISNUMBER($N28),$N28&lt;=700)</formula>
    </cfRule>
  </conditionalFormatting>
  <conditionalFormatting sqref="D28">
    <cfRule type="expression" dxfId="730" priority="639">
      <formula>AND($N28&lt;&gt;"",ISNUMBER($N28),$N28&lt;=700)</formula>
    </cfRule>
  </conditionalFormatting>
  <conditionalFormatting sqref="D28">
    <cfRule type="expression" dxfId="729" priority="638">
      <formula>AND($N28&lt;&gt;"",ISNUMBER($N28),$N28&lt;=700)</formula>
    </cfRule>
  </conditionalFormatting>
  <conditionalFormatting sqref="D28">
    <cfRule type="expression" dxfId="728" priority="637">
      <formula>AND($N28&lt;&gt;"",ISNUMBER($N28),$N28&lt;=700)</formula>
    </cfRule>
  </conditionalFormatting>
  <conditionalFormatting sqref="D28">
    <cfRule type="expression" dxfId="727" priority="636">
      <formula>AND($N28&lt;&gt;"",ISNUMBER($N28),$N28&lt;=700)</formula>
    </cfRule>
  </conditionalFormatting>
  <conditionalFormatting sqref="D28">
    <cfRule type="expression" dxfId="726" priority="635">
      <formula>AND($N28&lt;&gt;"",ISNUMBER($N28),$N28&lt;=700)</formula>
    </cfRule>
  </conditionalFormatting>
  <conditionalFormatting sqref="D28">
    <cfRule type="expression" dxfId="725" priority="634">
      <formula>AND($N28&lt;&gt;"",ISNUMBER($N28),$N28&lt;=700)</formula>
    </cfRule>
  </conditionalFormatting>
  <conditionalFormatting sqref="D28">
    <cfRule type="expression" dxfId="724" priority="633">
      <formula>AND($N28&lt;&gt;"",ISNUMBER($N28),$N28&lt;=700)</formula>
    </cfRule>
  </conditionalFormatting>
  <conditionalFormatting sqref="D28">
    <cfRule type="expression" dxfId="723" priority="632">
      <formula>AND($N28&lt;&gt;"",ISNUMBER($N28),$N28&lt;=700)</formula>
    </cfRule>
  </conditionalFormatting>
  <conditionalFormatting sqref="D28">
    <cfRule type="expression" dxfId="722" priority="631">
      <formula>AND($N28&lt;&gt;"",ISNUMBER($N28),$N28&lt;=700)</formula>
    </cfRule>
  </conditionalFormatting>
  <conditionalFormatting sqref="D28">
    <cfRule type="expression" dxfId="721" priority="630">
      <formula>AND($N28&lt;&gt;"",ISNUMBER($N28),$N28&lt;=700)</formula>
    </cfRule>
  </conditionalFormatting>
  <conditionalFormatting sqref="D28">
    <cfRule type="expression" dxfId="720" priority="629">
      <formula>AND($N28&lt;&gt;"",ISNUMBER($N28),$N28&lt;=700)</formula>
    </cfRule>
  </conditionalFormatting>
  <conditionalFormatting sqref="D28">
    <cfRule type="expression" dxfId="719" priority="628">
      <formula>AND($N28&lt;&gt;"",ISNUMBER($N28),$N28&lt;=700)</formula>
    </cfRule>
  </conditionalFormatting>
  <conditionalFormatting sqref="D28">
    <cfRule type="expression" dxfId="718" priority="627">
      <formula>AND($N28&lt;&gt;"",ISNUMBER($N28),$N28&lt;=700)</formula>
    </cfRule>
  </conditionalFormatting>
  <conditionalFormatting sqref="D28">
    <cfRule type="expression" dxfId="717" priority="626">
      <formula>AND($N28&lt;&gt;"",ISNUMBER($N28),$N28&lt;=700)</formula>
    </cfRule>
  </conditionalFormatting>
  <conditionalFormatting sqref="D28">
    <cfRule type="expression" dxfId="716" priority="625">
      <formula>AND($N28&lt;&gt;"",ISNUMBER($N28),$N28&lt;=700)</formula>
    </cfRule>
  </conditionalFormatting>
  <conditionalFormatting sqref="D28">
    <cfRule type="expression" dxfId="715" priority="624">
      <formula>AND($N28&lt;&gt;"",ISNUMBER($N28),$N28&lt;=700)</formula>
    </cfRule>
  </conditionalFormatting>
  <conditionalFormatting sqref="D28">
    <cfRule type="expression" dxfId="714" priority="623">
      <formula>AND($N28&lt;&gt;"",ISNUMBER($N28),$N28&lt;=700)</formula>
    </cfRule>
  </conditionalFormatting>
  <conditionalFormatting sqref="D28">
    <cfRule type="expression" dxfId="713" priority="622">
      <formula>AND($N28&lt;&gt;"",ISNUMBER($N28),$N28&lt;=700)</formula>
    </cfRule>
  </conditionalFormatting>
  <conditionalFormatting sqref="D28">
    <cfRule type="expression" dxfId="712" priority="621">
      <formula>AND($N28&lt;&gt;"",ISNUMBER($N28),$N28&lt;=700)</formula>
    </cfRule>
  </conditionalFormatting>
  <conditionalFormatting sqref="D28">
    <cfRule type="expression" dxfId="711" priority="620">
      <formula>AND($N28&lt;&gt;"",ISNUMBER($N28),$N28&lt;=700)</formula>
    </cfRule>
  </conditionalFormatting>
  <conditionalFormatting sqref="D22">
    <cfRule type="expression" dxfId="710" priority="619">
      <formula>AND($N22&lt;&gt;"",ISNUMBER($N22),$N22&lt;=700)</formula>
    </cfRule>
  </conditionalFormatting>
  <conditionalFormatting sqref="D22">
    <cfRule type="expression" dxfId="709" priority="618">
      <formula>AND($N22&lt;&gt;"",ISNUMBER($N22),$N22&lt;=700)</formula>
    </cfRule>
  </conditionalFormatting>
  <conditionalFormatting sqref="D28">
    <cfRule type="expression" dxfId="708" priority="617">
      <formula>AND($N28&lt;&gt;"",ISNUMBER($N28),$N28&lt;=700)</formula>
    </cfRule>
  </conditionalFormatting>
  <conditionalFormatting sqref="D28">
    <cfRule type="expression" dxfId="707" priority="616">
      <formula>AND($N28&lt;&gt;"",ISNUMBER($N28),$N28&lt;=700)</formula>
    </cfRule>
  </conditionalFormatting>
  <conditionalFormatting sqref="D19">
    <cfRule type="expression" dxfId="706" priority="615">
      <formula>AND($N19&lt;&gt;"",ISNUMBER($N19),$N19&lt;=700)</formula>
    </cfRule>
  </conditionalFormatting>
  <conditionalFormatting sqref="D20">
    <cfRule type="expression" dxfId="705" priority="614">
      <formula>AND($N20&lt;&gt;"",ISNUMBER($N20),$N20&lt;=700)</formula>
    </cfRule>
  </conditionalFormatting>
  <conditionalFormatting sqref="D20">
    <cfRule type="expression" dxfId="704" priority="613">
      <formula>AND($N20&lt;&gt;"",ISNUMBER($N20),$N20&lt;=700)</formula>
    </cfRule>
  </conditionalFormatting>
  <conditionalFormatting sqref="D20">
    <cfRule type="expression" dxfId="703" priority="612">
      <formula>AND($N20&lt;&gt;"",ISNUMBER($N20),$N20&lt;=700)</formula>
    </cfRule>
  </conditionalFormatting>
  <conditionalFormatting sqref="D20">
    <cfRule type="expression" dxfId="702" priority="611">
      <formula>AND($N20&lt;&gt;"",ISNUMBER($N20),$N20&lt;=700)</formula>
    </cfRule>
  </conditionalFormatting>
  <conditionalFormatting sqref="D28">
    <cfRule type="expression" dxfId="701" priority="610">
      <formula>AND($N28&lt;&gt;"",ISNUMBER($N28),$N28&lt;=700)</formula>
    </cfRule>
  </conditionalFormatting>
  <conditionalFormatting sqref="D28">
    <cfRule type="expression" dxfId="700" priority="609">
      <formula>AND($N28&lt;&gt;"",ISNUMBER($N28),$N28&lt;=700)</formula>
    </cfRule>
  </conditionalFormatting>
  <conditionalFormatting sqref="D28">
    <cfRule type="expression" dxfId="699" priority="608">
      <formula>AND($N28&lt;&gt;"",ISNUMBER($N28),$N28&lt;=700)</formula>
    </cfRule>
  </conditionalFormatting>
  <conditionalFormatting sqref="D28">
    <cfRule type="expression" dxfId="698" priority="607">
      <formula>AND($N28&lt;&gt;"",ISNUMBER($N28),$N28&lt;=700)</formula>
    </cfRule>
  </conditionalFormatting>
  <conditionalFormatting sqref="D28">
    <cfRule type="expression" dxfId="697" priority="606">
      <formula>AND($N28&lt;&gt;"",ISNUMBER($N28),$N28&lt;=700)</formula>
    </cfRule>
  </conditionalFormatting>
  <conditionalFormatting sqref="D28">
    <cfRule type="expression" dxfId="696" priority="605">
      <formula>AND($N28&lt;&gt;"",ISNUMBER($N28),$N28&lt;=700)</formula>
    </cfRule>
  </conditionalFormatting>
  <conditionalFormatting sqref="D28">
    <cfRule type="expression" dxfId="695" priority="604">
      <formula>AND($N28&lt;&gt;"",ISNUMBER($N28),$N28&lt;=700)</formula>
    </cfRule>
  </conditionalFormatting>
  <conditionalFormatting sqref="D28">
    <cfRule type="expression" dxfId="694" priority="603">
      <formula>AND($N28&lt;&gt;"",ISNUMBER($N28),$N28&lt;=700)</formula>
    </cfRule>
  </conditionalFormatting>
  <conditionalFormatting sqref="D28">
    <cfRule type="expression" dxfId="693" priority="602">
      <formula>AND($N28&lt;&gt;"",ISNUMBER($N28),$N28&lt;=700)</formula>
    </cfRule>
  </conditionalFormatting>
  <conditionalFormatting sqref="D28">
    <cfRule type="expression" dxfId="692" priority="601">
      <formula>AND($N28&lt;&gt;"",ISNUMBER($N28),$N28&lt;=700)</formula>
    </cfRule>
  </conditionalFormatting>
  <conditionalFormatting sqref="D28">
    <cfRule type="expression" dxfId="691" priority="600">
      <formula>AND($N28&lt;&gt;"",ISNUMBER($N28),$N28&lt;=700)</formula>
    </cfRule>
  </conditionalFormatting>
  <conditionalFormatting sqref="D28">
    <cfRule type="expression" dxfId="690" priority="599">
      <formula>AND($N28&lt;&gt;"",ISNUMBER($N28),$N28&lt;=700)</formula>
    </cfRule>
  </conditionalFormatting>
  <conditionalFormatting sqref="D28">
    <cfRule type="expression" dxfId="689" priority="598">
      <formula>AND($N28&lt;&gt;"",ISNUMBER($N28),$N28&lt;=700)</formula>
    </cfRule>
  </conditionalFormatting>
  <conditionalFormatting sqref="D28">
    <cfRule type="expression" dxfId="688" priority="597">
      <formula>AND($N28&lt;&gt;"",ISNUMBER($N28),$N28&lt;=700)</formula>
    </cfRule>
  </conditionalFormatting>
  <conditionalFormatting sqref="D28">
    <cfRule type="expression" dxfId="687" priority="596">
      <formula>AND($N28&lt;&gt;"",ISNUMBER($N28),$N28&lt;=700)</formula>
    </cfRule>
  </conditionalFormatting>
  <conditionalFormatting sqref="D28">
    <cfRule type="expression" dxfId="686" priority="595">
      <formula>AND($N28&lt;&gt;"",ISNUMBER($N28),$N28&lt;=700)</formula>
    </cfRule>
  </conditionalFormatting>
  <conditionalFormatting sqref="D28">
    <cfRule type="expression" dxfId="685" priority="594">
      <formula>AND($N28&lt;&gt;"",ISNUMBER($N28),$N28&lt;=700)</formula>
    </cfRule>
  </conditionalFormatting>
  <conditionalFormatting sqref="D28">
    <cfRule type="expression" dxfId="684" priority="593">
      <formula>AND($N28&lt;&gt;"",ISNUMBER($N28),$N28&lt;=700)</formula>
    </cfRule>
  </conditionalFormatting>
  <conditionalFormatting sqref="D28">
    <cfRule type="expression" dxfId="683" priority="592">
      <formula>AND($N28&lt;&gt;"",ISNUMBER($N28),$N28&lt;=700)</formula>
    </cfRule>
  </conditionalFormatting>
  <conditionalFormatting sqref="D28">
    <cfRule type="expression" dxfId="682" priority="591">
      <formula>AND($N28&lt;&gt;"",ISNUMBER($N28),$N28&lt;=700)</formula>
    </cfRule>
  </conditionalFormatting>
  <conditionalFormatting sqref="D28">
    <cfRule type="expression" dxfId="681" priority="590">
      <formula>AND($N28&lt;&gt;"",ISNUMBER($N28),$N28&lt;=700)</formula>
    </cfRule>
  </conditionalFormatting>
  <conditionalFormatting sqref="D28">
    <cfRule type="expression" dxfId="680" priority="589">
      <formula>AND($N28&lt;&gt;"",ISNUMBER($N28),$N28&lt;=700)</formula>
    </cfRule>
  </conditionalFormatting>
  <conditionalFormatting sqref="D28">
    <cfRule type="expression" dxfId="679" priority="588">
      <formula>AND($N28&lt;&gt;"",ISNUMBER($N28),$N28&lt;=700)</formula>
    </cfRule>
  </conditionalFormatting>
  <conditionalFormatting sqref="D28">
    <cfRule type="expression" dxfId="678" priority="587">
      <formula>AND($N28&lt;&gt;"",ISNUMBER($N28),$N28&lt;=700)</formula>
    </cfRule>
  </conditionalFormatting>
  <conditionalFormatting sqref="D28">
    <cfRule type="expression" dxfId="677" priority="586">
      <formula>AND($N28&lt;&gt;"",ISNUMBER($N28),$N28&lt;=700)</formula>
    </cfRule>
  </conditionalFormatting>
  <conditionalFormatting sqref="D28">
    <cfRule type="expression" dxfId="676" priority="585">
      <formula>AND($N28&lt;&gt;"",ISNUMBER($N28),$N28&lt;=700)</formula>
    </cfRule>
  </conditionalFormatting>
  <conditionalFormatting sqref="D28">
    <cfRule type="expression" dxfId="675" priority="584">
      <formula>AND($N28&lt;&gt;"",ISNUMBER($N28),$N28&lt;=700)</formula>
    </cfRule>
  </conditionalFormatting>
  <conditionalFormatting sqref="D28">
    <cfRule type="expression" dxfId="674" priority="583">
      <formula>AND($N28&lt;&gt;"",ISNUMBER($N28),$N28&lt;=700)</formula>
    </cfRule>
  </conditionalFormatting>
  <conditionalFormatting sqref="D28">
    <cfRule type="expression" dxfId="673" priority="582">
      <formula>AND($N28&lt;&gt;"",ISNUMBER($N28),$N28&lt;=700)</formula>
    </cfRule>
  </conditionalFormatting>
  <conditionalFormatting sqref="D28">
    <cfRule type="expression" dxfId="672" priority="581">
      <formula>AND($N28&lt;&gt;"",ISNUMBER($N28),$N28&lt;=700)</formula>
    </cfRule>
  </conditionalFormatting>
  <conditionalFormatting sqref="D28">
    <cfRule type="expression" dxfId="671" priority="580">
      <formula>AND($N28&lt;&gt;"",ISNUMBER($N28),$N28&lt;=700)</formula>
    </cfRule>
  </conditionalFormatting>
  <conditionalFormatting sqref="D28">
    <cfRule type="expression" dxfId="670" priority="579">
      <formula>AND($N28&lt;&gt;"",ISNUMBER($N28),$N28&lt;=700)</formula>
    </cfRule>
  </conditionalFormatting>
  <conditionalFormatting sqref="D28">
    <cfRule type="expression" dxfId="669" priority="578">
      <formula>AND($N28&lt;&gt;"",ISNUMBER($N28),$N28&lt;=700)</formula>
    </cfRule>
  </conditionalFormatting>
  <conditionalFormatting sqref="D28">
    <cfRule type="expression" dxfId="668" priority="577">
      <formula>AND($N28&lt;&gt;"",ISNUMBER($N28),$N28&lt;=700)</formula>
    </cfRule>
  </conditionalFormatting>
  <conditionalFormatting sqref="D28">
    <cfRule type="expression" dxfId="667" priority="576">
      <formula>AND($N28&lt;&gt;"",ISNUMBER($N28),$N28&lt;=700)</formula>
    </cfRule>
  </conditionalFormatting>
  <conditionalFormatting sqref="D28">
    <cfRule type="expression" dxfId="666" priority="575">
      <formula>AND($N28&lt;&gt;"",ISNUMBER($N28),$N28&lt;=700)</formula>
    </cfRule>
  </conditionalFormatting>
  <conditionalFormatting sqref="D28">
    <cfRule type="expression" dxfId="665" priority="574">
      <formula>AND($N28&lt;&gt;"",ISNUMBER($N28),$N28&lt;=700)</formula>
    </cfRule>
  </conditionalFormatting>
  <conditionalFormatting sqref="D28">
    <cfRule type="expression" dxfId="664" priority="573">
      <formula>AND($N28&lt;&gt;"",ISNUMBER($N28),$N28&lt;=700)</formula>
    </cfRule>
  </conditionalFormatting>
  <conditionalFormatting sqref="D29">
    <cfRule type="expression" dxfId="663" priority="572">
      <formula>AND($N29&lt;&gt;"",ISNUMBER($N29),$N29&lt;=700)</formula>
    </cfRule>
  </conditionalFormatting>
  <conditionalFormatting sqref="D29">
    <cfRule type="expression" dxfId="662" priority="571">
      <formula>AND($N29&lt;&gt;"",ISNUMBER($N29),$N29&lt;=700)</formula>
    </cfRule>
  </conditionalFormatting>
  <conditionalFormatting sqref="D29">
    <cfRule type="expression" dxfId="661" priority="570">
      <formula>AND($N29&lt;&gt;"",ISNUMBER($N29),$N29&lt;=700)</formula>
    </cfRule>
  </conditionalFormatting>
  <conditionalFormatting sqref="D29">
    <cfRule type="expression" dxfId="660" priority="569">
      <formula>AND($N29&lt;&gt;"",ISNUMBER($N29),$N29&lt;=700)</formula>
    </cfRule>
  </conditionalFormatting>
  <conditionalFormatting sqref="D29">
    <cfRule type="expression" dxfId="659" priority="568">
      <formula>AND($N29&lt;&gt;"",ISNUMBER($N29),$N29&lt;=700)</formula>
    </cfRule>
  </conditionalFormatting>
  <conditionalFormatting sqref="D29">
    <cfRule type="expression" dxfId="658" priority="567">
      <formula>AND($N29&lt;&gt;"",ISNUMBER($N29),$N29&lt;=700)</formula>
    </cfRule>
  </conditionalFormatting>
  <conditionalFormatting sqref="D29">
    <cfRule type="expression" dxfId="657" priority="566">
      <formula>AND($N29&lt;&gt;"",ISNUMBER($N29),$N29&lt;=700)</formula>
    </cfRule>
  </conditionalFormatting>
  <conditionalFormatting sqref="D29">
    <cfRule type="expression" dxfId="656" priority="565">
      <formula>AND($N29&lt;&gt;"",ISNUMBER($N29),$N29&lt;=700)</formula>
    </cfRule>
  </conditionalFormatting>
  <conditionalFormatting sqref="D29">
    <cfRule type="expression" dxfId="655" priority="564">
      <formula>AND($N29&lt;&gt;"",ISNUMBER($N29),$N29&lt;=700)</formula>
    </cfRule>
  </conditionalFormatting>
  <conditionalFormatting sqref="D29">
    <cfRule type="expression" dxfId="654" priority="563">
      <formula>AND($N29&lt;&gt;"",ISNUMBER($N29),$N29&lt;=700)</formula>
    </cfRule>
  </conditionalFormatting>
  <conditionalFormatting sqref="D29">
    <cfRule type="expression" dxfId="653" priority="562">
      <formula>AND($N29&lt;&gt;"",ISNUMBER($N29),$N29&lt;=700)</formula>
    </cfRule>
  </conditionalFormatting>
  <conditionalFormatting sqref="D29">
    <cfRule type="expression" dxfId="652" priority="561">
      <formula>AND($N29&lt;&gt;"",ISNUMBER($N29),$N29&lt;=700)</formula>
    </cfRule>
  </conditionalFormatting>
  <conditionalFormatting sqref="D29">
    <cfRule type="expression" dxfId="651" priority="560">
      <formula>AND($N29&lt;&gt;"",ISNUMBER($N29),$N29&lt;=700)</formula>
    </cfRule>
  </conditionalFormatting>
  <conditionalFormatting sqref="D29">
    <cfRule type="expression" dxfId="650" priority="559">
      <formula>AND($N29&lt;&gt;"",ISNUMBER($N29),$N29&lt;=700)</formula>
    </cfRule>
  </conditionalFormatting>
  <conditionalFormatting sqref="D29">
    <cfRule type="expression" dxfId="649" priority="558">
      <formula>AND($N29&lt;&gt;"",ISNUMBER($N29),$N29&lt;=700)</formula>
    </cfRule>
  </conditionalFormatting>
  <conditionalFormatting sqref="D29">
    <cfRule type="expression" dxfId="648" priority="557">
      <formula>AND($N29&lt;&gt;"",ISNUMBER($N29),$N29&lt;=700)</formula>
    </cfRule>
  </conditionalFormatting>
  <conditionalFormatting sqref="D29">
    <cfRule type="expression" dxfId="647" priority="556">
      <formula>AND($N29&lt;&gt;"",ISNUMBER($N29),$N29&lt;=700)</formula>
    </cfRule>
  </conditionalFormatting>
  <conditionalFormatting sqref="D29">
    <cfRule type="expression" dxfId="646" priority="555">
      <formula>AND($N29&lt;&gt;"",ISNUMBER($N29),$N29&lt;=700)</formula>
    </cfRule>
  </conditionalFormatting>
  <conditionalFormatting sqref="D29">
    <cfRule type="expression" dxfId="645" priority="554">
      <formula>AND($N29&lt;&gt;"",ISNUMBER($N29),$N29&lt;=700)</formula>
    </cfRule>
  </conditionalFormatting>
  <conditionalFormatting sqref="D29">
    <cfRule type="expression" dxfId="644" priority="553">
      <formula>AND($N29&lt;&gt;"",ISNUMBER($N29),$N29&lt;=700)</formula>
    </cfRule>
  </conditionalFormatting>
  <conditionalFormatting sqref="D29">
    <cfRule type="expression" dxfId="643" priority="552">
      <formula>AND($N29&lt;&gt;"",ISNUMBER($N29),$N29&lt;=700)</formula>
    </cfRule>
  </conditionalFormatting>
  <conditionalFormatting sqref="D29">
    <cfRule type="expression" dxfId="642" priority="551">
      <formula>AND($N29&lt;&gt;"",ISNUMBER($N29),$N29&lt;=700)</formula>
    </cfRule>
  </conditionalFormatting>
  <conditionalFormatting sqref="D29">
    <cfRule type="expression" dxfId="641" priority="550">
      <formula>AND($N29&lt;&gt;"",ISNUMBER($N29),$N29&lt;=700)</formula>
    </cfRule>
  </conditionalFormatting>
  <conditionalFormatting sqref="D29">
    <cfRule type="expression" dxfId="640" priority="549">
      <formula>AND($N29&lt;&gt;"",ISNUMBER($N29),$N29&lt;=700)</formula>
    </cfRule>
  </conditionalFormatting>
  <conditionalFormatting sqref="D29">
    <cfRule type="expression" dxfId="639" priority="548">
      <formula>AND($N29&lt;&gt;"",ISNUMBER($N29),$N29&lt;=700)</formula>
    </cfRule>
  </conditionalFormatting>
  <conditionalFormatting sqref="D29">
    <cfRule type="expression" dxfId="638" priority="547">
      <formula>AND($N29&lt;&gt;"",ISNUMBER($N29),$N29&lt;=700)</formula>
    </cfRule>
  </conditionalFormatting>
  <conditionalFormatting sqref="D29">
    <cfRule type="expression" dxfId="637" priority="546">
      <formula>AND($N29&lt;&gt;"",ISNUMBER($N29),$N29&lt;=700)</formula>
    </cfRule>
  </conditionalFormatting>
  <conditionalFormatting sqref="D29">
    <cfRule type="expression" dxfId="636" priority="545">
      <formula>AND($N29&lt;&gt;"",ISNUMBER($N29),$N29&lt;=700)</formula>
    </cfRule>
  </conditionalFormatting>
  <conditionalFormatting sqref="D29">
    <cfRule type="expression" dxfId="635" priority="544">
      <formula>AND($N29&lt;&gt;"",ISNUMBER($N29),$N29&lt;=700)</formula>
    </cfRule>
  </conditionalFormatting>
  <conditionalFormatting sqref="D29">
    <cfRule type="expression" dxfId="634" priority="543">
      <formula>AND($N29&lt;&gt;"",ISNUMBER($N29),$N29&lt;=700)</formula>
    </cfRule>
  </conditionalFormatting>
  <conditionalFormatting sqref="D29">
    <cfRule type="expression" dxfId="633" priority="542">
      <formula>AND($N29&lt;&gt;"",ISNUMBER($N29),$N29&lt;=700)</formula>
    </cfRule>
  </conditionalFormatting>
  <conditionalFormatting sqref="D29">
    <cfRule type="expression" dxfId="632" priority="541">
      <formula>AND($N29&lt;&gt;"",ISNUMBER($N29),$N29&lt;=700)</formula>
    </cfRule>
  </conditionalFormatting>
  <conditionalFormatting sqref="D29">
    <cfRule type="expression" dxfId="631" priority="540">
      <formula>AND($N29&lt;&gt;"",ISNUMBER($N29),$N29&lt;=700)</formula>
    </cfRule>
  </conditionalFormatting>
  <conditionalFormatting sqref="D29">
    <cfRule type="expression" dxfId="630" priority="539">
      <formula>AND($N29&lt;&gt;"",ISNUMBER($N29),$N29&lt;=700)</formula>
    </cfRule>
  </conditionalFormatting>
  <conditionalFormatting sqref="D29">
    <cfRule type="expression" dxfId="629" priority="538">
      <formula>AND($N29&lt;&gt;"",ISNUMBER($N29),$N29&lt;=700)</formula>
    </cfRule>
  </conditionalFormatting>
  <conditionalFormatting sqref="D29">
    <cfRule type="expression" dxfId="628" priority="537">
      <formula>AND($N29&lt;&gt;"",ISNUMBER($N29),$N29&lt;=700)</formula>
    </cfRule>
  </conditionalFormatting>
  <conditionalFormatting sqref="D29">
    <cfRule type="expression" dxfId="627" priority="536">
      <formula>AND($N29&lt;&gt;"",ISNUMBER($N29),$N29&lt;=700)</formula>
    </cfRule>
  </conditionalFormatting>
  <conditionalFormatting sqref="D29">
    <cfRule type="expression" dxfId="626" priority="535">
      <formula>AND($N29&lt;&gt;"",ISNUMBER($N29),$N29&lt;=700)</formula>
    </cfRule>
  </conditionalFormatting>
  <conditionalFormatting sqref="D27">
    <cfRule type="expression" dxfId="625" priority="534">
      <formula>AND($N27&lt;&gt;"",ISNUMBER($N27),$N27&lt;=700)</formula>
    </cfRule>
  </conditionalFormatting>
  <conditionalFormatting sqref="D27">
    <cfRule type="expression" dxfId="624" priority="533">
      <formula>AND($N27&lt;&gt;"",ISNUMBER($N27),$N27&lt;=700)</formula>
    </cfRule>
  </conditionalFormatting>
  <conditionalFormatting sqref="D27">
    <cfRule type="expression" dxfId="623" priority="532">
      <formula>AND($N27&lt;&gt;"",ISNUMBER($N27),$N27&lt;=700)</formula>
    </cfRule>
  </conditionalFormatting>
  <conditionalFormatting sqref="D27">
    <cfRule type="expression" dxfId="622" priority="531">
      <formula>AND($N27&lt;&gt;"",ISNUMBER($N27),$N27&lt;=700)</formula>
    </cfRule>
  </conditionalFormatting>
  <conditionalFormatting sqref="D27">
    <cfRule type="expression" dxfId="621" priority="530">
      <formula>AND($N27&lt;&gt;"",ISNUMBER($N27),$N27&lt;=700)</formula>
    </cfRule>
  </conditionalFormatting>
  <conditionalFormatting sqref="D27">
    <cfRule type="expression" dxfId="620" priority="529">
      <formula>AND($N27&lt;&gt;"",ISNUMBER($N27),$N27&lt;=700)</formula>
    </cfRule>
  </conditionalFormatting>
  <conditionalFormatting sqref="D27">
    <cfRule type="expression" dxfId="619" priority="528">
      <formula>AND($N27&lt;&gt;"",ISNUMBER($N27),$N27&lt;=700)</formula>
    </cfRule>
  </conditionalFormatting>
  <conditionalFormatting sqref="D27">
    <cfRule type="expression" dxfId="618" priority="527">
      <formula>AND($N27&lt;&gt;"",ISNUMBER($N27),$N27&lt;=700)</formula>
    </cfRule>
  </conditionalFormatting>
  <conditionalFormatting sqref="D27">
    <cfRule type="expression" dxfId="617" priority="526">
      <formula>AND($N27&lt;&gt;"",ISNUMBER($N27),$N27&lt;=700)</formula>
    </cfRule>
  </conditionalFormatting>
  <conditionalFormatting sqref="D27">
    <cfRule type="expression" dxfId="616" priority="525">
      <formula>AND($N27&lt;&gt;"",ISNUMBER($N27),$N27&lt;=700)</formula>
    </cfRule>
  </conditionalFormatting>
  <conditionalFormatting sqref="D27">
    <cfRule type="expression" dxfId="615" priority="524">
      <formula>AND($N27&lt;&gt;"",ISNUMBER($N27),$N27&lt;=700)</formula>
    </cfRule>
  </conditionalFormatting>
  <conditionalFormatting sqref="D27">
    <cfRule type="expression" dxfId="614" priority="523">
      <formula>AND($N27&lt;&gt;"",ISNUMBER($N27),$N27&lt;=700)</formula>
    </cfRule>
  </conditionalFormatting>
  <conditionalFormatting sqref="D27">
    <cfRule type="expression" dxfId="613" priority="522">
      <formula>AND($N27&lt;&gt;"",ISNUMBER($N27),$N27&lt;=700)</formula>
    </cfRule>
  </conditionalFormatting>
  <conditionalFormatting sqref="D27">
    <cfRule type="expression" dxfId="612" priority="521">
      <formula>AND($N27&lt;&gt;"",ISNUMBER($N27),$N27&lt;=700)</formula>
    </cfRule>
  </conditionalFormatting>
  <conditionalFormatting sqref="D27">
    <cfRule type="expression" dxfId="611" priority="520">
      <formula>AND($N27&lt;&gt;"",ISNUMBER($N27),$N27&lt;=700)</formula>
    </cfRule>
  </conditionalFormatting>
  <conditionalFormatting sqref="D27">
    <cfRule type="expression" dxfId="610" priority="519">
      <formula>AND($N27&lt;&gt;"",ISNUMBER($N27),$N27&lt;=700)</formula>
    </cfRule>
  </conditionalFormatting>
  <conditionalFormatting sqref="D27">
    <cfRule type="expression" dxfId="609" priority="518">
      <formula>AND($N27&lt;&gt;"",ISNUMBER($N27),$N27&lt;=700)</formula>
    </cfRule>
  </conditionalFormatting>
  <conditionalFormatting sqref="D27">
    <cfRule type="expression" dxfId="608" priority="517">
      <formula>AND($N27&lt;&gt;"",ISNUMBER($N27),$N27&lt;=700)</formula>
    </cfRule>
  </conditionalFormatting>
  <conditionalFormatting sqref="D27">
    <cfRule type="expression" dxfId="607" priority="516">
      <formula>AND($N27&lt;&gt;"",ISNUMBER($N27),$N27&lt;=700)</formula>
    </cfRule>
  </conditionalFormatting>
  <conditionalFormatting sqref="D27">
    <cfRule type="expression" dxfId="606" priority="515">
      <formula>AND($N27&lt;&gt;"",ISNUMBER($N27),$N27&lt;=700)</formula>
    </cfRule>
  </conditionalFormatting>
  <conditionalFormatting sqref="D27">
    <cfRule type="expression" dxfId="605" priority="514">
      <formula>AND($N27&lt;&gt;"",ISNUMBER($N27),$N27&lt;=700)</formula>
    </cfRule>
  </conditionalFormatting>
  <conditionalFormatting sqref="D27">
    <cfRule type="expression" dxfId="604" priority="513">
      <formula>AND($N27&lt;&gt;"",ISNUMBER($N27),$N27&lt;=700)</formula>
    </cfRule>
  </conditionalFormatting>
  <conditionalFormatting sqref="D27">
    <cfRule type="expression" dxfId="603" priority="512">
      <formula>AND($N27&lt;&gt;"",ISNUMBER($N27),$N27&lt;=700)</formula>
    </cfRule>
  </conditionalFormatting>
  <conditionalFormatting sqref="D27">
    <cfRule type="expression" dxfId="602" priority="511">
      <formula>AND($N27&lt;&gt;"",ISNUMBER($N27),$N27&lt;=700)</formula>
    </cfRule>
  </conditionalFormatting>
  <conditionalFormatting sqref="D27">
    <cfRule type="expression" dxfId="601" priority="510">
      <formula>AND($N27&lt;&gt;"",ISNUMBER($N27),$N27&lt;=700)</formula>
    </cfRule>
  </conditionalFormatting>
  <conditionalFormatting sqref="D27">
    <cfRule type="expression" dxfId="600" priority="509">
      <formula>AND($N27&lt;&gt;"",ISNUMBER($N27),$N27&lt;=700)</formula>
    </cfRule>
  </conditionalFormatting>
  <conditionalFormatting sqref="D27">
    <cfRule type="expression" dxfId="599" priority="508">
      <formula>AND($N27&lt;&gt;"",ISNUMBER($N27),$N27&lt;=700)</formula>
    </cfRule>
  </conditionalFormatting>
  <conditionalFormatting sqref="D27">
    <cfRule type="expression" dxfId="598" priority="507">
      <formula>AND($N27&lt;&gt;"",ISNUMBER($N27),$N27&lt;=700)</formula>
    </cfRule>
  </conditionalFormatting>
  <conditionalFormatting sqref="D27">
    <cfRule type="expression" dxfId="597" priority="506">
      <formula>AND($N27&lt;&gt;"",ISNUMBER($N27),$N27&lt;=700)</formula>
    </cfRule>
  </conditionalFormatting>
  <conditionalFormatting sqref="D27">
    <cfRule type="expression" dxfId="596" priority="505">
      <formula>AND($N27&lt;&gt;"",ISNUMBER($N27),$N27&lt;=700)</formula>
    </cfRule>
  </conditionalFormatting>
  <conditionalFormatting sqref="D27">
    <cfRule type="expression" dxfId="595" priority="504">
      <formula>AND($N27&lt;&gt;"",ISNUMBER($N27),$N27&lt;=700)</formula>
    </cfRule>
  </conditionalFormatting>
  <conditionalFormatting sqref="D27">
    <cfRule type="expression" dxfId="594" priority="503">
      <formula>AND($N27&lt;&gt;"",ISNUMBER($N27),$N27&lt;=700)</formula>
    </cfRule>
  </conditionalFormatting>
  <conditionalFormatting sqref="D27">
    <cfRule type="expression" dxfId="593" priority="502">
      <formula>AND($N27&lt;&gt;"",ISNUMBER($N27),$N27&lt;=700)</formula>
    </cfRule>
  </conditionalFormatting>
  <conditionalFormatting sqref="D27">
    <cfRule type="expression" dxfId="592" priority="501">
      <formula>AND($N27&lt;&gt;"",ISNUMBER($N27),$N27&lt;=700)</formula>
    </cfRule>
  </conditionalFormatting>
  <conditionalFormatting sqref="D27">
    <cfRule type="expression" dxfId="591" priority="500">
      <formula>AND($N27&lt;&gt;"",ISNUMBER($N27),$N27&lt;=700)</formula>
    </cfRule>
  </conditionalFormatting>
  <conditionalFormatting sqref="D27">
    <cfRule type="expression" dxfId="590" priority="499">
      <formula>AND($N27&lt;&gt;"",ISNUMBER($N27),$N27&lt;=700)</formula>
    </cfRule>
  </conditionalFormatting>
  <conditionalFormatting sqref="D27">
    <cfRule type="expression" dxfId="589" priority="498">
      <formula>AND($N27&lt;&gt;"",ISNUMBER($N27),$N27&lt;=700)</formula>
    </cfRule>
  </conditionalFormatting>
  <conditionalFormatting sqref="D27">
    <cfRule type="expression" dxfId="588" priority="497">
      <formula>AND($N27&lt;&gt;"",ISNUMBER($N27),$N27&lt;=700)</formula>
    </cfRule>
  </conditionalFormatting>
  <conditionalFormatting sqref="D27">
    <cfRule type="expression" dxfId="587" priority="496">
      <formula>AND($N27&lt;&gt;"",ISNUMBER($N27),$N27&lt;=700)</formula>
    </cfRule>
  </conditionalFormatting>
  <conditionalFormatting sqref="D27">
    <cfRule type="expression" dxfId="586" priority="495">
      <formula>AND($N27&lt;&gt;"",ISNUMBER($N27),$N27&lt;=700)</formula>
    </cfRule>
  </conditionalFormatting>
  <conditionalFormatting sqref="D27">
    <cfRule type="expression" dxfId="585" priority="494">
      <formula>AND($N27&lt;&gt;"",ISNUMBER($N27),$N27&lt;=700)</formula>
    </cfRule>
  </conditionalFormatting>
  <conditionalFormatting sqref="D27">
    <cfRule type="expression" dxfId="584" priority="493">
      <formula>AND($N27&lt;&gt;"",ISNUMBER($N27),$N27&lt;=700)</formula>
    </cfRule>
  </conditionalFormatting>
  <conditionalFormatting sqref="D27">
    <cfRule type="expression" dxfId="583" priority="492">
      <formula>AND($N27&lt;&gt;"",ISNUMBER($N27),$N27&lt;=700)</formula>
    </cfRule>
  </conditionalFormatting>
  <conditionalFormatting sqref="D27">
    <cfRule type="expression" dxfId="582" priority="491">
      <formula>AND($N27&lt;&gt;"",ISNUMBER($N27),$N27&lt;=700)</formula>
    </cfRule>
  </conditionalFormatting>
  <conditionalFormatting sqref="D27">
    <cfRule type="expression" dxfId="581" priority="490">
      <formula>AND($N27&lt;&gt;"",ISNUMBER($N27),$N27&lt;=700)</formula>
    </cfRule>
  </conditionalFormatting>
  <conditionalFormatting sqref="D27">
    <cfRule type="expression" dxfId="580" priority="489">
      <formula>AND($N27&lt;&gt;"",ISNUMBER($N27),$N27&lt;=700)</formula>
    </cfRule>
  </conditionalFormatting>
  <conditionalFormatting sqref="D27">
    <cfRule type="expression" dxfId="579" priority="488">
      <formula>AND($N27&lt;&gt;"",ISNUMBER($N27),$N27&lt;=700)</formula>
    </cfRule>
  </conditionalFormatting>
  <conditionalFormatting sqref="D27">
    <cfRule type="expression" dxfId="578" priority="487">
      <formula>AND($N27&lt;&gt;"",ISNUMBER($N27),$N27&lt;=700)</formula>
    </cfRule>
  </conditionalFormatting>
  <conditionalFormatting sqref="D27">
    <cfRule type="expression" dxfId="577" priority="486">
      <formula>AND($N27&lt;&gt;"",ISNUMBER($N27),$N27&lt;=700)</formula>
    </cfRule>
  </conditionalFormatting>
  <conditionalFormatting sqref="D27">
    <cfRule type="expression" dxfId="576" priority="485">
      <formula>AND($N27&lt;&gt;"",ISNUMBER($N27),$N27&lt;=700)</formula>
    </cfRule>
  </conditionalFormatting>
  <conditionalFormatting sqref="D27">
    <cfRule type="expression" dxfId="575" priority="484">
      <formula>AND($N27&lt;&gt;"",ISNUMBER($N27),$N27&lt;=700)</formula>
    </cfRule>
  </conditionalFormatting>
  <conditionalFormatting sqref="D27">
    <cfRule type="expression" dxfId="574" priority="483">
      <formula>AND($N27&lt;&gt;"",ISNUMBER($N27),$N27&lt;=700)</formula>
    </cfRule>
  </conditionalFormatting>
  <conditionalFormatting sqref="D27">
    <cfRule type="expression" dxfId="573" priority="482">
      <formula>AND($N27&lt;&gt;"",ISNUMBER($N27),$N27&lt;=700)</formula>
    </cfRule>
  </conditionalFormatting>
  <conditionalFormatting sqref="D27">
    <cfRule type="expression" dxfId="572" priority="481">
      <formula>AND($N27&lt;&gt;"",ISNUMBER($N27),$N27&lt;=700)</formula>
    </cfRule>
  </conditionalFormatting>
  <conditionalFormatting sqref="D27">
    <cfRule type="expression" dxfId="571" priority="480">
      <formula>AND($N27&lt;&gt;"",ISNUMBER($N27),$N27&lt;=700)</formula>
    </cfRule>
  </conditionalFormatting>
  <conditionalFormatting sqref="D27">
    <cfRule type="expression" dxfId="570" priority="479">
      <formula>AND($N27&lt;&gt;"",ISNUMBER($N27),$N27&lt;=700)</formula>
    </cfRule>
  </conditionalFormatting>
  <conditionalFormatting sqref="D27">
    <cfRule type="expression" dxfId="569" priority="478">
      <formula>AND($N27&lt;&gt;"",ISNUMBER($N27),$N27&lt;=700)</formula>
    </cfRule>
  </conditionalFormatting>
  <conditionalFormatting sqref="D27">
    <cfRule type="expression" dxfId="568" priority="477">
      <formula>AND($N27&lt;&gt;"",ISNUMBER($N27),$N27&lt;=700)</formula>
    </cfRule>
  </conditionalFormatting>
  <conditionalFormatting sqref="D27">
    <cfRule type="expression" dxfId="567" priority="476">
      <formula>AND($N27&lt;&gt;"",ISNUMBER($N27),$N27&lt;=700)</formula>
    </cfRule>
  </conditionalFormatting>
  <conditionalFormatting sqref="D27">
    <cfRule type="expression" dxfId="566" priority="475">
      <formula>AND($N27&lt;&gt;"",ISNUMBER($N27),$N27&lt;=700)</formula>
    </cfRule>
  </conditionalFormatting>
  <conditionalFormatting sqref="D27">
    <cfRule type="expression" dxfId="565" priority="474">
      <formula>AND($N27&lt;&gt;"",ISNUMBER($N27),$N27&lt;=700)</formula>
    </cfRule>
  </conditionalFormatting>
  <conditionalFormatting sqref="D27">
    <cfRule type="expression" dxfId="564" priority="473">
      <formula>AND($N27&lt;&gt;"",ISNUMBER($N27),$N27&lt;=700)</formula>
    </cfRule>
  </conditionalFormatting>
  <conditionalFormatting sqref="D27">
    <cfRule type="expression" dxfId="563" priority="472">
      <formula>AND($N27&lt;&gt;"",ISNUMBER($N27),$N27&lt;=700)</formula>
    </cfRule>
  </conditionalFormatting>
  <conditionalFormatting sqref="D27">
    <cfRule type="expression" dxfId="562" priority="471">
      <formula>AND($N27&lt;&gt;"",ISNUMBER($N27),$N27&lt;=700)</formula>
    </cfRule>
  </conditionalFormatting>
  <conditionalFormatting sqref="D27">
    <cfRule type="expression" dxfId="561" priority="470">
      <formula>AND($N27&lt;&gt;"",ISNUMBER($N27),$N27&lt;=700)</formula>
    </cfRule>
  </conditionalFormatting>
  <conditionalFormatting sqref="D27">
    <cfRule type="expression" dxfId="560" priority="469">
      <formula>AND($N27&lt;&gt;"",ISNUMBER($N27),$N27&lt;=700)</formula>
    </cfRule>
  </conditionalFormatting>
  <conditionalFormatting sqref="D27">
    <cfRule type="expression" dxfId="559" priority="468">
      <formula>AND($N27&lt;&gt;"",ISNUMBER($N27),$N27&lt;=700)</formula>
    </cfRule>
  </conditionalFormatting>
  <conditionalFormatting sqref="D27">
    <cfRule type="expression" dxfId="558" priority="467">
      <formula>AND($N27&lt;&gt;"",ISNUMBER($N27),$N27&lt;=700)</formula>
    </cfRule>
  </conditionalFormatting>
  <conditionalFormatting sqref="D27">
    <cfRule type="expression" dxfId="557" priority="466">
      <formula>AND($N27&lt;&gt;"",ISNUMBER($N27),$N27&lt;=700)</formula>
    </cfRule>
  </conditionalFormatting>
  <conditionalFormatting sqref="D27">
    <cfRule type="expression" dxfId="556" priority="465">
      <formula>AND($N27&lt;&gt;"",ISNUMBER($N27),$N27&lt;=700)</formula>
    </cfRule>
  </conditionalFormatting>
  <conditionalFormatting sqref="D27">
    <cfRule type="expression" dxfId="555" priority="464">
      <formula>AND($N27&lt;&gt;"",ISNUMBER($N27),$N27&lt;=700)</formula>
    </cfRule>
  </conditionalFormatting>
  <conditionalFormatting sqref="D27">
    <cfRule type="expression" dxfId="554" priority="463">
      <formula>AND($N27&lt;&gt;"",ISNUMBER($N27),$N27&lt;=700)</formula>
    </cfRule>
  </conditionalFormatting>
  <conditionalFormatting sqref="D27">
    <cfRule type="expression" dxfId="553" priority="462">
      <formula>AND($N27&lt;&gt;"",ISNUMBER($N27),$N27&lt;=700)</formula>
    </cfRule>
  </conditionalFormatting>
  <conditionalFormatting sqref="D27">
    <cfRule type="expression" dxfId="552" priority="461">
      <formula>AND($N27&lt;&gt;"",ISNUMBER($N27),$N27&lt;=700)</formula>
    </cfRule>
  </conditionalFormatting>
  <conditionalFormatting sqref="D27">
    <cfRule type="expression" dxfId="551" priority="460">
      <formula>AND($N27&lt;&gt;"",ISNUMBER($N27),$N27&lt;=700)</formula>
    </cfRule>
  </conditionalFormatting>
  <conditionalFormatting sqref="D27">
    <cfRule type="expression" dxfId="550" priority="459">
      <formula>AND($N27&lt;&gt;"",ISNUMBER($N27),$N27&lt;=700)</formula>
    </cfRule>
  </conditionalFormatting>
  <conditionalFormatting sqref="D27">
    <cfRule type="expression" dxfId="549" priority="458">
      <formula>AND($N27&lt;&gt;"",ISNUMBER($N27),$N27&lt;=700)</formula>
    </cfRule>
  </conditionalFormatting>
  <conditionalFormatting sqref="D27">
    <cfRule type="expression" dxfId="548" priority="457">
      <formula>AND($N27&lt;&gt;"",ISNUMBER($N27),$N27&lt;=700)</formula>
    </cfRule>
  </conditionalFormatting>
  <conditionalFormatting sqref="D27">
    <cfRule type="expression" dxfId="547" priority="456">
      <formula>AND($N27&lt;&gt;"",ISNUMBER($N27),$N27&lt;=700)</formula>
    </cfRule>
  </conditionalFormatting>
  <conditionalFormatting sqref="D27">
    <cfRule type="expression" dxfId="546" priority="455">
      <formula>AND($N27&lt;&gt;"",ISNUMBER($N27),$N27&lt;=700)</formula>
    </cfRule>
  </conditionalFormatting>
  <conditionalFormatting sqref="D27">
    <cfRule type="expression" dxfId="545" priority="454">
      <formula>AND($N27&lt;&gt;"",ISNUMBER($N27),$N27&lt;=700)</formula>
    </cfRule>
  </conditionalFormatting>
  <conditionalFormatting sqref="D27">
    <cfRule type="expression" dxfId="544" priority="453">
      <formula>AND($N27&lt;&gt;"",ISNUMBER($N27),$N27&lt;=700)</formula>
    </cfRule>
  </conditionalFormatting>
  <conditionalFormatting sqref="D27">
    <cfRule type="expression" dxfId="543" priority="452">
      <formula>AND($N27&lt;&gt;"",ISNUMBER($N27),$N27&lt;=700)</formula>
    </cfRule>
  </conditionalFormatting>
  <conditionalFormatting sqref="D27">
    <cfRule type="expression" dxfId="542" priority="451">
      <formula>AND($N27&lt;&gt;"",ISNUMBER($N27),$N27&lt;=700)</formula>
    </cfRule>
  </conditionalFormatting>
  <conditionalFormatting sqref="D27">
    <cfRule type="expression" dxfId="541" priority="450">
      <formula>AND($N27&lt;&gt;"",ISNUMBER($N27),$N27&lt;=700)</formula>
    </cfRule>
  </conditionalFormatting>
  <conditionalFormatting sqref="D27">
    <cfRule type="expression" dxfId="540" priority="449">
      <formula>AND($N27&lt;&gt;"",ISNUMBER($N27),$N27&lt;=700)</formula>
    </cfRule>
  </conditionalFormatting>
  <conditionalFormatting sqref="D27">
    <cfRule type="expression" dxfId="539" priority="448">
      <formula>AND($N27&lt;&gt;"",ISNUMBER($N27),$N27&lt;=700)</formula>
    </cfRule>
  </conditionalFormatting>
  <conditionalFormatting sqref="D27">
    <cfRule type="expression" dxfId="538" priority="447">
      <formula>AND($N27&lt;&gt;"",ISNUMBER($N27),$N27&lt;=700)</formula>
    </cfRule>
  </conditionalFormatting>
  <conditionalFormatting sqref="D27">
    <cfRule type="expression" dxfId="537" priority="446">
      <formula>AND($N27&lt;&gt;"",ISNUMBER($N27),$N27&lt;=700)</formula>
    </cfRule>
  </conditionalFormatting>
  <conditionalFormatting sqref="D27">
    <cfRule type="expression" dxfId="536" priority="445">
      <formula>AND($N27&lt;&gt;"",ISNUMBER($N27),$N27&lt;=700)</formula>
    </cfRule>
  </conditionalFormatting>
  <conditionalFormatting sqref="D27">
    <cfRule type="expression" dxfId="535" priority="444">
      <formula>AND($N27&lt;&gt;"",ISNUMBER($N27),$N27&lt;=700)</formula>
    </cfRule>
  </conditionalFormatting>
  <conditionalFormatting sqref="D27">
    <cfRule type="expression" dxfId="534" priority="443">
      <formula>AND($N27&lt;&gt;"",ISNUMBER($N27),$N27&lt;=700)</formula>
    </cfRule>
  </conditionalFormatting>
  <conditionalFormatting sqref="D27">
    <cfRule type="expression" dxfId="533" priority="442">
      <formula>AND($N27&lt;&gt;"",ISNUMBER($N27),$N27&lt;=700)</formula>
    </cfRule>
  </conditionalFormatting>
  <conditionalFormatting sqref="D27">
    <cfRule type="expression" dxfId="532" priority="441">
      <formula>AND($N27&lt;&gt;"",ISNUMBER($N27),$N27&lt;=700)</formula>
    </cfRule>
  </conditionalFormatting>
  <conditionalFormatting sqref="D27">
    <cfRule type="expression" dxfId="531" priority="440">
      <formula>AND($N27&lt;&gt;"",ISNUMBER($N27),$N27&lt;=700)</formula>
    </cfRule>
  </conditionalFormatting>
  <conditionalFormatting sqref="D27">
    <cfRule type="expression" dxfId="530" priority="439">
      <formula>AND($N27&lt;&gt;"",ISNUMBER($N27),$N27&lt;=700)</formula>
    </cfRule>
  </conditionalFormatting>
  <conditionalFormatting sqref="D27">
    <cfRule type="expression" dxfId="529" priority="438">
      <formula>AND($N27&lt;&gt;"",ISNUMBER($N27),$N27&lt;=700)</formula>
    </cfRule>
  </conditionalFormatting>
  <conditionalFormatting sqref="D27">
    <cfRule type="expression" dxfId="528" priority="437">
      <formula>AND($N27&lt;&gt;"",ISNUMBER($N27),$N27&lt;=700)</formula>
    </cfRule>
  </conditionalFormatting>
  <conditionalFormatting sqref="D27">
    <cfRule type="expression" dxfId="527" priority="436">
      <formula>AND($N27&lt;&gt;"",ISNUMBER($N27),$N27&lt;=700)</formula>
    </cfRule>
  </conditionalFormatting>
  <conditionalFormatting sqref="D27">
    <cfRule type="expression" dxfId="526" priority="435">
      <formula>AND($N27&lt;&gt;"",ISNUMBER($N27),$N27&lt;=700)</formula>
    </cfRule>
  </conditionalFormatting>
  <conditionalFormatting sqref="D27">
    <cfRule type="expression" dxfId="525" priority="434">
      <formula>AND($N27&lt;&gt;"",ISNUMBER($N27),$N27&lt;=700)</formula>
    </cfRule>
  </conditionalFormatting>
  <conditionalFormatting sqref="D27">
    <cfRule type="expression" dxfId="524" priority="433">
      <formula>AND($N27&lt;&gt;"",ISNUMBER($N27),$N27&lt;=700)</formula>
    </cfRule>
  </conditionalFormatting>
  <conditionalFormatting sqref="D27">
    <cfRule type="expression" dxfId="523" priority="432">
      <formula>AND($N27&lt;&gt;"",ISNUMBER($N27),$N27&lt;=700)</formula>
    </cfRule>
  </conditionalFormatting>
  <conditionalFormatting sqref="D27">
    <cfRule type="expression" dxfId="522" priority="431">
      <formula>AND($N27&lt;&gt;"",ISNUMBER($N27),$N27&lt;=700)</formula>
    </cfRule>
  </conditionalFormatting>
  <conditionalFormatting sqref="D27">
    <cfRule type="expression" dxfId="521" priority="430">
      <formula>AND($N27&lt;&gt;"",ISNUMBER($N27),$N27&lt;=700)</formula>
    </cfRule>
  </conditionalFormatting>
  <conditionalFormatting sqref="D27">
    <cfRule type="expression" dxfId="520" priority="429">
      <formula>AND($N27&lt;&gt;"",ISNUMBER($N27),$N27&lt;=700)</formula>
    </cfRule>
  </conditionalFormatting>
  <conditionalFormatting sqref="D27">
    <cfRule type="expression" dxfId="519" priority="428">
      <formula>AND($N27&lt;&gt;"",ISNUMBER($N27),$N27&lt;=700)</formula>
    </cfRule>
  </conditionalFormatting>
  <conditionalFormatting sqref="D27">
    <cfRule type="expression" dxfId="518" priority="427">
      <formula>AND($N27&lt;&gt;"",ISNUMBER($N27),$N27&lt;=700)</formula>
    </cfRule>
  </conditionalFormatting>
  <conditionalFormatting sqref="D27">
    <cfRule type="expression" dxfId="517" priority="426">
      <formula>AND($N27&lt;&gt;"",ISNUMBER($N27),$N27&lt;=700)</formula>
    </cfRule>
  </conditionalFormatting>
  <conditionalFormatting sqref="D27">
    <cfRule type="expression" dxfId="516" priority="425">
      <formula>AND($N27&lt;&gt;"",ISNUMBER($N27),$N27&lt;=700)</formula>
    </cfRule>
  </conditionalFormatting>
  <conditionalFormatting sqref="D27">
    <cfRule type="expression" dxfId="515" priority="424">
      <formula>AND($N27&lt;&gt;"",ISNUMBER($N27),$N27&lt;=700)</formula>
    </cfRule>
  </conditionalFormatting>
  <conditionalFormatting sqref="D27">
    <cfRule type="expression" dxfId="514" priority="423">
      <formula>AND($N27&lt;&gt;"",ISNUMBER($N27),$N27&lt;=700)</formula>
    </cfRule>
  </conditionalFormatting>
  <conditionalFormatting sqref="D27">
    <cfRule type="expression" dxfId="513" priority="422">
      <formula>AND($N27&lt;&gt;"",ISNUMBER($N27),$N27&lt;=700)</formula>
    </cfRule>
  </conditionalFormatting>
  <conditionalFormatting sqref="D27">
    <cfRule type="expression" dxfId="512" priority="421">
      <formula>AND($N27&lt;&gt;"",ISNUMBER($N27),$N27&lt;=700)</formula>
    </cfRule>
  </conditionalFormatting>
  <conditionalFormatting sqref="D27">
    <cfRule type="expression" dxfId="511" priority="420">
      <formula>AND($N27&lt;&gt;"",ISNUMBER($N27),$N27&lt;=700)</formula>
    </cfRule>
  </conditionalFormatting>
  <conditionalFormatting sqref="D27">
    <cfRule type="expression" dxfId="510" priority="419">
      <formula>AND($N27&lt;&gt;"",ISNUMBER($N27),$N27&lt;=700)</formula>
    </cfRule>
  </conditionalFormatting>
  <conditionalFormatting sqref="D27">
    <cfRule type="expression" dxfId="509" priority="418">
      <formula>AND($N27&lt;&gt;"",ISNUMBER($N27),$N27&lt;=700)</formula>
    </cfRule>
  </conditionalFormatting>
  <conditionalFormatting sqref="D27">
    <cfRule type="expression" dxfId="508" priority="417">
      <formula>AND($N27&lt;&gt;"",ISNUMBER($N27),$N27&lt;=700)</formula>
    </cfRule>
  </conditionalFormatting>
  <conditionalFormatting sqref="D27">
    <cfRule type="expression" dxfId="507" priority="416">
      <formula>AND($N27&lt;&gt;"",ISNUMBER($N27),$N27&lt;=700)</formula>
    </cfRule>
  </conditionalFormatting>
  <conditionalFormatting sqref="D27">
    <cfRule type="expression" dxfId="506" priority="415">
      <formula>AND($N27&lt;&gt;"",ISNUMBER($N27),$N27&lt;=700)</formula>
    </cfRule>
  </conditionalFormatting>
  <conditionalFormatting sqref="D27">
    <cfRule type="expression" dxfId="505" priority="414">
      <formula>AND($N27&lt;&gt;"",ISNUMBER($N27),$N27&lt;=700)</formula>
    </cfRule>
  </conditionalFormatting>
  <conditionalFormatting sqref="D27">
    <cfRule type="expression" dxfId="504" priority="413">
      <formula>AND($N27&lt;&gt;"",ISNUMBER($N27),$N27&lt;=700)</formula>
    </cfRule>
  </conditionalFormatting>
  <conditionalFormatting sqref="D27">
    <cfRule type="expression" dxfId="503" priority="412">
      <formula>AND($N27&lt;&gt;"",ISNUMBER($N27),$N27&lt;=700)</formula>
    </cfRule>
  </conditionalFormatting>
  <conditionalFormatting sqref="D27">
    <cfRule type="expression" dxfId="502" priority="411">
      <formula>AND($N27&lt;&gt;"",ISNUMBER($N27),$N27&lt;=700)</formula>
    </cfRule>
  </conditionalFormatting>
  <conditionalFormatting sqref="D27">
    <cfRule type="expression" dxfId="501" priority="410">
      <formula>AND($N27&lt;&gt;"",ISNUMBER($N27),$N27&lt;=700)</formula>
    </cfRule>
  </conditionalFormatting>
  <conditionalFormatting sqref="D27">
    <cfRule type="expression" dxfId="500" priority="409">
      <formula>AND($N27&lt;&gt;"",ISNUMBER($N27),$N27&lt;=700)</formula>
    </cfRule>
  </conditionalFormatting>
  <conditionalFormatting sqref="D27">
    <cfRule type="expression" dxfId="499" priority="408">
      <formula>AND($N27&lt;&gt;"",ISNUMBER($N27),$N27&lt;=700)</formula>
    </cfRule>
  </conditionalFormatting>
  <conditionalFormatting sqref="D27">
    <cfRule type="expression" dxfId="498" priority="407">
      <formula>AND($N27&lt;&gt;"",ISNUMBER($N27),$N27&lt;=700)</formula>
    </cfRule>
  </conditionalFormatting>
  <conditionalFormatting sqref="D27">
    <cfRule type="expression" dxfId="497" priority="406">
      <formula>AND($N27&lt;&gt;"",ISNUMBER($N27),$N27&lt;=700)</formula>
    </cfRule>
  </conditionalFormatting>
  <conditionalFormatting sqref="D27">
    <cfRule type="expression" dxfId="496" priority="405">
      <formula>AND($N27&lt;&gt;"",ISNUMBER($N27),$N27&lt;=700)</formula>
    </cfRule>
  </conditionalFormatting>
  <conditionalFormatting sqref="D27">
    <cfRule type="expression" dxfId="495" priority="404">
      <formula>AND($N27&lt;&gt;"",ISNUMBER($N27),$N27&lt;=700)</formula>
    </cfRule>
  </conditionalFormatting>
  <conditionalFormatting sqref="D27">
    <cfRule type="expression" dxfId="494" priority="403">
      <formula>AND($N27&lt;&gt;"",ISNUMBER($N27),$N27&lt;=700)</formula>
    </cfRule>
  </conditionalFormatting>
  <conditionalFormatting sqref="D27">
    <cfRule type="expression" dxfId="493" priority="402">
      <formula>AND($N27&lt;&gt;"",ISNUMBER($N27),$N27&lt;=700)</formula>
    </cfRule>
  </conditionalFormatting>
  <conditionalFormatting sqref="D27">
    <cfRule type="expression" dxfId="492" priority="401">
      <formula>AND($N27&lt;&gt;"",ISNUMBER($N27),$N27&lt;=700)</formula>
    </cfRule>
  </conditionalFormatting>
  <conditionalFormatting sqref="D28">
    <cfRule type="expression" dxfId="491" priority="400">
      <formula>AND($N28&lt;&gt;"",ISNUMBER($N28),$N28&lt;=700)</formula>
    </cfRule>
  </conditionalFormatting>
  <conditionalFormatting sqref="D28">
    <cfRule type="expression" dxfId="490" priority="399">
      <formula>AND($N28&lt;&gt;"",ISNUMBER($N28),$N28&lt;=700)</formula>
    </cfRule>
  </conditionalFormatting>
  <conditionalFormatting sqref="D28">
    <cfRule type="expression" dxfId="489" priority="398">
      <formula>AND($N28&lt;&gt;"",ISNUMBER($N28),$N28&lt;=700)</formula>
    </cfRule>
  </conditionalFormatting>
  <conditionalFormatting sqref="D28">
    <cfRule type="expression" dxfId="488" priority="397">
      <formula>AND($N28&lt;&gt;"",ISNUMBER($N28),$N28&lt;=700)</formula>
    </cfRule>
  </conditionalFormatting>
  <conditionalFormatting sqref="D28">
    <cfRule type="expression" dxfId="487" priority="396">
      <formula>AND($N28&lt;&gt;"",ISNUMBER($N28),$N28&lt;=700)</formula>
    </cfRule>
  </conditionalFormatting>
  <conditionalFormatting sqref="D28">
    <cfRule type="expression" dxfId="486" priority="395">
      <formula>AND($N28&lt;&gt;"",ISNUMBER($N28),$N28&lt;=700)</formula>
    </cfRule>
  </conditionalFormatting>
  <conditionalFormatting sqref="D28">
    <cfRule type="expression" dxfId="485" priority="394">
      <formula>AND($N28&lt;&gt;"",ISNUMBER($N28),$N28&lt;=700)</formula>
    </cfRule>
  </conditionalFormatting>
  <conditionalFormatting sqref="D28">
    <cfRule type="expression" dxfId="484" priority="393">
      <formula>AND($N28&lt;&gt;"",ISNUMBER($N28),$N28&lt;=700)</formula>
    </cfRule>
  </conditionalFormatting>
  <conditionalFormatting sqref="D28">
    <cfRule type="expression" dxfId="483" priority="392">
      <formula>AND($N28&lt;&gt;"",ISNUMBER($N28),$N28&lt;=700)</formula>
    </cfRule>
  </conditionalFormatting>
  <conditionalFormatting sqref="D28">
    <cfRule type="expression" dxfId="482" priority="391">
      <formula>AND($N28&lt;&gt;"",ISNUMBER($N28),$N28&lt;=700)</formula>
    </cfRule>
  </conditionalFormatting>
  <conditionalFormatting sqref="D28">
    <cfRule type="expression" dxfId="481" priority="390">
      <formula>AND($N28&lt;&gt;"",ISNUMBER($N28),$N28&lt;=700)</formula>
    </cfRule>
  </conditionalFormatting>
  <conditionalFormatting sqref="D28">
    <cfRule type="expression" dxfId="480" priority="389">
      <formula>AND($N28&lt;&gt;"",ISNUMBER($N28),$N28&lt;=700)</formula>
    </cfRule>
  </conditionalFormatting>
  <conditionalFormatting sqref="D28">
    <cfRule type="expression" dxfId="479" priority="388">
      <formula>AND($N28&lt;&gt;"",ISNUMBER($N28),$N28&lt;=700)</formula>
    </cfRule>
  </conditionalFormatting>
  <conditionalFormatting sqref="D28">
    <cfRule type="expression" dxfId="478" priority="387">
      <formula>AND($N28&lt;&gt;"",ISNUMBER($N28),$N28&lt;=700)</formula>
    </cfRule>
  </conditionalFormatting>
  <conditionalFormatting sqref="D28">
    <cfRule type="expression" dxfId="477" priority="386">
      <formula>AND($N28&lt;&gt;"",ISNUMBER($N28),$N28&lt;=700)</formula>
    </cfRule>
  </conditionalFormatting>
  <conditionalFormatting sqref="D28">
    <cfRule type="expression" dxfId="476" priority="385">
      <formula>AND($N28&lt;&gt;"",ISNUMBER($N28),$N28&lt;=700)</formula>
    </cfRule>
  </conditionalFormatting>
  <conditionalFormatting sqref="D28">
    <cfRule type="expression" dxfId="475" priority="384">
      <formula>AND($N28&lt;&gt;"",ISNUMBER($N28),$N28&lt;=700)</formula>
    </cfRule>
  </conditionalFormatting>
  <conditionalFormatting sqref="D28">
    <cfRule type="expression" dxfId="474" priority="383">
      <formula>AND($N28&lt;&gt;"",ISNUMBER($N28),$N28&lt;=700)</formula>
    </cfRule>
  </conditionalFormatting>
  <conditionalFormatting sqref="D28">
    <cfRule type="expression" dxfId="473" priority="382">
      <formula>AND($N28&lt;&gt;"",ISNUMBER($N28),$N28&lt;=700)</formula>
    </cfRule>
  </conditionalFormatting>
  <conditionalFormatting sqref="D28">
    <cfRule type="expression" dxfId="472" priority="381">
      <formula>AND($N28&lt;&gt;"",ISNUMBER($N28),$N28&lt;=700)</formula>
    </cfRule>
  </conditionalFormatting>
  <conditionalFormatting sqref="D28">
    <cfRule type="expression" dxfId="471" priority="380">
      <formula>AND($N28&lt;&gt;"",ISNUMBER($N28),$N28&lt;=700)</formula>
    </cfRule>
  </conditionalFormatting>
  <conditionalFormatting sqref="D28">
    <cfRule type="expression" dxfId="470" priority="379">
      <formula>AND($N28&lt;&gt;"",ISNUMBER($N28),$N28&lt;=700)</formula>
    </cfRule>
  </conditionalFormatting>
  <conditionalFormatting sqref="D28">
    <cfRule type="expression" dxfId="469" priority="378">
      <formula>AND($N28&lt;&gt;"",ISNUMBER($N28),$N28&lt;=700)</formula>
    </cfRule>
  </conditionalFormatting>
  <conditionalFormatting sqref="D28">
    <cfRule type="expression" dxfId="468" priority="377">
      <formula>AND($N28&lt;&gt;"",ISNUMBER($N28),$N28&lt;=700)</formula>
    </cfRule>
  </conditionalFormatting>
  <conditionalFormatting sqref="D28">
    <cfRule type="expression" dxfId="467" priority="376">
      <formula>AND($N28&lt;&gt;"",ISNUMBER($N28),$N28&lt;=700)</formula>
    </cfRule>
  </conditionalFormatting>
  <conditionalFormatting sqref="D28">
    <cfRule type="expression" dxfId="466" priority="375">
      <formula>AND($N28&lt;&gt;"",ISNUMBER($N28),$N28&lt;=700)</formula>
    </cfRule>
  </conditionalFormatting>
  <conditionalFormatting sqref="D28">
    <cfRule type="expression" dxfId="465" priority="374">
      <formula>AND($N28&lt;&gt;"",ISNUMBER($N28),$N28&lt;=700)</formula>
    </cfRule>
  </conditionalFormatting>
  <conditionalFormatting sqref="D28">
    <cfRule type="expression" dxfId="464" priority="373">
      <formula>AND($N28&lt;&gt;"",ISNUMBER($N28),$N28&lt;=700)</formula>
    </cfRule>
  </conditionalFormatting>
  <conditionalFormatting sqref="D28">
    <cfRule type="expression" dxfId="463" priority="372">
      <formula>AND($N28&lt;&gt;"",ISNUMBER($N28),$N28&lt;=700)</formula>
    </cfRule>
  </conditionalFormatting>
  <conditionalFormatting sqref="D28">
    <cfRule type="expression" dxfId="462" priority="371">
      <formula>AND($N28&lt;&gt;"",ISNUMBER($N28),$N28&lt;=700)</formula>
    </cfRule>
  </conditionalFormatting>
  <conditionalFormatting sqref="D16">
    <cfRule type="expression" dxfId="461" priority="370">
      <formula>AND($N16&lt;&gt;"",ISNUMBER($N16),$N16&lt;=700)</formula>
    </cfRule>
  </conditionalFormatting>
  <conditionalFormatting sqref="D17">
    <cfRule type="expression" dxfId="460" priority="369">
      <formula>AND($N17&lt;&gt;"",ISNUMBER($N17),$N17&lt;=700)</formula>
    </cfRule>
  </conditionalFormatting>
  <conditionalFormatting sqref="B16:D16">
    <cfRule type="expression" dxfId="459" priority="368">
      <formula>AND($N16&lt;&gt;"",ISNUMBER($N16),$N16&lt;=700)</formula>
    </cfRule>
  </conditionalFormatting>
  <conditionalFormatting sqref="C16">
    <cfRule type="containsText" dxfId="458" priority="366" operator="containsText" text="JPY">
      <formula>NOT(ISERROR(SEARCH("JPY",C16)))</formula>
    </cfRule>
    <cfRule type="containsText" dxfId="457" priority="367" operator="containsText" text="JPY">
      <formula>NOT(ISERROR(SEARCH("JPY",C16)))</formula>
    </cfRule>
  </conditionalFormatting>
  <conditionalFormatting sqref="C17">
    <cfRule type="expression" dxfId="456" priority="365">
      <formula>AND($N17&lt;&gt;"",ISNUMBER($N17),$N17&lt;=700)</formula>
    </cfRule>
  </conditionalFormatting>
  <conditionalFormatting sqref="C17">
    <cfRule type="containsText" dxfId="455" priority="363" operator="containsText" text="JPY">
      <formula>NOT(ISERROR(SEARCH("JPY",C17)))</formula>
    </cfRule>
    <cfRule type="containsText" dxfId="454" priority="364" operator="containsText" text="JPY">
      <formula>NOT(ISERROR(SEARCH("JPY",C17)))</formula>
    </cfRule>
  </conditionalFormatting>
  <conditionalFormatting sqref="D16">
    <cfRule type="expression" dxfId="453" priority="362">
      <formula>AND($N16&lt;&gt;"",ISNUMBER($N16),$N16&lt;=700)</formula>
    </cfRule>
  </conditionalFormatting>
  <conditionalFormatting sqref="D17">
    <cfRule type="expression" dxfId="452" priority="361">
      <formula>AND($N17&lt;&gt;"",ISNUMBER($N17),$N17&lt;=700)</formula>
    </cfRule>
  </conditionalFormatting>
  <conditionalFormatting sqref="D17">
    <cfRule type="expression" dxfId="451" priority="360">
      <formula>AND($N17&lt;&gt;"",ISNUMBER($N17),$N17&lt;=700)</formula>
    </cfRule>
  </conditionalFormatting>
  <conditionalFormatting sqref="D28">
    <cfRule type="expression" dxfId="450" priority="359">
      <formula>AND($N28&lt;&gt;"",ISNUMBER($N28),$N28&lt;=700)</formula>
    </cfRule>
  </conditionalFormatting>
  <conditionalFormatting sqref="D28">
    <cfRule type="expression" dxfId="449" priority="358">
      <formula>AND($N28&lt;&gt;"",ISNUMBER($N28),$N28&lt;=700)</formula>
    </cfRule>
  </conditionalFormatting>
  <conditionalFormatting sqref="D28">
    <cfRule type="expression" dxfId="448" priority="357">
      <formula>AND($N28&lt;&gt;"",ISNUMBER($N28),$N28&lt;=700)</formula>
    </cfRule>
  </conditionalFormatting>
  <conditionalFormatting sqref="D28">
    <cfRule type="expression" dxfId="447" priority="356">
      <formula>AND($N28&lt;&gt;"",ISNUMBER($N28),$N28&lt;=700)</formula>
    </cfRule>
  </conditionalFormatting>
  <conditionalFormatting sqref="D28">
    <cfRule type="expression" dxfId="446" priority="355">
      <formula>AND($N28&lt;&gt;"",ISNUMBER($N28),$N28&lt;=700)</formula>
    </cfRule>
  </conditionalFormatting>
  <conditionalFormatting sqref="D28">
    <cfRule type="expression" dxfId="445" priority="354">
      <formula>AND($N28&lt;&gt;"",ISNUMBER($N28),$N28&lt;=700)</formula>
    </cfRule>
  </conditionalFormatting>
  <conditionalFormatting sqref="D28">
    <cfRule type="expression" dxfId="444" priority="353">
      <formula>AND($N28&lt;&gt;"",ISNUMBER($N28),$N28&lt;=700)</formula>
    </cfRule>
  </conditionalFormatting>
  <conditionalFormatting sqref="D28">
    <cfRule type="expression" dxfId="443" priority="352">
      <formula>AND($N28&lt;&gt;"",ISNUMBER($N28),$N28&lt;=700)</formula>
    </cfRule>
  </conditionalFormatting>
  <conditionalFormatting sqref="D28">
    <cfRule type="expression" dxfId="442" priority="351">
      <formula>AND($N28&lt;&gt;"",ISNUMBER($N28),$N28&lt;=700)</formula>
    </cfRule>
  </conditionalFormatting>
  <conditionalFormatting sqref="D28">
    <cfRule type="expression" dxfId="441" priority="350">
      <formula>AND($N28&lt;&gt;"",ISNUMBER($N28),$N28&lt;=700)</formula>
    </cfRule>
  </conditionalFormatting>
  <conditionalFormatting sqref="D28">
    <cfRule type="expression" dxfId="440" priority="349">
      <formula>AND($N28&lt;&gt;"",ISNUMBER($N28),$N28&lt;=700)</formula>
    </cfRule>
  </conditionalFormatting>
  <conditionalFormatting sqref="D28">
    <cfRule type="expression" dxfId="439" priority="348">
      <formula>AND($N28&lt;&gt;"",ISNUMBER($N28),$N28&lt;=700)</formula>
    </cfRule>
  </conditionalFormatting>
  <conditionalFormatting sqref="D28">
    <cfRule type="expression" dxfId="438" priority="347">
      <formula>AND($N28&lt;&gt;"",ISNUMBER($N28),$N28&lt;=700)</formula>
    </cfRule>
  </conditionalFormatting>
  <conditionalFormatting sqref="D28">
    <cfRule type="expression" dxfId="437" priority="346">
      <formula>AND($N28&lt;&gt;"",ISNUMBER($N28),$N28&lt;=700)</formula>
    </cfRule>
  </conditionalFormatting>
  <conditionalFormatting sqref="D28">
    <cfRule type="expression" dxfId="436" priority="345">
      <formula>AND($N28&lt;&gt;"",ISNUMBER($N28),$N28&lt;=700)</formula>
    </cfRule>
  </conditionalFormatting>
  <conditionalFormatting sqref="D28">
    <cfRule type="expression" dxfId="435" priority="344">
      <formula>AND($N28&lt;&gt;"",ISNUMBER($N28),$N28&lt;=700)</formula>
    </cfRule>
  </conditionalFormatting>
  <conditionalFormatting sqref="D28">
    <cfRule type="expression" dxfId="434" priority="343">
      <formula>AND($N28&lt;&gt;"",ISNUMBER($N28),$N28&lt;=700)</formula>
    </cfRule>
  </conditionalFormatting>
  <conditionalFormatting sqref="D28">
    <cfRule type="expression" dxfId="433" priority="342">
      <formula>AND($N28&lt;&gt;"",ISNUMBER($N28),$N28&lt;=700)</formula>
    </cfRule>
  </conditionalFormatting>
  <conditionalFormatting sqref="D28">
    <cfRule type="expression" dxfId="432" priority="341">
      <formula>AND($N28&lt;&gt;"",ISNUMBER($N28),$N28&lt;=700)</formula>
    </cfRule>
  </conditionalFormatting>
  <conditionalFormatting sqref="D28">
    <cfRule type="expression" dxfId="431" priority="340">
      <formula>AND($N28&lt;&gt;"",ISNUMBER($N28),$N28&lt;=700)</formula>
    </cfRule>
  </conditionalFormatting>
  <conditionalFormatting sqref="D28">
    <cfRule type="expression" dxfId="430" priority="339">
      <formula>AND($N28&lt;&gt;"",ISNUMBER($N28),$N28&lt;=700)</formula>
    </cfRule>
  </conditionalFormatting>
  <conditionalFormatting sqref="D28">
    <cfRule type="expression" dxfId="429" priority="338">
      <formula>AND($N28&lt;&gt;"",ISNUMBER($N28),$N28&lt;=700)</formula>
    </cfRule>
  </conditionalFormatting>
  <conditionalFormatting sqref="D28">
    <cfRule type="expression" dxfId="428" priority="337">
      <formula>AND($N28&lt;&gt;"",ISNUMBER($N28),$N28&lt;=700)</formula>
    </cfRule>
  </conditionalFormatting>
  <conditionalFormatting sqref="D28">
    <cfRule type="expression" dxfId="427" priority="336">
      <formula>AND($N28&lt;&gt;"",ISNUMBER($N28),$N28&lt;=700)</formula>
    </cfRule>
  </conditionalFormatting>
  <conditionalFormatting sqref="D28">
    <cfRule type="expression" dxfId="426" priority="335">
      <formula>AND($N28&lt;&gt;"",ISNUMBER($N28),$N28&lt;=700)</formula>
    </cfRule>
  </conditionalFormatting>
  <conditionalFormatting sqref="D28">
    <cfRule type="expression" dxfId="425" priority="334">
      <formula>AND($N28&lt;&gt;"",ISNUMBER($N28),$N28&lt;=700)</formula>
    </cfRule>
  </conditionalFormatting>
  <conditionalFormatting sqref="D28">
    <cfRule type="expression" dxfId="424" priority="333">
      <formula>AND($N28&lt;&gt;"",ISNUMBER($N28),$N28&lt;=700)</formula>
    </cfRule>
  </conditionalFormatting>
  <conditionalFormatting sqref="D28">
    <cfRule type="expression" dxfId="423" priority="332">
      <formula>AND($N28&lt;&gt;"",ISNUMBER($N28),$N28&lt;=700)</formula>
    </cfRule>
  </conditionalFormatting>
  <conditionalFormatting sqref="D28">
    <cfRule type="expression" dxfId="422" priority="331">
      <formula>AND($N28&lt;&gt;"",ISNUMBER($N28),$N28&lt;=700)</formula>
    </cfRule>
  </conditionalFormatting>
  <conditionalFormatting sqref="D28">
    <cfRule type="expression" dxfId="421" priority="330">
      <formula>AND($N28&lt;&gt;"",ISNUMBER($N28),$N28&lt;=700)</formula>
    </cfRule>
  </conditionalFormatting>
  <conditionalFormatting sqref="D28">
    <cfRule type="expression" dxfId="420" priority="329">
      <formula>AND($N28&lt;&gt;"",ISNUMBER($N28),$N28&lt;=700)</formula>
    </cfRule>
  </conditionalFormatting>
  <conditionalFormatting sqref="D28">
    <cfRule type="expression" dxfId="419" priority="328">
      <formula>AND($N28&lt;&gt;"",ISNUMBER($N28),$N28&lt;=700)</formula>
    </cfRule>
  </conditionalFormatting>
  <conditionalFormatting sqref="D28">
    <cfRule type="expression" dxfId="418" priority="327">
      <formula>AND($N28&lt;&gt;"",ISNUMBER($N28),$N28&lt;=700)</formula>
    </cfRule>
  </conditionalFormatting>
  <conditionalFormatting sqref="D28">
    <cfRule type="expression" dxfId="417" priority="326">
      <formula>AND($N28&lt;&gt;"",ISNUMBER($N28),$N28&lt;=700)</formula>
    </cfRule>
  </conditionalFormatting>
  <conditionalFormatting sqref="D28">
    <cfRule type="expression" dxfId="416" priority="325">
      <formula>AND($N28&lt;&gt;"",ISNUMBER($N28),$N28&lt;=700)</formula>
    </cfRule>
  </conditionalFormatting>
  <conditionalFormatting sqref="D28">
    <cfRule type="expression" dxfId="415" priority="324">
      <formula>AND($N28&lt;&gt;"",ISNUMBER($N28),$N28&lt;=700)</formula>
    </cfRule>
  </conditionalFormatting>
  <conditionalFormatting sqref="D28">
    <cfRule type="expression" dxfId="414" priority="323">
      <formula>AND($N28&lt;&gt;"",ISNUMBER($N28),$N28&lt;=700)</formula>
    </cfRule>
  </conditionalFormatting>
  <conditionalFormatting sqref="D28">
    <cfRule type="expression" dxfId="413" priority="322">
      <formula>AND($N28&lt;&gt;"",ISNUMBER($N28),$N28&lt;=700)</formula>
    </cfRule>
  </conditionalFormatting>
  <conditionalFormatting sqref="D28">
    <cfRule type="expression" dxfId="412" priority="321">
      <formula>AND($N28&lt;&gt;"",ISNUMBER($N28),$N28&lt;=700)</formula>
    </cfRule>
  </conditionalFormatting>
  <conditionalFormatting sqref="D28">
    <cfRule type="expression" dxfId="411" priority="320">
      <formula>AND($N28&lt;&gt;"",ISNUMBER($N28),$N28&lt;=700)</formula>
    </cfRule>
  </conditionalFormatting>
  <conditionalFormatting sqref="D28">
    <cfRule type="expression" dxfId="410" priority="319">
      <formula>AND($N28&lt;&gt;"",ISNUMBER($N28),$N28&lt;=700)</formula>
    </cfRule>
  </conditionalFormatting>
  <conditionalFormatting sqref="D28">
    <cfRule type="expression" dxfId="409" priority="318">
      <formula>AND($N28&lt;&gt;"",ISNUMBER($N28),$N28&lt;=700)</formula>
    </cfRule>
  </conditionalFormatting>
  <conditionalFormatting sqref="D28">
    <cfRule type="expression" dxfId="408" priority="317">
      <formula>AND($N28&lt;&gt;"",ISNUMBER($N28),$N28&lt;=700)</formula>
    </cfRule>
  </conditionalFormatting>
  <conditionalFormatting sqref="D28">
    <cfRule type="expression" dxfId="407" priority="316">
      <formula>AND($N28&lt;&gt;"",ISNUMBER($N28),$N28&lt;=700)</formula>
    </cfRule>
  </conditionalFormatting>
  <conditionalFormatting sqref="D27">
    <cfRule type="expression" dxfId="406" priority="315">
      <formula>AND($N27&lt;&gt;"",ISNUMBER($N27),$N27&lt;=700)</formula>
    </cfRule>
  </conditionalFormatting>
  <conditionalFormatting sqref="D27">
    <cfRule type="expression" dxfId="405" priority="314">
      <formula>AND($N27&lt;&gt;"",ISNUMBER($N27),$N27&lt;=700)</formula>
    </cfRule>
  </conditionalFormatting>
  <conditionalFormatting sqref="D27">
    <cfRule type="expression" dxfId="404" priority="313">
      <formula>AND($N27&lt;&gt;"",ISNUMBER($N27),$N27&lt;=700)</formula>
    </cfRule>
  </conditionalFormatting>
  <conditionalFormatting sqref="D27">
    <cfRule type="expression" dxfId="403" priority="312">
      <formula>AND($N27&lt;&gt;"",ISNUMBER($N27),$N27&lt;=700)</formula>
    </cfRule>
  </conditionalFormatting>
  <conditionalFormatting sqref="D27">
    <cfRule type="expression" dxfId="402" priority="311">
      <formula>AND($N27&lt;&gt;"",ISNUMBER($N27),$N27&lt;=700)</formula>
    </cfRule>
  </conditionalFormatting>
  <conditionalFormatting sqref="D27">
    <cfRule type="expression" dxfId="401" priority="310">
      <formula>AND($N27&lt;&gt;"",ISNUMBER($N27),$N27&lt;=700)</formula>
    </cfRule>
  </conditionalFormatting>
  <conditionalFormatting sqref="D27">
    <cfRule type="expression" dxfId="400" priority="309">
      <formula>AND($N27&lt;&gt;"",ISNUMBER($N27),$N27&lt;=700)</formula>
    </cfRule>
  </conditionalFormatting>
  <conditionalFormatting sqref="D27">
    <cfRule type="expression" dxfId="399" priority="308">
      <formula>AND($N27&lt;&gt;"",ISNUMBER($N27),$N27&lt;=700)</formula>
    </cfRule>
  </conditionalFormatting>
  <conditionalFormatting sqref="D27">
    <cfRule type="expression" dxfId="398" priority="307">
      <formula>AND($N27&lt;&gt;"",ISNUMBER($N27),$N27&lt;=700)</formula>
    </cfRule>
  </conditionalFormatting>
  <conditionalFormatting sqref="D27">
    <cfRule type="expression" dxfId="397" priority="306">
      <formula>AND($N27&lt;&gt;"",ISNUMBER($N27),$N27&lt;=700)</formula>
    </cfRule>
  </conditionalFormatting>
  <conditionalFormatting sqref="D27">
    <cfRule type="expression" dxfId="396" priority="305">
      <formula>AND($N27&lt;&gt;"",ISNUMBER($N27),$N27&lt;=700)</formula>
    </cfRule>
  </conditionalFormatting>
  <conditionalFormatting sqref="D27">
    <cfRule type="expression" dxfId="395" priority="304">
      <formula>AND($N27&lt;&gt;"",ISNUMBER($N27),$N27&lt;=700)</formula>
    </cfRule>
  </conditionalFormatting>
  <conditionalFormatting sqref="D27">
    <cfRule type="expression" dxfId="394" priority="303">
      <formula>AND($N27&lt;&gt;"",ISNUMBER($N27),$N27&lt;=700)</formula>
    </cfRule>
  </conditionalFormatting>
  <conditionalFormatting sqref="D27">
    <cfRule type="expression" dxfId="393" priority="302">
      <formula>AND($N27&lt;&gt;"",ISNUMBER($N27),$N27&lt;=700)</formula>
    </cfRule>
  </conditionalFormatting>
  <conditionalFormatting sqref="D27">
    <cfRule type="expression" dxfId="392" priority="301">
      <formula>AND($N27&lt;&gt;"",ISNUMBER($N27),$N27&lt;=700)</formula>
    </cfRule>
  </conditionalFormatting>
  <conditionalFormatting sqref="D27">
    <cfRule type="expression" dxfId="391" priority="300">
      <formula>AND($N27&lt;&gt;"",ISNUMBER($N27),$N27&lt;=700)</formula>
    </cfRule>
  </conditionalFormatting>
  <conditionalFormatting sqref="D27">
    <cfRule type="expression" dxfId="390" priority="299">
      <formula>AND($N27&lt;&gt;"",ISNUMBER($N27),$N27&lt;=700)</formula>
    </cfRule>
  </conditionalFormatting>
  <conditionalFormatting sqref="D27">
    <cfRule type="expression" dxfId="389" priority="298">
      <formula>AND($N27&lt;&gt;"",ISNUMBER($N27),$N27&lt;=700)</formula>
    </cfRule>
  </conditionalFormatting>
  <conditionalFormatting sqref="D27">
    <cfRule type="expression" dxfId="388" priority="297">
      <formula>AND($N27&lt;&gt;"",ISNUMBER($N27),$N27&lt;=700)</formula>
    </cfRule>
  </conditionalFormatting>
  <conditionalFormatting sqref="D27">
    <cfRule type="expression" dxfId="387" priority="296">
      <formula>AND($N27&lt;&gt;"",ISNUMBER($N27),$N27&lt;=700)</formula>
    </cfRule>
  </conditionalFormatting>
  <conditionalFormatting sqref="D27">
    <cfRule type="expression" dxfId="386" priority="295">
      <formula>AND($N27&lt;&gt;"",ISNUMBER($N27),$N27&lt;=700)</formula>
    </cfRule>
  </conditionalFormatting>
  <conditionalFormatting sqref="D27">
    <cfRule type="expression" dxfId="385" priority="294">
      <formula>AND($N27&lt;&gt;"",ISNUMBER($N27),$N27&lt;=700)</formula>
    </cfRule>
  </conditionalFormatting>
  <conditionalFormatting sqref="D27">
    <cfRule type="expression" dxfId="384" priority="293">
      <formula>AND($N27&lt;&gt;"",ISNUMBER($N27),$N27&lt;=700)</formula>
    </cfRule>
  </conditionalFormatting>
  <conditionalFormatting sqref="D27">
    <cfRule type="expression" dxfId="383" priority="292">
      <formula>AND($N27&lt;&gt;"",ISNUMBER($N27),$N27&lt;=700)</formula>
    </cfRule>
  </conditionalFormatting>
  <conditionalFormatting sqref="D27">
    <cfRule type="expression" dxfId="382" priority="291">
      <formula>AND($N27&lt;&gt;"",ISNUMBER($N27),$N27&lt;=700)</formula>
    </cfRule>
  </conditionalFormatting>
  <conditionalFormatting sqref="D27">
    <cfRule type="expression" dxfId="381" priority="290">
      <formula>AND($N27&lt;&gt;"",ISNUMBER($N27),$N27&lt;=700)</formula>
    </cfRule>
  </conditionalFormatting>
  <conditionalFormatting sqref="D27">
    <cfRule type="expression" dxfId="380" priority="289">
      <formula>AND($N27&lt;&gt;"",ISNUMBER($N27),$N27&lt;=700)</formula>
    </cfRule>
  </conditionalFormatting>
  <conditionalFormatting sqref="D27">
    <cfRule type="expression" dxfId="379" priority="288">
      <formula>AND($N27&lt;&gt;"",ISNUMBER($N27),$N27&lt;=700)</formula>
    </cfRule>
  </conditionalFormatting>
  <conditionalFormatting sqref="D27">
    <cfRule type="expression" dxfId="378" priority="287">
      <formula>AND($N27&lt;&gt;"",ISNUMBER($N27),$N27&lt;=700)</formula>
    </cfRule>
  </conditionalFormatting>
  <conditionalFormatting sqref="D27">
    <cfRule type="expression" dxfId="377" priority="286">
      <formula>AND($N27&lt;&gt;"",ISNUMBER($N27),$N27&lt;=700)</formula>
    </cfRule>
  </conditionalFormatting>
  <conditionalFormatting sqref="D27">
    <cfRule type="expression" dxfId="376" priority="285">
      <formula>AND($N27&lt;&gt;"",ISNUMBER($N27),$N27&lt;=700)</formula>
    </cfRule>
  </conditionalFormatting>
  <conditionalFormatting sqref="D27">
    <cfRule type="expression" dxfId="375" priority="284">
      <formula>AND($N27&lt;&gt;"",ISNUMBER($N27),$N27&lt;=700)</formula>
    </cfRule>
  </conditionalFormatting>
  <conditionalFormatting sqref="D27">
    <cfRule type="expression" dxfId="374" priority="283">
      <formula>AND($N27&lt;&gt;"",ISNUMBER($N27),$N27&lt;=700)</formula>
    </cfRule>
  </conditionalFormatting>
  <conditionalFormatting sqref="D27">
    <cfRule type="expression" dxfId="373" priority="282">
      <formula>AND($N27&lt;&gt;"",ISNUMBER($N27),$N27&lt;=700)</formula>
    </cfRule>
  </conditionalFormatting>
  <conditionalFormatting sqref="D27">
    <cfRule type="expression" dxfId="372" priority="281">
      <formula>AND($N27&lt;&gt;"",ISNUMBER($N27),$N27&lt;=700)</formula>
    </cfRule>
  </conditionalFormatting>
  <conditionalFormatting sqref="D27">
    <cfRule type="expression" dxfId="371" priority="280">
      <formula>AND($N27&lt;&gt;"",ISNUMBER($N27),$N27&lt;=700)</formula>
    </cfRule>
  </conditionalFormatting>
  <conditionalFormatting sqref="D27">
    <cfRule type="expression" dxfId="370" priority="279">
      <formula>AND($N27&lt;&gt;"",ISNUMBER($N27),$N27&lt;=700)</formula>
    </cfRule>
  </conditionalFormatting>
  <conditionalFormatting sqref="D27">
    <cfRule type="expression" dxfId="369" priority="278">
      <formula>AND($N27&lt;&gt;"",ISNUMBER($N27),$N27&lt;=700)</formula>
    </cfRule>
  </conditionalFormatting>
  <conditionalFormatting sqref="D27">
    <cfRule type="expression" dxfId="368" priority="277">
      <formula>AND($N27&lt;&gt;"",ISNUMBER($N27),$N27&lt;=700)</formula>
    </cfRule>
  </conditionalFormatting>
  <conditionalFormatting sqref="D27">
    <cfRule type="expression" dxfId="367" priority="276">
      <formula>AND($N27&lt;&gt;"",ISNUMBER($N27),$N27&lt;=700)</formula>
    </cfRule>
  </conditionalFormatting>
  <conditionalFormatting sqref="D27">
    <cfRule type="expression" dxfId="366" priority="275">
      <formula>AND($N27&lt;&gt;"",ISNUMBER($N27),$N27&lt;=700)</formula>
    </cfRule>
  </conditionalFormatting>
  <conditionalFormatting sqref="D27">
    <cfRule type="expression" dxfId="365" priority="274">
      <formula>AND($N27&lt;&gt;"",ISNUMBER($N27),$N27&lt;=700)</formula>
    </cfRule>
  </conditionalFormatting>
  <conditionalFormatting sqref="D27">
    <cfRule type="expression" dxfId="364" priority="273">
      <formula>AND($N27&lt;&gt;"",ISNUMBER($N27),$N27&lt;=700)</formula>
    </cfRule>
  </conditionalFormatting>
  <conditionalFormatting sqref="D27">
    <cfRule type="expression" dxfId="363" priority="272">
      <formula>AND($N27&lt;&gt;"",ISNUMBER($N27),$N27&lt;=700)</formula>
    </cfRule>
  </conditionalFormatting>
  <conditionalFormatting sqref="D27">
    <cfRule type="expression" dxfId="362" priority="271">
      <formula>AND($N27&lt;&gt;"",ISNUMBER($N27),$N27&lt;=700)</formula>
    </cfRule>
  </conditionalFormatting>
  <conditionalFormatting sqref="D27">
    <cfRule type="expression" dxfId="361" priority="270">
      <formula>AND($N27&lt;&gt;"",ISNUMBER($N27),$N27&lt;=700)</formula>
    </cfRule>
  </conditionalFormatting>
  <conditionalFormatting sqref="D27">
    <cfRule type="expression" dxfId="360" priority="269">
      <formula>AND($N27&lt;&gt;"",ISNUMBER($N27),$N27&lt;=700)</formula>
    </cfRule>
  </conditionalFormatting>
  <conditionalFormatting sqref="D27">
    <cfRule type="expression" dxfId="359" priority="268">
      <formula>AND($N27&lt;&gt;"",ISNUMBER($N27),$N27&lt;=700)</formula>
    </cfRule>
  </conditionalFormatting>
  <conditionalFormatting sqref="D27">
    <cfRule type="expression" dxfId="358" priority="267">
      <formula>AND($N27&lt;&gt;"",ISNUMBER($N27),$N27&lt;=700)</formula>
    </cfRule>
  </conditionalFormatting>
  <conditionalFormatting sqref="D27">
    <cfRule type="expression" dxfId="357" priority="266">
      <formula>AND($N27&lt;&gt;"",ISNUMBER($N27),$N27&lt;=700)</formula>
    </cfRule>
  </conditionalFormatting>
  <conditionalFormatting sqref="D27">
    <cfRule type="expression" dxfId="356" priority="265">
      <formula>AND($N27&lt;&gt;"",ISNUMBER($N27),$N27&lt;=700)</formula>
    </cfRule>
  </conditionalFormatting>
  <conditionalFormatting sqref="D27">
    <cfRule type="expression" dxfId="355" priority="264">
      <formula>AND($N27&lt;&gt;"",ISNUMBER($N27),$N27&lt;=700)</formula>
    </cfRule>
  </conditionalFormatting>
  <conditionalFormatting sqref="D27">
    <cfRule type="expression" dxfId="354" priority="263">
      <formula>AND($N27&lt;&gt;"",ISNUMBER($N27),$N27&lt;=700)</formula>
    </cfRule>
  </conditionalFormatting>
  <conditionalFormatting sqref="D27">
    <cfRule type="expression" dxfId="353" priority="262">
      <formula>AND($N27&lt;&gt;"",ISNUMBER($N27),$N27&lt;=700)</formula>
    </cfRule>
  </conditionalFormatting>
  <conditionalFormatting sqref="D27">
    <cfRule type="expression" dxfId="352" priority="261">
      <formula>AND($N27&lt;&gt;"",ISNUMBER($N27),$N27&lt;=700)</formula>
    </cfRule>
  </conditionalFormatting>
  <conditionalFormatting sqref="D27">
    <cfRule type="expression" dxfId="351" priority="260">
      <formula>AND($N27&lt;&gt;"",ISNUMBER($N27),$N27&lt;=700)</formula>
    </cfRule>
  </conditionalFormatting>
  <conditionalFormatting sqref="D27">
    <cfRule type="expression" dxfId="350" priority="259">
      <formula>AND($N27&lt;&gt;"",ISNUMBER($N27),$N27&lt;=700)</formula>
    </cfRule>
  </conditionalFormatting>
  <conditionalFormatting sqref="D27">
    <cfRule type="expression" dxfId="349" priority="258">
      <formula>AND($N27&lt;&gt;"",ISNUMBER($N27),$N27&lt;=700)</formula>
    </cfRule>
  </conditionalFormatting>
  <conditionalFormatting sqref="D27">
    <cfRule type="expression" dxfId="348" priority="257">
      <formula>AND($N27&lt;&gt;"",ISNUMBER($N27),$N27&lt;=700)</formula>
    </cfRule>
  </conditionalFormatting>
  <conditionalFormatting sqref="D27">
    <cfRule type="expression" dxfId="347" priority="256">
      <formula>AND($N27&lt;&gt;"",ISNUMBER($N27),$N27&lt;=700)</formula>
    </cfRule>
  </conditionalFormatting>
  <conditionalFormatting sqref="D27">
    <cfRule type="expression" dxfId="346" priority="255">
      <formula>AND($N27&lt;&gt;"",ISNUMBER($N27),$N27&lt;=700)</formula>
    </cfRule>
  </conditionalFormatting>
  <conditionalFormatting sqref="D27">
    <cfRule type="expression" dxfId="345" priority="254">
      <formula>AND($N27&lt;&gt;"",ISNUMBER($N27),$N27&lt;=700)</formula>
    </cfRule>
  </conditionalFormatting>
  <conditionalFormatting sqref="D27">
    <cfRule type="expression" dxfId="344" priority="253">
      <formula>AND($N27&lt;&gt;"",ISNUMBER($N27),$N27&lt;=700)</formula>
    </cfRule>
  </conditionalFormatting>
  <conditionalFormatting sqref="D27">
    <cfRule type="expression" dxfId="343" priority="252">
      <formula>AND($N27&lt;&gt;"",ISNUMBER($N27),$N27&lt;=700)</formula>
    </cfRule>
  </conditionalFormatting>
  <conditionalFormatting sqref="D27">
    <cfRule type="expression" dxfId="342" priority="251">
      <formula>AND($N27&lt;&gt;"",ISNUMBER($N27),$N27&lt;=700)</formula>
    </cfRule>
  </conditionalFormatting>
  <conditionalFormatting sqref="D27">
    <cfRule type="expression" dxfId="341" priority="250">
      <formula>AND($N27&lt;&gt;"",ISNUMBER($N27),$N27&lt;=700)</formula>
    </cfRule>
  </conditionalFormatting>
  <conditionalFormatting sqref="D27">
    <cfRule type="expression" dxfId="340" priority="249">
      <formula>AND($N27&lt;&gt;"",ISNUMBER($N27),$N27&lt;=700)</formula>
    </cfRule>
  </conditionalFormatting>
  <conditionalFormatting sqref="D27">
    <cfRule type="expression" dxfId="339" priority="248">
      <formula>AND($N27&lt;&gt;"",ISNUMBER($N27),$N27&lt;=700)</formula>
    </cfRule>
  </conditionalFormatting>
  <conditionalFormatting sqref="D27">
    <cfRule type="expression" dxfId="338" priority="247">
      <formula>AND($N27&lt;&gt;"",ISNUMBER($N27),$N27&lt;=700)</formula>
    </cfRule>
  </conditionalFormatting>
  <conditionalFormatting sqref="D27">
    <cfRule type="expression" dxfId="337" priority="246">
      <formula>AND($N27&lt;&gt;"",ISNUMBER($N27),$N27&lt;=700)</formula>
    </cfRule>
  </conditionalFormatting>
  <conditionalFormatting sqref="D27">
    <cfRule type="expression" dxfId="336" priority="245">
      <formula>AND($N27&lt;&gt;"",ISNUMBER($N27),$N27&lt;=700)</formula>
    </cfRule>
  </conditionalFormatting>
  <conditionalFormatting sqref="D27">
    <cfRule type="expression" dxfId="335" priority="244">
      <formula>AND($N27&lt;&gt;"",ISNUMBER($N27),$N27&lt;=700)</formula>
    </cfRule>
  </conditionalFormatting>
  <conditionalFormatting sqref="D27">
    <cfRule type="expression" dxfId="334" priority="243">
      <formula>AND($N27&lt;&gt;"",ISNUMBER($N27),$N27&lt;=700)</formula>
    </cfRule>
  </conditionalFormatting>
  <conditionalFormatting sqref="D27">
    <cfRule type="expression" dxfId="333" priority="242">
      <formula>AND($N27&lt;&gt;"",ISNUMBER($N27),$N27&lt;=700)</formula>
    </cfRule>
  </conditionalFormatting>
  <conditionalFormatting sqref="D27">
    <cfRule type="expression" dxfId="332" priority="241">
      <formula>AND($N27&lt;&gt;"",ISNUMBER($N27),$N27&lt;=700)</formula>
    </cfRule>
  </conditionalFormatting>
  <conditionalFormatting sqref="D27">
    <cfRule type="expression" dxfId="331" priority="240">
      <formula>AND($N27&lt;&gt;"",ISNUMBER($N27),$N27&lt;=700)</formula>
    </cfRule>
  </conditionalFormatting>
  <conditionalFormatting sqref="D27">
    <cfRule type="expression" dxfId="330" priority="239">
      <formula>AND($N27&lt;&gt;"",ISNUMBER($N27),$N27&lt;=700)</formula>
    </cfRule>
  </conditionalFormatting>
  <conditionalFormatting sqref="D27">
    <cfRule type="expression" dxfId="329" priority="238">
      <formula>AND($N27&lt;&gt;"",ISNUMBER($N27),$N27&lt;=700)</formula>
    </cfRule>
  </conditionalFormatting>
  <conditionalFormatting sqref="D27">
    <cfRule type="expression" dxfId="328" priority="237">
      <formula>AND($N27&lt;&gt;"",ISNUMBER($N27),$N27&lt;=700)</formula>
    </cfRule>
  </conditionalFormatting>
  <conditionalFormatting sqref="D27">
    <cfRule type="expression" dxfId="327" priority="236">
      <formula>AND($N27&lt;&gt;"",ISNUMBER($N27),$N27&lt;=700)</formula>
    </cfRule>
  </conditionalFormatting>
  <conditionalFormatting sqref="D27">
    <cfRule type="expression" dxfId="326" priority="235">
      <formula>AND($N27&lt;&gt;"",ISNUMBER($N27),$N27&lt;=700)</formula>
    </cfRule>
  </conditionalFormatting>
  <conditionalFormatting sqref="D27">
    <cfRule type="expression" dxfId="325" priority="234">
      <formula>AND($N27&lt;&gt;"",ISNUMBER($N27),$N27&lt;=700)</formula>
    </cfRule>
  </conditionalFormatting>
  <conditionalFormatting sqref="D27">
    <cfRule type="expression" dxfId="324" priority="233">
      <formula>AND($N27&lt;&gt;"",ISNUMBER($N27),$N27&lt;=700)</formula>
    </cfRule>
  </conditionalFormatting>
  <conditionalFormatting sqref="D27">
    <cfRule type="expression" dxfId="323" priority="232">
      <formula>AND($N27&lt;&gt;"",ISNUMBER($N27),$N27&lt;=700)</formula>
    </cfRule>
  </conditionalFormatting>
  <conditionalFormatting sqref="D27">
    <cfRule type="expression" dxfId="322" priority="231">
      <formula>AND($N27&lt;&gt;"",ISNUMBER($N27),$N27&lt;=700)</formula>
    </cfRule>
  </conditionalFormatting>
  <conditionalFormatting sqref="D27">
    <cfRule type="expression" dxfId="321" priority="230">
      <formula>AND($N27&lt;&gt;"",ISNUMBER($N27),$N27&lt;=700)</formula>
    </cfRule>
  </conditionalFormatting>
  <conditionalFormatting sqref="D27">
    <cfRule type="expression" dxfId="320" priority="229">
      <formula>AND($N27&lt;&gt;"",ISNUMBER($N27),$N27&lt;=700)</formula>
    </cfRule>
  </conditionalFormatting>
  <conditionalFormatting sqref="D27">
    <cfRule type="expression" dxfId="319" priority="228">
      <formula>AND($N27&lt;&gt;"",ISNUMBER($N27),$N27&lt;=700)</formula>
    </cfRule>
  </conditionalFormatting>
  <conditionalFormatting sqref="D27">
    <cfRule type="expression" dxfId="318" priority="227">
      <formula>AND($N27&lt;&gt;"",ISNUMBER($N27),$N27&lt;=700)</formula>
    </cfRule>
  </conditionalFormatting>
  <conditionalFormatting sqref="D27">
    <cfRule type="expression" dxfId="317" priority="226">
      <formula>AND($N27&lt;&gt;"",ISNUMBER($N27),$N27&lt;=700)</formula>
    </cfRule>
  </conditionalFormatting>
  <conditionalFormatting sqref="D27">
    <cfRule type="expression" dxfId="316" priority="225">
      <formula>AND($N27&lt;&gt;"",ISNUMBER($N27),$N27&lt;=700)</formula>
    </cfRule>
  </conditionalFormatting>
  <conditionalFormatting sqref="D27">
    <cfRule type="expression" dxfId="315" priority="224">
      <formula>AND($N27&lt;&gt;"",ISNUMBER($N27),$N27&lt;=700)</formula>
    </cfRule>
  </conditionalFormatting>
  <conditionalFormatting sqref="D27">
    <cfRule type="expression" dxfId="314" priority="223">
      <formula>AND($N27&lt;&gt;"",ISNUMBER($N27),$N27&lt;=700)</formula>
    </cfRule>
  </conditionalFormatting>
  <conditionalFormatting sqref="D27">
    <cfRule type="expression" dxfId="313" priority="222">
      <formula>AND($N27&lt;&gt;"",ISNUMBER($N27),$N27&lt;=700)</formula>
    </cfRule>
  </conditionalFormatting>
  <conditionalFormatting sqref="D27">
    <cfRule type="expression" dxfId="312" priority="221">
      <formula>AND($N27&lt;&gt;"",ISNUMBER($N27),$N27&lt;=700)</formula>
    </cfRule>
  </conditionalFormatting>
  <conditionalFormatting sqref="D27">
    <cfRule type="expression" dxfId="311" priority="220">
      <formula>AND($N27&lt;&gt;"",ISNUMBER($N27),$N27&lt;=700)</formula>
    </cfRule>
  </conditionalFormatting>
  <conditionalFormatting sqref="D27">
    <cfRule type="expression" dxfId="310" priority="219">
      <formula>AND($N27&lt;&gt;"",ISNUMBER($N27),$N27&lt;=700)</formula>
    </cfRule>
  </conditionalFormatting>
  <conditionalFormatting sqref="D27">
    <cfRule type="expression" dxfId="309" priority="218">
      <formula>AND($N27&lt;&gt;"",ISNUMBER($N27),$N27&lt;=700)</formula>
    </cfRule>
  </conditionalFormatting>
  <conditionalFormatting sqref="D27">
    <cfRule type="expression" dxfId="308" priority="217">
      <formula>AND($N27&lt;&gt;"",ISNUMBER($N27),$N27&lt;=700)</formula>
    </cfRule>
  </conditionalFormatting>
  <conditionalFormatting sqref="D27">
    <cfRule type="expression" dxfId="307" priority="216">
      <formula>AND($N27&lt;&gt;"",ISNUMBER($N27),$N27&lt;=700)</formula>
    </cfRule>
  </conditionalFormatting>
  <conditionalFormatting sqref="D27">
    <cfRule type="expression" dxfId="306" priority="215">
      <formula>AND($N27&lt;&gt;"",ISNUMBER($N27),$N27&lt;=700)</formula>
    </cfRule>
  </conditionalFormatting>
  <conditionalFormatting sqref="D27">
    <cfRule type="expression" dxfId="305" priority="214">
      <formula>AND($N27&lt;&gt;"",ISNUMBER($N27),$N27&lt;=700)</formula>
    </cfRule>
  </conditionalFormatting>
  <conditionalFormatting sqref="D27">
    <cfRule type="expression" dxfId="304" priority="213">
      <formula>AND($N27&lt;&gt;"",ISNUMBER($N27),$N27&lt;=700)</formula>
    </cfRule>
  </conditionalFormatting>
  <conditionalFormatting sqref="D27">
    <cfRule type="expression" dxfId="303" priority="212">
      <formula>AND($N27&lt;&gt;"",ISNUMBER($N27),$N27&lt;=700)</formula>
    </cfRule>
  </conditionalFormatting>
  <conditionalFormatting sqref="D27">
    <cfRule type="expression" dxfId="302" priority="211">
      <formula>AND($N27&lt;&gt;"",ISNUMBER($N27),$N27&lt;=700)</formula>
    </cfRule>
  </conditionalFormatting>
  <conditionalFormatting sqref="D27">
    <cfRule type="expression" dxfId="301" priority="210">
      <formula>AND($N27&lt;&gt;"",ISNUMBER($N27),$N27&lt;=700)</formula>
    </cfRule>
  </conditionalFormatting>
  <conditionalFormatting sqref="D27">
    <cfRule type="expression" dxfId="300" priority="209">
      <formula>AND($N27&lt;&gt;"",ISNUMBER($N27),$N27&lt;=700)</formula>
    </cfRule>
  </conditionalFormatting>
  <conditionalFormatting sqref="D27">
    <cfRule type="expression" dxfId="299" priority="208">
      <formula>AND($N27&lt;&gt;"",ISNUMBER($N27),$N27&lt;=700)</formula>
    </cfRule>
  </conditionalFormatting>
  <conditionalFormatting sqref="D27">
    <cfRule type="expression" dxfId="298" priority="207">
      <formula>AND($N27&lt;&gt;"",ISNUMBER($N27),$N27&lt;=700)</formula>
    </cfRule>
  </conditionalFormatting>
  <conditionalFormatting sqref="D27">
    <cfRule type="expression" dxfId="297" priority="206">
      <formula>AND($N27&lt;&gt;"",ISNUMBER($N27),$N27&lt;=700)</formula>
    </cfRule>
  </conditionalFormatting>
  <conditionalFormatting sqref="D27">
    <cfRule type="expression" dxfId="296" priority="205">
      <formula>AND($N27&lt;&gt;"",ISNUMBER($N27),$N27&lt;=700)</formula>
    </cfRule>
  </conditionalFormatting>
  <conditionalFormatting sqref="D27">
    <cfRule type="expression" dxfId="295" priority="204">
      <formula>AND($N27&lt;&gt;"",ISNUMBER($N27),$N27&lt;=700)</formula>
    </cfRule>
  </conditionalFormatting>
  <conditionalFormatting sqref="D27">
    <cfRule type="expression" dxfId="294" priority="203">
      <formula>AND($N27&lt;&gt;"",ISNUMBER($N27),$N27&lt;=700)</formula>
    </cfRule>
  </conditionalFormatting>
  <conditionalFormatting sqref="D27">
    <cfRule type="expression" dxfId="293" priority="202">
      <formula>AND($N27&lt;&gt;"",ISNUMBER($N27),$N27&lt;=700)</formula>
    </cfRule>
  </conditionalFormatting>
  <conditionalFormatting sqref="D27">
    <cfRule type="expression" dxfId="292" priority="201">
      <formula>AND($N27&lt;&gt;"",ISNUMBER($N27),$N27&lt;=700)</formula>
    </cfRule>
  </conditionalFormatting>
  <conditionalFormatting sqref="D27">
    <cfRule type="expression" dxfId="291" priority="200">
      <formula>AND($N27&lt;&gt;"",ISNUMBER($N27),$N27&lt;=700)</formula>
    </cfRule>
  </conditionalFormatting>
  <conditionalFormatting sqref="D27">
    <cfRule type="expression" dxfId="290" priority="199">
      <formula>AND($N27&lt;&gt;"",ISNUMBER($N27),$N27&lt;=700)</formula>
    </cfRule>
  </conditionalFormatting>
  <conditionalFormatting sqref="D27">
    <cfRule type="expression" dxfId="289" priority="198">
      <formula>AND($N27&lt;&gt;"",ISNUMBER($N27),$N27&lt;=700)</formula>
    </cfRule>
  </conditionalFormatting>
  <conditionalFormatting sqref="D27">
    <cfRule type="expression" dxfId="288" priority="197">
      <formula>AND($N27&lt;&gt;"",ISNUMBER($N27),$N27&lt;=700)</formula>
    </cfRule>
  </conditionalFormatting>
  <conditionalFormatting sqref="D27">
    <cfRule type="expression" dxfId="287" priority="196">
      <formula>AND($N27&lt;&gt;"",ISNUMBER($N27),$N27&lt;=700)</formula>
    </cfRule>
  </conditionalFormatting>
  <conditionalFormatting sqref="D27">
    <cfRule type="expression" dxfId="286" priority="195">
      <formula>AND($N27&lt;&gt;"",ISNUMBER($N27),$N27&lt;=700)</formula>
    </cfRule>
  </conditionalFormatting>
  <conditionalFormatting sqref="D27">
    <cfRule type="expression" dxfId="285" priority="194">
      <formula>AND($N27&lt;&gt;"",ISNUMBER($N27),$N27&lt;=700)</formula>
    </cfRule>
  </conditionalFormatting>
  <conditionalFormatting sqref="D27">
    <cfRule type="expression" dxfId="284" priority="193">
      <formula>AND($N27&lt;&gt;"",ISNUMBER($N27),$N27&lt;=700)</formula>
    </cfRule>
  </conditionalFormatting>
  <conditionalFormatting sqref="D27">
    <cfRule type="expression" dxfId="283" priority="192">
      <formula>AND($N27&lt;&gt;"",ISNUMBER($N27),$N27&lt;=700)</formula>
    </cfRule>
  </conditionalFormatting>
  <conditionalFormatting sqref="D27">
    <cfRule type="expression" dxfId="282" priority="191">
      <formula>AND($N27&lt;&gt;"",ISNUMBER($N27),$N27&lt;=700)</formula>
    </cfRule>
  </conditionalFormatting>
  <conditionalFormatting sqref="D27">
    <cfRule type="expression" dxfId="281" priority="190">
      <formula>AND($N27&lt;&gt;"",ISNUMBER($N27),$N27&lt;=700)</formula>
    </cfRule>
  </conditionalFormatting>
  <conditionalFormatting sqref="D27">
    <cfRule type="expression" dxfId="280" priority="189">
      <formula>AND($N27&lt;&gt;"",ISNUMBER($N27),$N27&lt;=700)</formula>
    </cfRule>
  </conditionalFormatting>
  <conditionalFormatting sqref="D27">
    <cfRule type="expression" dxfId="279" priority="188">
      <formula>AND($N27&lt;&gt;"",ISNUMBER($N27),$N27&lt;=700)</formula>
    </cfRule>
  </conditionalFormatting>
  <conditionalFormatting sqref="D27">
    <cfRule type="expression" dxfId="278" priority="187">
      <formula>AND($N27&lt;&gt;"",ISNUMBER($N27),$N27&lt;=700)</formula>
    </cfRule>
  </conditionalFormatting>
  <conditionalFormatting sqref="D27">
    <cfRule type="expression" dxfId="277" priority="186">
      <formula>AND($N27&lt;&gt;"",ISNUMBER($N27),$N27&lt;=700)</formula>
    </cfRule>
  </conditionalFormatting>
  <conditionalFormatting sqref="D27">
    <cfRule type="expression" dxfId="276" priority="185">
      <formula>AND($N27&lt;&gt;"",ISNUMBER($N27),$N27&lt;=700)</formula>
    </cfRule>
  </conditionalFormatting>
  <conditionalFormatting sqref="D27">
    <cfRule type="expression" dxfId="275" priority="184">
      <formula>AND($N27&lt;&gt;"",ISNUMBER($N27),$N27&lt;=700)</formula>
    </cfRule>
  </conditionalFormatting>
  <conditionalFormatting sqref="D27">
    <cfRule type="expression" dxfId="274" priority="183">
      <formula>AND($N27&lt;&gt;"",ISNUMBER($N27),$N27&lt;=700)</formula>
    </cfRule>
  </conditionalFormatting>
  <conditionalFormatting sqref="D27">
    <cfRule type="expression" dxfId="273" priority="182">
      <formula>AND($N27&lt;&gt;"",ISNUMBER($N27),$N27&lt;=700)</formula>
    </cfRule>
  </conditionalFormatting>
  <conditionalFormatting sqref="D27">
    <cfRule type="expression" dxfId="272" priority="181">
      <formula>AND($N27&lt;&gt;"",ISNUMBER($N27),$N27&lt;=700)</formula>
    </cfRule>
  </conditionalFormatting>
  <conditionalFormatting sqref="D27">
    <cfRule type="expression" dxfId="271" priority="180">
      <formula>AND($N27&lt;&gt;"",ISNUMBER($N27),$N27&lt;=700)</formula>
    </cfRule>
  </conditionalFormatting>
  <conditionalFormatting sqref="D27">
    <cfRule type="expression" dxfId="270" priority="179">
      <formula>AND($N27&lt;&gt;"",ISNUMBER($N27),$N27&lt;=700)</formula>
    </cfRule>
  </conditionalFormatting>
  <conditionalFormatting sqref="D27">
    <cfRule type="expression" dxfId="269" priority="178">
      <formula>AND($N27&lt;&gt;"",ISNUMBER($N27),$N27&lt;=700)</formula>
    </cfRule>
  </conditionalFormatting>
  <conditionalFormatting sqref="D27">
    <cfRule type="expression" dxfId="268" priority="177">
      <formula>AND($N27&lt;&gt;"",ISNUMBER($N27),$N27&lt;=700)</formula>
    </cfRule>
  </conditionalFormatting>
  <conditionalFormatting sqref="D27">
    <cfRule type="expression" dxfId="267" priority="176">
      <formula>AND($N27&lt;&gt;"",ISNUMBER($N27),$N27&lt;=700)</formula>
    </cfRule>
  </conditionalFormatting>
  <conditionalFormatting sqref="D27">
    <cfRule type="expression" dxfId="266" priority="175">
      <formula>AND($N27&lt;&gt;"",ISNUMBER($N27),$N27&lt;=700)</formula>
    </cfRule>
  </conditionalFormatting>
  <conditionalFormatting sqref="D27">
    <cfRule type="expression" dxfId="265" priority="174">
      <formula>AND($N27&lt;&gt;"",ISNUMBER($N27),$N27&lt;=700)</formula>
    </cfRule>
  </conditionalFormatting>
  <conditionalFormatting sqref="D27">
    <cfRule type="expression" dxfId="264" priority="173">
      <formula>AND($N27&lt;&gt;"",ISNUMBER($N27),$N27&lt;=700)</formula>
    </cfRule>
  </conditionalFormatting>
  <conditionalFormatting sqref="D27">
    <cfRule type="expression" dxfId="263" priority="172">
      <formula>AND($N27&lt;&gt;"",ISNUMBER($N27),$N27&lt;=700)</formula>
    </cfRule>
  </conditionalFormatting>
  <conditionalFormatting sqref="D27">
    <cfRule type="expression" dxfId="262" priority="171">
      <formula>AND($N27&lt;&gt;"",ISNUMBER($N27),$N27&lt;=700)</formula>
    </cfRule>
  </conditionalFormatting>
  <conditionalFormatting sqref="D27">
    <cfRule type="expression" dxfId="261" priority="170">
      <formula>AND($N27&lt;&gt;"",ISNUMBER($N27),$N27&lt;=700)</formula>
    </cfRule>
  </conditionalFormatting>
  <conditionalFormatting sqref="D27">
    <cfRule type="expression" dxfId="260" priority="169">
      <formula>AND($N27&lt;&gt;"",ISNUMBER($N27),$N27&lt;=700)</formula>
    </cfRule>
  </conditionalFormatting>
  <conditionalFormatting sqref="D27">
    <cfRule type="expression" dxfId="259" priority="168">
      <formula>AND($N27&lt;&gt;"",ISNUMBER($N27),$N27&lt;=700)</formula>
    </cfRule>
  </conditionalFormatting>
  <conditionalFormatting sqref="D27">
    <cfRule type="expression" dxfId="258" priority="167">
      <formula>AND($N27&lt;&gt;"",ISNUMBER($N27),$N27&lt;=700)</formula>
    </cfRule>
  </conditionalFormatting>
  <conditionalFormatting sqref="D27">
    <cfRule type="expression" dxfId="257" priority="166">
      <formula>AND($N27&lt;&gt;"",ISNUMBER($N27),$N27&lt;=700)</formula>
    </cfRule>
  </conditionalFormatting>
  <conditionalFormatting sqref="D27">
    <cfRule type="expression" dxfId="256" priority="165">
      <formula>AND($N27&lt;&gt;"",ISNUMBER($N27),$N27&lt;=700)</formula>
    </cfRule>
  </conditionalFormatting>
  <conditionalFormatting sqref="D27">
    <cfRule type="expression" dxfId="255" priority="164">
      <formula>AND($N27&lt;&gt;"",ISNUMBER($N27),$N27&lt;=700)</formula>
    </cfRule>
  </conditionalFormatting>
  <conditionalFormatting sqref="D27">
    <cfRule type="expression" dxfId="254" priority="163">
      <formula>AND($N27&lt;&gt;"",ISNUMBER($N27),$N27&lt;=700)</formula>
    </cfRule>
  </conditionalFormatting>
  <conditionalFormatting sqref="D27">
    <cfRule type="expression" dxfId="253" priority="162">
      <formula>AND($N27&lt;&gt;"",ISNUMBER($N27),$N27&lt;=700)</formula>
    </cfRule>
  </conditionalFormatting>
  <conditionalFormatting sqref="D27">
    <cfRule type="expression" dxfId="252" priority="161">
      <formula>AND($N27&lt;&gt;"",ISNUMBER($N27),$N27&lt;=700)</formula>
    </cfRule>
  </conditionalFormatting>
  <conditionalFormatting sqref="D27">
    <cfRule type="expression" dxfId="251" priority="160">
      <formula>AND($N27&lt;&gt;"",ISNUMBER($N27),$N27&lt;=700)</formula>
    </cfRule>
  </conditionalFormatting>
  <conditionalFormatting sqref="D27">
    <cfRule type="expression" dxfId="250" priority="159">
      <formula>AND($N27&lt;&gt;"",ISNUMBER($N27),$N27&lt;=700)</formula>
    </cfRule>
  </conditionalFormatting>
  <conditionalFormatting sqref="D27">
    <cfRule type="expression" dxfId="249" priority="158">
      <formula>AND($N27&lt;&gt;"",ISNUMBER($N27),$N27&lt;=700)</formula>
    </cfRule>
  </conditionalFormatting>
  <conditionalFormatting sqref="D27">
    <cfRule type="expression" dxfId="248" priority="157">
      <formula>AND($N27&lt;&gt;"",ISNUMBER($N27),$N27&lt;=700)</formula>
    </cfRule>
  </conditionalFormatting>
  <conditionalFormatting sqref="D27">
    <cfRule type="expression" dxfId="247" priority="156">
      <formula>AND($N27&lt;&gt;"",ISNUMBER($N27),$N27&lt;=700)</formula>
    </cfRule>
  </conditionalFormatting>
  <conditionalFormatting sqref="D27">
    <cfRule type="expression" dxfId="246" priority="155">
      <formula>AND($N27&lt;&gt;"",ISNUMBER($N27),$N27&lt;=700)</formula>
    </cfRule>
  </conditionalFormatting>
  <conditionalFormatting sqref="D27">
    <cfRule type="expression" dxfId="245" priority="154">
      <formula>AND($N27&lt;&gt;"",ISNUMBER($N27),$N27&lt;=700)</formula>
    </cfRule>
  </conditionalFormatting>
  <conditionalFormatting sqref="D27">
    <cfRule type="expression" dxfId="244" priority="153">
      <formula>AND($N27&lt;&gt;"",ISNUMBER($N27),$N27&lt;=700)</formula>
    </cfRule>
  </conditionalFormatting>
  <conditionalFormatting sqref="D27">
    <cfRule type="expression" dxfId="243" priority="152">
      <formula>AND($N27&lt;&gt;"",ISNUMBER($N27),$N27&lt;=700)</formula>
    </cfRule>
  </conditionalFormatting>
  <conditionalFormatting sqref="D27">
    <cfRule type="expression" dxfId="242" priority="151">
      <formula>AND($N27&lt;&gt;"",ISNUMBER($N27),$N27&lt;=700)</formula>
    </cfRule>
  </conditionalFormatting>
  <conditionalFormatting sqref="D27">
    <cfRule type="expression" dxfId="241" priority="150">
      <formula>AND($N27&lt;&gt;"",ISNUMBER($N27),$N27&lt;=700)</formula>
    </cfRule>
  </conditionalFormatting>
  <conditionalFormatting sqref="D27">
    <cfRule type="expression" dxfId="240" priority="149">
      <formula>AND($N27&lt;&gt;"",ISNUMBER($N27),$N27&lt;=700)</formula>
    </cfRule>
  </conditionalFormatting>
  <conditionalFormatting sqref="D27">
    <cfRule type="expression" dxfId="239" priority="148">
      <formula>AND($N27&lt;&gt;"",ISNUMBER($N27),$N27&lt;=700)</formula>
    </cfRule>
  </conditionalFormatting>
  <conditionalFormatting sqref="D27">
    <cfRule type="expression" dxfId="238" priority="147">
      <formula>AND($N27&lt;&gt;"",ISNUMBER($N27),$N27&lt;=700)</formula>
    </cfRule>
  </conditionalFormatting>
  <conditionalFormatting sqref="D27">
    <cfRule type="expression" dxfId="237" priority="146">
      <formula>AND($N27&lt;&gt;"",ISNUMBER($N27),$N27&lt;=700)</formula>
    </cfRule>
  </conditionalFormatting>
  <conditionalFormatting sqref="D27">
    <cfRule type="expression" dxfId="236" priority="145">
      <formula>AND($N27&lt;&gt;"",ISNUMBER($N27),$N27&lt;=700)</formula>
    </cfRule>
  </conditionalFormatting>
  <conditionalFormatting sqref="D27">
    <cfRule type="expression" dxfId="235" priority="144">
      <formula>AND($N27&lt;&gt;"",ISNUMBER($N27),$N27&lt;=700)</formula>
    </cfRule>
  </conditionalFormatting>
  <conditionalFormatting sqref="D27">
    <cfRule type="expression" dxfId="234" priority="143">
      <formula>AND($N27&lt;&gt;"",ISNUMBER($N27),$N27&lt;=700)</formula>
    </cfRule>
  </conditionalFormatting>
  <conditionalFormatting sqref="D27">
    <cfRule type="expression" dxfId="233" priority="142">
      <formula>AND($N27&lt;&gt;"",ISNUMBER($N27),$N27&lt;=700)</formula>
    </cfRule>
  </conditionalFormatting>
  <conditionalFormatting sqref="D27">
    <cfRule type="expression" dxfId="232" priority="141">
      <formula>AND($N27&lt;&gt;"",ISNUMBER($N27),$N27&lt;=700)</formula>
    </cfRule>
  </conditionalFormatting>
  <conditionalFormatting sqref="D27">
    <cfRule type="expression" dxfId="231" priority="140">
      <formula>AND($N27&lt;&gt;"",ISNUMBER($N27),$N27&lt;=700)</formula>
    </cfRule>
  </conditionalFormatting>
  <conditionalFormatting sqref="D27">
    <cfRule type="expression" dxfId="230" priority="139">
      <formula>AND($N27&lt;&gt;"",ISNUMBER($N27),$N27&lt;=700)</formula>
    </cfRule>
  </conditionalFormatting>
  <conditionalFormatting sqref="D27">
    <cfRule type="expression" dxfId="229" priority="138">
      <formula>AND($N27&lt;&gt;"",ISNUMBER($N27),$N27&lt;=700)</formula>
    </cfRule>
  </conditionalFormatting>
  <conditionalFormatting sqref="D27">
    <cfRule type="expression" dxfId="228" priority="137">
      <formula>AND($N27&lt;&gt;"",ISNUMBER($N27),$N27&lt;=700)</formula>
    </cfRule>
  </conditionalFormatting>
  <conditionalFormatting sqref="D27">
    <cfRule type="expression" dxfId="227" priority="136">
      <formula>AND($N27&lt;&gt;"",ISNUMBER($N27),$N27&lt;=700)</formula>
    </cfRule>
  </conditionalFormatting>
  <conditionalFormatting sqref="D27">
    <cfRule type="expression" dxfId="226" priority="135">
      <formula>AND($N27&lt;&gt;"",ISNUMBER($N27),$N27&lt;=700)</formula>
    </cfRule>
  </conditionalFormatting>
  <conditionalFormatting sqref="D27">
    <cfRule type="expression" dxfId="225" priority="134">
      <formula>AND($N27&lt;&gt;"",ISNUMBER($N27),$N27&lt;=700)</formula>
    </cfRule>
  </conditionalFormatting>
  <conditionalFormatting sqref="D27">
    <cfRule type="expression" dxfId="224" priority="133">
      <formula>AND($N27&lt;&gt;"",ISNUMBER($N27),$N27&lt;=700)</formula>
    </cfRule>
  </conditionalFormatting>
  <conditionalFormatting sqref="D27">
    <cfRule type="expression" dxfId="223" priority="132">
      <formula>AND($N27&lt;&gt;"",ISNUMBER($N27),$N27&lt;=700)</formula>
    </cfRule>
  </conditionalFormatting>
  <conditionalFormatting sqref="D27">
    <cfRule type="expression" dxfId="222" priority="131">
      <formula>AND($N27&lt;&gt;"",ISNUMBER($N27),$N27&lt;=700)</formula>
    </cfRule>
  </conditionalFormatting>
  <conditionalFormatting sqref="D27">
    <cfRule type="expression" dxfId="221" priority="130">
      <formula>AND($N27&lt;&gt;"",ISNUMBER($N27),$N27&lt;=700)</formula>
    </cfRule>
  </conditionalFormatting>
  <conditionalFormatting sqref="D27">
    <cfRule type="expression" dxfId="220" priority="129">
      <formula>AND($N27&lt;&gt;"",ISNUMBER($N27),$N27&lt;=700)</formula>
    </cfRule>
  </conditionalFormatting>
  <conditionalFormatting sqref="D27">
    <cfRule type="expression" dxfId="219" priority="128">
      <formula>AND($N27&lt;&gt;"",ISNUMBER($N27),$N27&lt;=700)</formula>
    </cfRule>
  </conditionalFormatting>
  <conditionalFormatting sqref="D27">
    <cfRule type="expression" dxfId="218" priority="127">
      <formula>AND($N27&lt;&gt;"",ISNUMBER($N27),$N27&lt;=700)</formula>
    </cfRule>
  </conditionalFormatting>
  <conditionalFormatting sqref="D27">
    <cfRule type="expression" dxfId="217" priority="126">
      <formula>AND($N27&lt;&gt;"",ISNUMBER($N27),$N27&lt;=700)</formula>
    </cfRule>
  </conditionalFormatting>
  <conditionalFormatting sqref="D27">
    <cfRule type="expression" dxfId="216" priority="125">
      <formula>AND($N27&lt;&gt;"",ISNUMBER($N27),$N27&lt;=700)</formula>
    </cfRule>
  </conditionalFormatting>
  <conditionalFormatting sqref="D27">
    <cfRule type="expression" dxfId="215" priority="124">
      <formula>AND($N27&lt;&gt;"",ISNUMBER($N27),$N27&lt;=700)</formula>
    </cfRule>
  </conditionalFormatting>
  <conditionalFormatting sqref="D27">
    <cfRule type="expression" dxfId="214" priority="123">
      <formula>AND($N27&lt;&gt;"",ISNUMBER($N27),$N27&lt;=700)</formula>
    </cfRule>
  </conditionalFormatting>
  <conditionalFormatting sqref="D27">
    <cfRule type="expression" dxfId="213" priority="122">
      <formula>AND($N27&lt;&gt;"",ISNUMBER($N27),$N27&lt;=700)</formula>
    </cfRule>
  </conditionalFormatting>
  <conditionalFormatting sqref="D27">
    <cfRule type="expression" dxfId="212" priority="121">
      <formula>AND($N27&lt;&gt;"",ISNUMBER($N27),$N27&lt;=700)</formula>
    </cfRule>
  </conditionalFormatting>
  <conditionalFormatting sqref="D27">
    <cfRule type="expression" dxfId="211" priority="120">
      <formula>AND($N27&lt;&gt;"",ISNUMBER($N27),$N27&lt;=700)</formula>
    </cfRule>
  </conditionalFormatting>
  <conditionalFormatting sqref="D27">
    <cfRule type="expression" dxfId="210" priority="119">
      <formula>AND($N27&lt;&gt;"",ISNUMBER($N27),$N27&lt;=700)</formula>
    </cfRule>
  </conditionalFormatting>
  <conditionalFormatting sqref="D27">
    <cfRule type="expression" dxfId="209" priority="118">
      <formula>AND($N27&lt;&gt;"",ISNUMBER($N27),$N27&lt;=700)</formula>
    </cfRule>
  </conditionalFormatting>
  <conditionalFormatting sqref="D27">
    <cfRule type="expression" dxfId="208" priority="117">
      <formula>AND($N27&lt;&gt;"",ISNUMBER($N27),$N27&lt;=700)</formula>
    </cfRule>
  </conditionalFormatting>
  <conditionalFormatting sqref="D27">
    <cfRule type="expression" dxfId="207" priority="116">
      <formula>AND($N27&lt;&gt;"",ISNUMBER($N27),$N27&lt;=700)</formula>
    </cfRule>
  </conditionalFormatting>
  <conditionalFormatting sqref="D27">
    <cfRule type="expression" dxfId="206" priority="115">
      <formula>AND($N27&lt;&gt;"",ISNUMBER($N27),$N27&lt;=700)</formula>
    </cfRule>
  </conditionalFormatting>
  <conditionalFormatting sqref="D27">
    <cfRule type="expression" dxfId="205" priority="114">
      <formula>AND($N27&lt;&gt;"",ISNUMBER($N27),$N27&lt;=700)</formula>
    </cfRule>
  </conditionalFormatting>
  <conditionalFormatting sqref="D27">
    <cfRule type="expression" dxfId="204" priority="113">
      <formula>AND($N27&lt;&gt;"",ISNUMBER($N27),$N27&lt;=700)</formula>
    </cfRule>
  </conditionalFormatting>
  <conditionalFormatting sqref="D27">
    <cfRule type="expression" dxfId="203" priority="112">
      <formula>AND($N27&lt;&gt;"",ISNUMBER($N27),$N27&lt;=700)</formula>
    </cfRule>
  </conditionalFormatting>
  <conditionalFormatting sqref="D27">
    <cfRule type="expression" dxfId="202" priority="111">
      <formula>AND($N27&lt;&gt;"",ISNUMBER($N27),$N27&lt;=700)</formula>
    </cfRule>
  </conditionalFormatting>
  <conditionalFormatting sqref="D27">
    <cfRule type="expression" dxfId="201" priority="110">
      <formula>AND($N27&lt;&gt;"",ISNUMBER($N27),$N27&lt;=700)</formula>
    </cfRule>
  </conditionalFormatting>
  <conditionalFormatting sqref="D27">
    <cfRule type="expression" dxfId="200" priority="109">
      <formula>AND($N27&lt;&gt;"",ISNUMBER($N27),$N27&lt;=700)</formula>
    </cfRule>
  </conditionalFormatting>
  <conditionalFormatting sqref="D27">
    <cfRule type="expression" dxfId="199" priority="108">
      <formula>AND($N27&lt;&gt;"",ISNUMBER($N27),$N27&lt;=700)</formula>
    </cfRule>
  </conditionalFormatting>
  <conditionalFormatting sqref="D24">
    <cfRule type="expression" dxfId="198" priority="107">
      <formula>AND($N24&lt;&gt;"",ISNUMBER($N24),$N24&lt;=700)</formula>
    </cfRule>
  </conditionalFormatting>
  <conditionalFormatting sqref="D24">
    <cfRule type="expression" dxfId="197" priority="106">
      <formula>AND($N24&lt;&gt;"",ISNUMBER($N24),$N24&lt;=700)</formula>
    </cfRule>
  </conditionalFormatting>
  <conditionalFormatting sqref="D24">
    <cfRule type="expression" dxfId="196" priority="105">
      <formula>AND($N24&lt;&gt;"",ISNUMBER($N24),$N24&lt;=700)</formula>
    </cfRule>
  </conditionalFormatting>
  <conditionalFormatting sqref="D24">
    <cfRule type="expression" dxfId="195" priority="104">
      <formula>AND($N24&lt;&gt;"",ISNUMBER($N24),$N24&lt;=700)</formula>
    </cfRule>
  </conditionalFormatting>
  <conditionalFormatting sqref="D24">
    <cfRule type="expression" dxfId="194" priority="103">
      <formula>AND($N24&lt;&gt;"",ISNUMBER($N24),$N24&lt;=700)</formula>
    </cfRule>
  </conditionalFormatting>
  <conditionalFormatting sqref="D24">
    <cfRule type="expression" dxfId="193" priority="102">
      <formula>AND($N24&lt;&gt;"",ISNUMBER($N24),$N24&lt;=700)</formula>
    </cfRule>
  </conditionalFormatting>
  <conditionalFormatting sqref="D28">
    <cfRule type="expression" dxfId="192" priority="101">
      <formula>AND($N28&lt;&gt;"",ISNUMBER($N28),$N28&lt;=700)</formula>
    </cfRule>
  </conditionalFormatting>
  <conditionalFormatting sqref="D28">
    <cfRule type="expression" dxfId="191" priority="100">
      <formula>AND($N28&lt;&gt;"",ISNUMBER($N28),$N28&lt;=700)</formula>
    </cfRule>
  </conditionalFormatting>
  <conditionalFormatting sqref="D28">
    <cfRule type="expression" dxfId="190" priority="99">
      <formula>AND($N28&lt;&gt;"",ISNUMBER($N28),$N28&lt;=700)</formula>
    </cfRule>
  </conditionalFormatting>
  <conditionalFormatting sqref="D28">
    <cfRule type="expression" dxfId="189" priority="98">
      <formula>AND($N28&lt;&gt;"",ISNUMBER($N28),$N28&lt;=700)</formula>
    </cfRule>
  </conditionalFormatting>
  <conditionalFormatting sqref="D28">
    <cfRule type="expression" dxfId="188" priority="97">
      <formula>AND($N28&lt;&gt;"",ISNUMBER($N28),$N28&lt;=700)</formula>
    </cfRule>
  </conditionalFormatting>
  <conditionalFormatting sqref="D28">
    <cfRule type="expression" dxfId="187" priority="96">
      <formula>AND($N28&lt;&gt;"",ISNUMBER($N28),$N28&lt;=700)</formula>
    </cfRule>
  </conditionalFormatting>
  <conditionalFormatting sqref="D28">
    <cfRule type="expression" dxfId="186" priority="95">
      <formula>AND($N28&lt;&gt;"",ISNUMBER($N28),$N28&lt;=700)</formula>
    </cfRule>
  </conditionalFormatting>
  <conditionalFormatting sqref="D28">
    <cfRule type="expression" dxfId="185" priority="94">
      <formula>AND($N28&lt;&gt;"",ISNUMBER($N28),$N28&lt;=700)</formula>
    </cfRule>
  </conditionalFormatting>
  <conditionalFormatting sqref="D28">
    <cfRule type="expression" dxfId="184" priority="93">
      <formula>AND($N28&lt;&gt;"",ISNUMBER($N28),$N28&lt;=700)</formula>
    </cfRule>
  </conditionalFormatting>
  <conditionalFormatting sqref="D28">
    <cfRule type="expression" dxfId="183" priority="92">
      <formula>AND($N28&lt;&gt;"",ISNUMBER($N28),$N28&lt;=700)</formula>
    </cfRule>
  </conditionalFormatting>
  <conditionalFormatting sqref="D28">
    <cfRule type="expression" dxfId="182" priority="91">
      <formula>AND($N28&lt;&gt;"",ISNUMBER($N28),$N28&lt;=700)</formula>
    </cfRule>
  </conditionalFormatting>
  <conditionalFormatting sqref="D28">
    <cfRule type="expression" dxfId="181" priority="90">
      <formula>AND($N28&lt;&gt;"",ISNUMBER($N28),$N28&lt;=700)</formula>
    </cfRule>
  </conditionalFormatting>
  <conditionalFormatting sqref="D28">
    <cfRule type="expression" dxfId="180" priority="89">
      <formula>AND($N28&lt;&gt;"",ISNUMBER($N28),$N28&lt;=700)</formula>
    </cfRule>
  </conditionalFormatting>
  <conditionalFormatting sqref="D28">
    <cfRule type="expression" dxfId="179" priority="88">
      <formula>AND($N28&lt;&gt;"",ISNUMBER($N28),$N28&lt;=700)</formula>
    </cfRule>
  </conditionalFormatting>
  <conditionalFormatting sqref="D28">
    <cfRule type="expression" dxfId="178" priority="87">
      <formula>AND($N28&lt;&gt;"",ISNUMBER($N28),$N28&lt;=700)</formula>
    </cfRule>
  </conditionalFormatting>
  <conditionalFormatting sqref="D28">
    <cfRule type="expression" dxfId="177" priority="86">
      <formula>AND($N28&lt;&gt;"",ISNUMBER($N28),$N28&lt;=700)</formula>
    </cfRule>
  </conditionalFormatting>
  <conditionalFormatting sqref="D28">
    <cfRule type="expression" dxfId="176" priority="85">
      <formula>AND($N28&lt;&gt;"",ISNUMBER($N28),$N28&lt;=700)</formula>
    </cfRule>
  </conditionalFormatting>
  <conditionalFormatting sqref="D28">
    <cfRule type="expression" dxfId="175" priority="84">
      <formula>AND($N28&lt;&gt;"",ISNUMBER($N28),$N28&lt;=700)</formula>
    </cfRule>
  </conditionalFormatting>
  <conditionalFormatting sqref="D28">
    <cfRule type="expression" dxfId="174" priority="83">
      <formula>AND($N28&lt;&gt;"",ISNUMBER($N28),$N28&lt;=700)</formula>
    </cfRule>
  </conditionalFormatting>
  <conditionalFormatting sqref="D28">
    <cfRule type="expression" dxfId="173" priority="82">
      <formula>AND($N28&lt;&gt;"",ISNUMBER($N28),$N28&lt;=700)</formula>
    </cfRule>
  </conditionalFormatting>
  <conditionalFormatting sqref="D28">
    <cfRule type="expression" dxfId="172" priority="81">
      <formula>AND($N28&lt;&gt;"",ISNUMBER($N28),$N28&lt;=700)</formula>
    </cfRule>
  </conditionalFormatting>
  <conditionalFormatting sqref="D28">
    <cfRule type="expression" dxfId="171" priority="80">
      <formula>AND($N28&lt;&gt;"",ISNUMBER($N28),$N28&lt;=700)</formula>
    </cfRule>
  </conditionalFormatting>
  <conditionalFormatting sqref="D28">
    <cfRule type="expression" dxfId="170" priority="79">
      <formula>AND($N28&lt;&gt;"",ISNUMBER($N28),$N28&lt;=700)</formula>
    </cfRule>
  </conditionalFormatting>
  <conditionalFormatting sqref="D28">
    <cfRule type="expression" dxfId="169" priority="78">
      <formula>AND($N28&lt;&gt;"",ISNUMBER($N28),$N28&lt;=700)</formula>
    </cfRule>
  </conditionalFormatting>
  <conditionalFormatting sqref="D28">
    <cfRule type="expression" dxfId="168" priority="77">
      <formula>AND($N28&lt;&gt;"",ISNUMBER($N28),$N28&lt;=700)</formula>
    </cfRule>
  </conditionalFormatting>
  <conditionalFormatting sqref="D28">
    <cfRule type="expression" dxfId="167" priority="76">
      <formula>AND($N28&lt;&gt;"",ISNUMBER($N28),$N28&lt;=700)</formula>
    </cfRule>
  </conditionalFormatting>
  <conditionalFormatting sqref="D28">
    <cfRule type="expression" dxfId="166" priority="75">
      <formula>AND($N28&lt;&gt;"",ISNUMBER($N28),$N28&lt;=700)</formula>
    </cfRule>
  </conditionalFormatting>
  <conditionalFormatting sqref="D28">
    <cfRule type="expression" dxfId="165" priority="74">
      <formula>AND($N28&lt;&gt;"",ISNUMBER($N28),$N28&lt;=700)</formula>
    </cfRule>
  </conditionalFormatting>
  <conditionalFormatting sqref="D28">
    <cfRule type="expression" dxfId="164" priority="73">
      <formula>AND($N28&lt;&gt;"",ISNUMBER($N28),$N28&lt;=700)</formula>
    </cfRule>
  </conditionalFormatting>
  <conditionalFormatting sqref="D28">
    <cfRule type="expression" dxfId="163" priority="72">
      <formula>AND($N28&lt;&gt;"",ISNUMBER($N28),$N28&lt;=700)</formula>
    </cfRule>
  </conditionalFormatting>
  <conditionalFormatting sqref="D28">
    <cfRule type="expression" dxfId="162" priority="71">
      <formula>AND($N28&lt;&gt;"",ISNUMBER($N28),$N28&lt;=700)</formula>
    </cfRule>
  </conditionalFormatting>
  <conditionalFormatting sqref="D28">
    <cfRule type="expression" dxfId="161" priority="70">
      <formula>AND($N28&lt;&gt;"",ISNUMBER($N28),$N28&lt;=700)</formula>
    </cfRule>
  </conditionalFormatting>
  <conditionalFormatting sqref="D28">
    <cfRule type="expression" dxfId="160" priority="69">
      <formula>AND($N28&lt;&gt;"",ISNUMBER($N28),$N28&lt;=700)</formula>
    </cfRule>
  </conditionalFormatting>
  <conditionalFormatting sqref="D28">
    <cfRule type="expression" dxfId="159" priority="68">
      <formula>AND($N28&lt;&gt;"",ISNUMBER($N28),$N28&lt;=700)</formula>
    </cfRule>
  </conditionalFormatting>
  <conditionalFormatting sqref="D28">
    <cfRule type="expression" dxfId="158" priority="67">
      <formula>AND($N28&lt;&gt;"",ISNUMBER($N28),$N28&lt;=700)</formula>
    </cfRule>
  </conditionalFormatting>
  <conditionalFormatting sqref="D28">
    <cfRule type="expression" dxfId="157" priority="66">
      <formula>AND($N28&lt;&gt;"",ISNUMBER($N28),$N28&lt;=700)</formula>
    </cfRule>
  </conditionalFormatting>
  <conditionalFormatting sqref="D28">
    <cfRule type="expression" dxfId="156" priority="65">
      <formula>AND($N28&lt;&gt;"",ISNUMBER($N28),$N28&lt;=700)</formula>
    </cfRule>
  </conditionalFormatting>
  <conditionalFormatting sqref="D28">
    <cfRule type="expression" dxfId="155" priority="64">
      <formula>AND($N28&lt;&gt;"",ISNUMBER($N28),$N28&lt;=700)</formula>
    </cfRule>
  </conditionalFormatting>
  <conditionalFormatting sqref="D28">
    <cfRule type="expression" dxfId="154" priority="63">
      <formula>AND($N28&lt;&gt;"",ISNUMBER($N28),$N28&lt;=700)</formula>
    </cfRule>
  </conditionalFormatting>
  <conditionalFormatting sqref="D28">
    <cfRule type="expression" dxfId="153" priority="62">
      <formula>AND($N28&lt;&gt;"",ISNUMBER($N28),$N28&lt;=700)</formula>
    </cfRule>
  </conditionalFormatting>
  <conditionalFormatting sqref="D28">
    <cfRule type="expression" dxfId="152" priority="61">
      <formula>AND($N28&lt;&gt;"",ISNUMBER($N28),$N28&lt;=700)</formula>
    </cfRule>
  </conditionalFormatting>
  <conditionalFormatting sqref="D28">
    <cfRule type="expression" dxfId="151" priority="60">
      <formula>AND($N28&lt;&gt;"",ISNUMBER($N28),$N28&lt;=700)</formula>
    </cfRule>
  </conditionalFormatting>
  <conditionalFormatting sqref="D28">
    <cfRule type="expression" dxfId="150" priority="59">
      <formula>AND($N28&lt;&gt;"",ISNUMBER($N28),$N28&lt;=700)</formula>
    </cfRule>
  </conditionalFormatting>
  <conditionalFormatting sqref="D28">
    <cfRule type="expression" dxfId="149" priority="58">
      <formula>AND($N28&lt;&gt;"",ISNUMBER($N28),$N28&lt;=700)</formula>
    </cfRule>
  </conditionalFormatting>
  <conditionalFormatting sqref="D27">
    <cfRule type="expression" dxfId="148" priority="57">
      <formula>AND($N27&lt;&gt;"",ISNUMBER($N27),$N27&lt;=700)</formula>
    </cfRule>
  </conditionalFormatting>
  <conditionalFormatting sqref="D27">
    <cfRule type="expression" dxfId="147" priority="56">
      <formula>AND($N27&lt;&gt;"",ISNUMBER($N27),$N27&lt;=700)</formula>
    </cfRule>
  </conditionalFormatting>
  <conditionalFormatting sqref="D27">
    <cfRule type="expression" dxfId="146" priority="55">
      <formula>AND($N27&lt;&gt;"",ISNUMBER($N27),$N27&lt;=700)</formula>
    </cfRule>
  </conditionalFormatting>
  <conditionalFormatting sqref="D19">
    <cfRule type="expression" dxfId="145" priority="54">
      <formula>AND($N19&lt;&gt;"",ISNUMBER($N19),$N19&lt;=700)</formula>
    </cfRule>
  </conditionalFormatting>
  <conditionalFormatting sqref="D20">
    <cfRule type="expression" dxfId="144" priority="53">
      <formula>AND($N20&lt;&gt;"",ISNUMBER($N20),$N20&lt;=700)</formula>
    </cfRule>
  </conditionalFormatting>
  <conditionalFormatting sqref="D20">
    <cfRule type="expression" dxfId="143" priority="52">
      <formula>AND($N20&lt;&gt;"",ISNUMBER($N20),$N20&lt;=700)</formula>
    </cfRule>
  </conditionalFormatting>
  <conditionalFormatting sqref="D20">
    <cfRule type="expression" dxfId="142" priority="51">
      <formula>AND($N20&lt;&gt;"",ISNUMBER($N20),$N20&lt;=700)</formula>
    </cfRule>
  </conditionalFormatting>
  <conditionalFormatting sqref="D20">
    <cfRule type="expression" dxfId="141" priority="50">
      <formula>AND($N20&lt;&gt;"",ISNUMBER($N20),$N20&lt;=700)</formula>
    </cfRule>
  </conditionalFormatting>
  <conditionalFormatting sqref="D20">
    <cfRule type="expression" dxfId="140" priority="49">
      <formula>AND($N20&lt;&gt;"",ISNUMBER($N20),$N20&lt;=700)</formula>
    </cfRule>
  </conditionalFormatting>
  <conditionalFormatting sqref="D18">
    <cfRule type="expression" dxfId="139" priority="48">
      <formula>AND($N18&lt;&gt;"",ISNUMBER($N18),$N18&lt;=700)</formula>
    </cfRule>
  </conditionalFormatting>
  <conditionalFormatting sqref="C18">
    <cfRule type="expression" dxfId="138" priority="47">
      <formula>AND($N18&lt;&gt;"",ISNUMBER($N18),$N18&lt;=700)</formula>
    </cfRule>
  </conditionalFormatting>
  <conditionalFormatting sqref="C18">
    <cfRule type="containsText" dxfId="137" priority="45" operator="containsText" text="JPY">
      <formula>NOT(ISERROR(SEARCH("JPY",C18)))</formula>
    </cfRule>
    <cfRule type="containsText" dxfId="136" priority="46" operator="containsText" text="JPY">
      <formula>NOT(ISERROR(SEARCH("JPY",C18)))</formula>
    </cfRule>
  </conditionalFormatting>
  <conditionalFormatting sqref="D18">
    <cfRule type="expression" dxfId="135" priority="44">
      <formula>AND($N18&lt;&gt;"",ISNUMBER($N18),$N18&lt;=700)</formula>
    </cfRule>
  </conditionalFormatting>
  <conditionalFormatting sqref="D18">
    <cfRule type="expression" dxfId="134" priority="43">
      <formula>AND($N18&lt;&gt;"",ISNUMBER($N18),$N18&lt;=700)</formula>
    </cfRule>
  </conditionalFormatting>
  <conditionalFormatting sqref="D15">
    <cfRule type="expression" dxfId="133" priority="42">
      <formula>AND($N15&lt;&gt;"",ISNUMBER($N15),$N15&lt;=700)</formula>
    </cfRule>
  </conditionalFormatting>
  <conditionalFormatting sqref="D18">
    <cfRule type="expression" dxfId="132" priority="41">
      <formula>AND($N18&lt;&gt;"",ISNUMBER($N18),$N18&lt;=700)</formula>
    </cfRule>
  </conditionalFormatting>
  <conditionalFormatting sqref="D18">
    <cfRule type="expression" dxfId="131" priority="40">
      <formula>AND($N18&lt;&gt;"",ISNUMBER($N18),$N18&lt;=700)</formula>
    </cfRule>
  </conditionalFormatting>
  <conditionalFormatting sqref="D18">
    <cfRule type="expression" dxfId="130" priority="39">
      <formula>AND($N18&lt;&gt;"",ISNUMBER($N18),$N18&lt;=700)</formula>
    </cfRule>
  </conditionalFormatting>
  <conditionalFormatting sqref="D14:D15">
    <cfRule type="expression" dxfId="129" priority="38">
      <formula>AND($N14&lt;&gt;"",ISNUMBER($N14),$N14&lt;=700)</formula>
    </cfRule>
  </conditionalFormatting>
  <conditionalFormatting sqref="D14">
    <cfRule type="expression" dxfId="128" priority="37">
      <formula>AND($N14&lt;&gt;"",ISNUMBER($N14),$N14&lt;=700)</formula>
    </cfRule>
  </conditionalFormatting>
  <conditionalFormatting sqref="D15">
    <cfRule type="expression" dxfId="127" priority="36">
      <formula>AND($N15&lt;&gt;"",ISNUMBER($N15),$N15&lt;=700)</formula>
    </cfRule>
  </conditionalFormatting>
  <conditionalFormatting sqref="D14">
    <cfRule type="expression" dxfId="126" priority="35">
      <formula>AND($N14&lt;&gt;"",ISNUMBER($N14),$N14&lt;=700)</formula>
    </cfRule>
  </conditionalFormatting>
  <conditionalFormatting sqref="D15">
    <cfRule type="expression" dxfId="125" priority="34">
      <formula>AND($N15&lt;&gt;"",ISNUMBER($N15),$N15&lt;=700)</formula>
    </cfRule>
  </conditionalFormatting>
  <conditionalFormatting sqref="D14">
    <cfRule type="expression" dxfId="124" priority="33">
      <formula>AND($N14&lt;&gt;"",ISNUMBER($N14),$N14&lt;=700)</formula>
    </cfRule>
  </conditionalFormatting>
  <conditionalFormatting sqref="D15">
    <cfRule type="expression" dxfId="123" priority="32">
      <formula>AND($N15&lt;&gt;"",ISNUMBER($N15),$N15&lt;=700)</formula>
    </cfRule>
  </conditionalFormatting>
  <conditionalFormatting sqref="D14">
    <cfRule type="expression" dxfId="122" priority="31">
      <formula>AND($N14&lt;&gt;"",ISNUMBER($N14),$N14&lt;=700)</formula>
    </cfRule>
  </conditionalFormatting>
  <conditionalFormatting sqref="D15">
    <cfRule type="expression" dxfId="121" priority="30">
      <formula>AND($N15&lt;&gt;"",ISNUMBER($N15),$N15&lt;=700)</formula>
    </cfRule>
  </conditionalFormatting>
  <conditionalFormatting sqref="B14:D14">
    <cfRule type="expression" dxfId="120" priority="29">
      <formula>AND($N14&lt;&gt;"",ISNUMBER($N14),$N14&lt;=700)</formula>
    </cfRule>
  </conditionalFormatting>
  <conditionalFormatting sqref="C14">
    <cfRule type="containsText" dxfId="119" priority="27" operator="containsText" text="JPY">
      <formula>NOT(ISERROR(SEARCH("JPY",C14)))</formula>
    </cfRule>
    <cfRule type="containsText" dxfId="118" priority="28" operator="containsText" text="JPY">
      <formula>NOT(ISERROR(SEARCH("JPY",C14)))</formula>
    </cfRule>
  </conditionalFormatting>
  <conditionalFormatting sqref="B15:D15">
    <cfRule type="expression" dxfId="117" priority="26">
      <formula>AND($N15&lt;&gt;"",ISNUMBER($N15),$N15&lt;=700)</formula>
    </cfRule>
  </conditionalFormatting>
  <conditionalFormatting sqref="C15">
    <cfRule type="containsText" dxfId="116" priority="24" operator="containsText" text="JPY">
      <formula>NOT(ISERROR(SEARCH("JPY",C15)))</formula>
    </cfRule>
    <cfRule type="containsText" dxfId="115" priority="25" operator="containsText" text="JPY">
      <formula>NOT(ISERROR(SEARCH("JPY",C15)))</formula>
    </cfRule>
  </conditionalFormatting>
  <conditionalFormatting sqref="B14:D14">
    <cfRule type="expression" dxfId="114" priority="23">
      <formula>AND($N14&lt;&gt;"",ISNUMBER($N14),$N14&lt;=700)</formula>
    </cfRule>
  </conditionalFormatting>
  <conditionalFormatting sqref="C14">
    <cfRule type="containsText" dxfId="113" priority="21" operator="containsText" text="JPY">
      <formula>NOT(ISERROR(SEARCH("JPY",C14)))</formula>
    </cfRule>
    <cfRule type="containsText" dxfId="112" priority="22" operator="containsText" text="JPY">
      <formula>NOT(ISERROR(SEARCH("JPY",C14)))</formula>
    </cfRule>
  </conditionalFormatting>
  <conditionalFormatting sqref="B14:D15">
    <cfRule type="expression" dxfId="111" priority="20">
      <formula>AND($N14&lt;&gt;"",ISNUMBER($N14),$N14&lt;=700)</formula>
    </cfRule>
  </conditionalFormatting>
  <conditionalFormatting sqref="C14:C15">
    <cfRule type="containsText" dxfId="110" priority="18" operator="containsText" text="JPY">
      <formula>NOT(ISERROR(SEARCH("JPY",C14)))</formula>
    </cfRule>
    <cfRule type="containsText" dxfId="109" priority="19" operator="containsText" text="JPY">
      <formula>NOT(ISERROR(SEARCH("JPY",C14)))</formula>
    </cfRule>
  </conditionalFormatting>
  <conditionalFormatting sqref="D14">
    <cfRule type="expression" dxfId="108" priority="17">
      <formula>AND($N14&lt;&gt;"",ISNUMBER($N14),$N14&lt;=700)</formula>
    </cfRule>
  </conditionalFormatting>
  <conditionalFormatting sqref="D15">
    <cfRule type="expression" dxfId="107" priority="16">
      <formula>AND($N15&lt;&gt;"",ISNUMBER($N15),$N15&lt;=700)</formula>
    </cfRule>
  </conditionalFormatting>
  <conditionalFormatting sqref="D14">
    <cfRule type="expression" dxfId="106" priority="15">
      <formula>AND($N14&lt;&gt;"",ISNUMBER($N14),$N14&lt;=700)</formula>
    </cfRule>
  </conditionalFormatting>
  <conditionalFormatting sqref="D15">
    <cfRule type="expression" dxfId="105" priority="14">
      <formula>AND($N15&lt;&gt;"",ISNUMBER($N15),$N15&lt;=700)</formula>
    </cfRule>
  </conditionalFormatting>
  <conditionalFormatting sqref="D14">
    <cfRule type="expression" dxfId="104" priority="13">
      <formula>AND($N14&lt;&gt;"",ISNUMBER($N14),$N14&lt;=700)</formula>
    </cfRule>
  </conditionalFormatting>
  <conditionalFormatting sqref="D15">
    <cfRule type="expression" dxfId="103" priority="12">
      <formula>AND($N15&lt;&gt;"",ISNUMBER($N15),$N15&lt;=700)</formula>
    </cfRule>
  </conditionalFormatting>
  <conditionalFormatting sqref="D15">
    <cfRule type="expression" dxfId="102" priority="11">
      <formula>AND($N15&lt;&gt;"",ISNUMBER($N15),$N15&lt;=700)</formula>
    </cfRule>
  </conditionalFormatting>
  <conditionalFormatting sqref="B14">
    <cfRule type="expression" dxfId="101" priority="10">
      <formula>AND($N14&lt;&gt;"",ISNUMBER($N14),$N14&lt;=700)</formula>
    </cfRule>
  </conditionalFormatting>
  <conditionalFormatting sqref="D14">
    <cfRule type="expression" dxfId="100" priority="9">
      <formula>AND($N14&lt;&gt;"",ISNUMBER($N14),$N14&lt;=700)</formula>
    </cfRule>
  </conditionalFormatting>
  <conditionalFormatting sqref="D14">
    <cfRule type="expression" dxfId="99" priority="8">
      <formula>AND($N14&lt;&gt;"",ISNUMBER($N14),$N14&lt;=700)</formula>
    </cfRule>
  </conditionalFormatting>
  <conditionalFormatting sqref="D14">
    <cfRule type="expression" dxfId="98" priority="7">
      <formula>AND($N14&lt;&gt;"",ISNUMBER($N14),$N14&lt;=700)</formula>
    </cfRule>
  </conditionalFormatting>
  <conditionalFormatting sqref="D14">
    <cfRule type="expression" dxfId="97" priority="6">
      <formula>AND($N14&lt;&gt;"",ISNUMBER($N14),$N14&lt;=700)</formula>
    </cfRule>
  </conditionalFormatting>
  <conditionalFormatting sqref="D14">
    <cfRule type="expression" dxfId="96" priority="5">
      <formula>AND($N14&lt;&gt;"",ISNUMBER($N14),$N14&lt;=700)</formula>
    </cfRule>
  </conditionalFormatting>
  <conditionalFormatting sqref="D14">
    <cfRule type="expression" dxfId="95" priority="4">
      <formula>AND($N14&lt;&gt;"",ISNUMBER($N14),$N14&lt;=700)</formula>
    </cfRule>
  </conditionalFormatting>
  <conditionalFormatting sqref="D14">
    <cfRule type="expression" dxfId="94" priority="3">
      <formula>AND($N14&lt;&gt;"",ISNUMBER($N14),$N14&lt;=700)</formula>
    </cfRule>
  </conditionalFormatting>
  <conditionalFormatting sqref="D14">
    <cfRule type="expression" dxfId="93" priority="2">
      <formula>AND($N14&lt;&gt;"",ISNUMBER($N14),$N14&lt;=700)</formula>
    </cfRule>
  </conditionalFormatting>
  <conditionalFormatting sqref="D14">
    <cfRule type="expression" dxfId="92" priority="1">
      <formula>AND($N14&lt;&gt;"",ISNUMBER($N14),$N14&lt;=700)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>
    <tabColor rgb="FFFFFF00"/>
  </sheetPr>
  <dimension ref="A1:IW63"/>
  <sheetViews>
    <sheetView zoomScaleNormal="100" workbookViewId="0">
      <selection activeCell="F15" sqref="F15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3211</v>
      </c>
      <c r="D9" s="13" t="s">
        <v>3216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21" t="s">
        <v>17</v>
      </c>
      <c r="D13" s="221" t="s">
        <v>18</v>
      </c>
      <c r="E13" s="241" t="s">
        <v>19</v>
      </c>
      <c r="F13" s="241"/>
      <c r="G13" s="28" t="s">
        <v>20</v>
      </c>
      <c r="H13" s="29" t="s">
        <v>21</v>
      </c>
      <c r="I13" s="249">
        <f ca="1">TODAY()</f>
        <v>46294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3213</v>
      </c>
      <c r="C14" s="34" t="s">
        <v>92</v>
      </c>
      <c r="D14" s="209">
        <v>1000</v>
      </c>
      <c r="E14" s="36"/>
      <c r="F14" s="37">
        <v>1364.9</v>
      </c>
      <c r="G14" s="38"/>
      <c r="H14" s="39">
        <f t="shared" ref="H14:H26" si="0">F14+G14</f>
        <v>1364.9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HSBC</v>
      </c>
      <c r="J14" s="235">
        <v>3138</v>
      </c>
      <c r="K14" s="42">
        <v>46293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5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4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4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4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4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4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4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4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4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4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70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2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91" priority="511">
      <formula>AND($N14&lt;&gt;"",ISNUMBER($N14),$N14&lt;=700)</formula>
    </cfRule>
  </conditionalFormatting>
  <conditionalFormatting sqref="D15">
    <cfRule type="expression" dxfId="90" priority="510">
      <formula>AND($N15&lt;&gt;"",ISNUMBER($N15),$N15&lt;=700)</formula>
    </cfRule>
  </conditionalFormatting>
  <conditionalFormatting sqref="D18">
    <cfRule type="expression" dxfId="89" priority="509">
      <formula>AND($N18&lt;&gt;"",ISNUMBER($N18),$N18&lt;=700)</formula>
    </cfRule>
  </conditionalFormatting>
  <conditionalFormatting sqref="D19">
    <cfRule type="expression" dxfId="88" priority="508">
      <formula>AND($N19&lt;&gt;"",ISNUMBER($N19),$N19&lt;=700)</formula>
    </cfRule>
  </conditionalFormatting>
  <conditionalFormatting sqref="D22">
    <cfRule type="expression" dxfId="87" priority="507">
      <formula>AND($N22&lt;&gt;"",ISNUMBER($N22),$N22&lt;=700)</formula>
    </cfRule>
  </conditionalFormatting>
  <conditionalFormatting sqref="D23">
    <cfRule type="expression" dxfId="86" priority="506">
      <formula>AND($N23&lt;&gt;"",ISNUMBER($N23),$N23&lt;=700)</formula>
    </cfRule>
  </conditionalFormatting>
  <conditionalFormatting sqref="D24">
    <cfRule type="expression" dxfId="85" priority="505">
      <formula>AND($N24&lt;&gt;"",ISNUMBER($N24),$N24&lt;=700)</formula>
    </cfRule>
  </conditionalFormatting>
  <conditionalFormatting sqref="D25">
    <cfRule type="expression" dxfId="84" priority="504">
      <formula>AND($N25&lt;&gt;"",ISNUMBER($N25),$N25&lt;=700)</formula>
    </cfRule>
  </conditionalFormatting>
  <conditionalFormatting sqref="D26">
    <cfRule type="expression" dxfId="83" priority="503">
      <formula>AND($N26&lt;&gt;"",ISNUMBER($N26),$N26&lt;=700)</formula>
    </cfRule>
  </conditionalFormatting>
  <conditionalFormatting sqref="D28">
    <cfRule type="expression" dxfId="82" priority="501">
      <formula>AND($N28&lt;&gt;"",ISNUMBER($N28),$N28&lt;=700)</formula>
    </cfRule>
  </conditionalFormatting>
  <conditionalFormatting sqref="D27">
    <cfRule type="expression" dxfId="81" priority="500">
      <formula>AND($N27&lt;&gt;"",ISNUMBER($N27),$N27&lt;=700)</formula>
    </cfRule>
  </conditionalFormatting>
  <conditionalFormatting sqref="D16:D25">
    <cfRule type="expression" dxfId="80" priority="484">
      <formula>AND($N16&lt;&gt;"",ISNUMBER($N16),$N16&lt;=700)</formula>
    </cfRule>
  </conditionalFormatting>
  <conditionalFormatting sqref="D16">
    <cfRule type="expression" dxfId="79" priority="454">
      <formula>AND($N16&lt;&gt;"",ISNUMBER($N16),$N16&lt;=700)</formula>
    </cfRule>
  </conditionalFormatting>
  <conditionalFormatting sqref="D20">
    <cfRule type="expression" dxfId="78" priority="426">
      <formula>AND($N20&lt;&gt;"",ISNUMBER($N20),$N20&lt;=700)</formula>
    </cfRule>
  </conditionalFormatting>
  <conditionalFormatting sqref="D16:D24">
    <cfRule type="expression" dxfId="77" priority="394">
      <formula>AND($N16&lt;&gt;"",ISNUMBER($N16),$N16&lt;=700)</formula>
    </cfRule>
  </conditionalFormatting>
  <conditionalFormatting sqref="D21">
    <cfRule type="expression" dxfId="76" priority="221">
      <formula>AND($N21&lt;&gt;"",ISNUMBER($N21),$N21&lt;=700)</formula>
    </cfRule>
  </conditionalFormatting>
  <conditionalFormatting sqref="B14:D15">
    <cfRule type="expression" dxfId="75" priority="35">
      <formula>AND($N14&lt;&gt;"",ISNUMBER($N14),$N14&lt;=700)</formula>
    </cfRule>
  </conditionalFormatting>
  <conditionalFormatting sqref="C14:C15">
    <cfRule type="containsText" dxfId="74" priority="33" operator="containsText" text="JPY">
      <formula>NOT(ISERROR(SEARCH("JPY",C14)))</formula>
    </cfRule>
    <cfRule type="containsText" dxfId="73" priority="34" operator="containsText" text="JPY">
      <formula>NOT(ISERROR(SEARCH("JPY",C14)))</formula>
    </cfRule>
  </conditionalFormatting>
  <conditionalFormatting sqref="B15:D16">
    <cfRule type="expression" dxfId="72" priority="32">
      <formula>AND($N15&lt;&gt;"",ISNUMBER($N15),$N15&lt;=700)</formula>
    </cfRule>
  </conditionalFormatting>
  <conditionalFormatting sqref="C15:C16">
    <cfRule type="containsText" dxfId="71" priority="30" operator="containsText" text="JPY">
      <formula>NOT(ISERROR(SEARCH("JPY",C15)))</formula>
    </cfRule>
    <cfRule type="containsText" dxfId="70" priority="31" operator="containsText" text="JPY">
      <formula>NOT(ISERROR(SEARCH("JPY",C15)))</formula>
    </cfRule>
  </conditionalFormatting>
  <conditionalFormatting sqref="B16:D17">
    <cfRule type="expression" dxfId="69" priority="29">
      <formula>AND($N16&lt;&gt;"",ISNUMBER($N16),$N16&lt;=700)</formula>
    </cfRule>
  </conditionalFormatting>
  <conditionalFormatting sqref="C16:C17">
    <cfRule type="containsText" dxfId="68" priority="27" operator="containsText" text="JPY">
      <formula>NOT(ISERROR(SEARCH("JPY",C16)))</formula>
    </cfRule>
    <cfRule type="containsText" dxfId="67" priority="28" operator="containsText" text="JPY">
      <formula>NOT(ISERROR(SEARCH("JPY",C16)))</formula>
    </cfRule>
  </conditionalFormatting>
  <conditionalFormatting sqref="B16:D17">
    <cfRule type="expression" dxfId="66" priority="26">
      <formula>AND($N16&lt;&gt;"",ISNUMBER($N16),$N16&lt;=700)</formula>
    </cfRule>
  </conditionalFormatting>
  <conditionalFormatting sqref="C16:C17">
    <cfRule type="containsText" dxfId="65" priority="24" operator="containsText" text="JPY">
      <formula>NOT(ISERROR(SEARCH("JPY",C16)))</formula>
    </cfRule>
    <cfRule type="containsText" dxfId="64" priority="25" operator="containsText" text="JPY">
      <formula>NOT(ISERROR(SEARCH("JPY",C16)))</formula>
    </cfRule>
  </conditionalFormatting>
  <conditionalFormatting sqref="B18:D20">
    <cfRule type="expression" dxfId="63" priority="23">
      <formula>AND($N18&lt;&gt;"",ISNUMBER($N18),$N18&lt;=700)</formula>
    </cfRule>
  </conditionalFormatting>
  <conditionalFormatting sqref="C18:C20">
    <cfRule type="containsText" dxfId="62" priority="21" operator="containsText" text="JPY">
      <formula>NOT(ISERROR(SEARCH("JPY",C18)))</formula>
    </cfRule>
    <cfRule type="containsText" dxfId="61" priority="22" operator="containsText" text="JPY">
      <formula>NOT(ISERROR(SEARCH("JPY",C18)))</formula>
    </cfRule>
  </conditionalFormatting>
  <conditionalFormatting sqref="B19:D20">
    <cfRule type="expression" dxfId="60" priority="20">
      <formula>AND($N19&lt;&gt;"",ISNUMBER($N19),$N19&lt;=700)</formula>
    </cfRule>
  </conditionalFormatting>
  <conditionalFormatting sqref="C19:C20">
    <cfRule type="containsText" dxfId="59" priority="18" operator="containsText" text="JPY">
      <formula>NOT(ISERROR(SEARCH("JPY",C19)))</formula>
    </cfRule>
    <cfRule type="containsText" dxfId="58" priority="19" operator="containsText" text="JPY">
      <formula>NOT(ISERROR(SEARCH("JPY",C19)))</formula>
    </cfRule>
  </conditionalFormatting>
  <conditionalFormatting sqref="B20:D21">
    <cfRule type="expression" dxfId="57" priority="17">
      <formula>AND($N20&lt;&gt;"",ISNUMBER($N20),$N20&lt;=700)</formula>
    </cfRule>
  </conditionalFormatting>
  <conditionalFormatting sqref="C20:C21">
    <cfRule type="containsText" dxfId="56" priority="15" operator="containsText" text="JPY">
      <formula>NOT(ISERROR(SEARCH("JPY",C20)))</formula>
    </cfRule>
    <cfRule type="containsText" dxfId="55" priority="16" operator="containsText" text="JPY">
      <formula>NOT(ISERROR(SEARCH("JPY",C20)))</formula>
    </cfRule>
  </conditionalFormatting>
  <conditionalFormatting sqref="B21:D22">
    <cfRule type="expression" dxfId="54" priority="14">
      <formula>AND($N21&lt;&gt;"",ISNUMBER($N21),$N21&lt;=700)</formula>
    </cfRule>
  </conditionalFormatting>
  <conditionalFormatting sqref="C21:C22">
    <cfRule type="containsText" dxfId="53" priority="12" operator="containsText" text="JPY">
      <formula>NOT(ISERROR(SEARCH("JPY",C21)))</formula>
    </cfRule>
    <cfRule type="containsText" dxfId="52" priority="13" operator="containsText" text="JPY">
      <formula>NOT(ISERROR(SEARCH("JPY",C21)))</formula>
    </cfRule>
  </conditionalFormatting>
  <conditionalFormatting sqref="B21:D23">
    <cfRule type="expression" dxfId="51" priority="11">
      <formula>AND($N21&lt;&gt;"",ISNUMBER($N21),$N21&lt;=700)</formula>
    </cfRule>
  </conditionalFormatting>
  <conditionalFormatting sqref="C21:C23">
    <cfRule type="containsText" dxfId="50" priority="9" operator="containsText" text="JPY">
      <formula>NOT(ISERROR(SEARCH("JPY",C21)))</formula>
    </cfRule>
    <cfRule type="containsText" dxfId="49" priority="10" operator="containsText" text="JPY">
      <formula>NOT(ISERROR(SEARCH("JPY",C21)))</formula>
    </cfRule>
  </conditionalFormatting>
  <conditionalFormatting sqref="D19">
    <cfRule type="expression" dxfId="48" priority="8">
      <formula>AND($N19&lt;&gt;"",ISNUMBER($N19),$N19&lt;=700)</formula>
    </cfRule>
  </conditionalFormatting>
  <conditionalFormatting sqref="D20">
    <cfRule type="expression" dxfId="47" priority="7">
      <formula>AND($N20&lt;&gt;"",ISNUMBER($N20),$N20&lt;=700)</formula>
    </cfRule>
  </conditionalFormatting>
  <conditionalFormatting sqref="B18:D18">
    <cfRule type="expression" dxfId="46" priority="6">
      <formula>AND($N18&lt;&gt;"",ISNUMBER($N18),$N18&lt;=700)</formula>
    </cfRule>
  </conditionalFormatting>
  <conditionalFormatting sqref="C18">
    <cfRule type="containsText" dxfId="45" priority="4" operator="containsText" text="JPY">
      <formula>NOT(ISERROR(SEARCH("JPY",C18)))</formula>
    </cfRule>
    <cfRule type="containsText" dxfId="44" priority="5" operator="containsText" text="JPY">
      <formula>NOT(ISERROR(SEARCH("JPY",C18)))</formula>
    </cfRule>
  </conditionalFormatting>
  <conditionalFormatting sqref="B18:D18">
    <cfRule type="expression" dxfId="43" priority="3">
      <formula>AND($N18&lt;&gt;"",ISNUMBER($N18),$N18&lt;=700)</formula>
    </cfRule>
  </conditionalFormatting>
  <conditionalFormatting sqref="C18">
    <cfRule type="containsText" dxfId="42" priority="1" operator="containsText" text="JPY">
      <formula>NOT(ISERROR(SEARCH("JPY",C18)))</formula>
    </cfRule>
    <cfRule type="containsText" dxfId="41" priority="2" operator="containsText" text="JPY">
      <formula>NOT(ISERROR(SEARCH("JPY",C18)))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>
    <tabColor rgb="FFFFFF00"/>
  </sheetPr>
  <dimension ref="A1:IW63"/>
  <sheetViews>
    <sheetView zoomScaleNormal="100" workbookViewId="0">
      <selection activeCell="E18" sqref="E18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3211</v>
      </c>
      <c r="D9" s="13" t="s">
        <v>3217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3" t="s">
        <v>17</v>
      </c>
      <c r="D13" s="233" t="s">
        <v>18</v>
      </c>
      <c r="E13" s="241" t="s">
        <v>19</v>
      </c>
      <c r="F13" s="241"/>
      <c r="G13" s="28" t="s">
        <v>20</v>
      </c>
      <c r="H13" s="29" t="s">
        <v>21</v>
      </c>
      <c r="I13" s="249">
        <f ca="1">TODAY()</f>
        <v>46294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 t="s">
        <v>3218</v>
      </c>
      <c r="C14" s="212" t="s">
        <v>92</v>
      </c>
      <c r="D14" s="209">
        <v>887000</v>
      </c>
      <c r="E14" s="36"/>
      <c r="F14" s="37">
        <v>1364.9</v>
      </c>
      <c r="G14" s="38"/>
      <c r="H14" s="39">
        <f t="shared" ref="H14:H26" si="0">F14+G14</f>
        <v>1364.9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HSBC</v>
      </c>
      <c r="J14" s="234">
        <v>3006</v>
      </c>
      <c r="K14" s="42">
        <v>46294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/>
      <c r="C15" s="212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4"/>
      <c r="K15" s="42"/>
      <c r="L15" s="240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4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4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4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4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4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4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4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212"/>
      <c r="C23" s="212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4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4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4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70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2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40" priority="2591">
      <formula>AND($N14&lt;&gt;"",ISNUMBER($N14),$N14&lt;=700)</formula>
    </cfRule>
  </conditionalFormatting>
  <conditionalFormatting sqref="D15">
    <cfRule type="expression" dxfId="39" priority="2590">
      <formula>AND($N15&lt;&gt;"",ISNUMBER($N15),$N15&lt;=700)</formula>
    </cfRule>
  </conditionalFormatting>
  <conditionalFormatting sqref="D18">
    <cfRule type="expression" dxfId="38" priority="2589">
      <formula>AND($N18&lt;&gt;"",ISNUMBER($N18),$N18&lt;=700)</formula>
    </cfRule>
  </conditionalFormatting>
  <conditionalFormatting sqref="D19">
    <cfRule type="expression" dxfId="37" priority="2588">
      <formula>AND($N19&lt;&gt;"",ISNUMBER($N19),$N19&lt;=700)</formula>
    </cfRule>
  </conditionalFormatting>
  <conditionalFormatting sqref="D22">
    <cfRule type="expression" dxfId="36" priority="2587">
      <formula>AND($N22&lt;&gt;"",ISNUMBER($N22),$N22&lt;=700)</formula>
    </cfRule>
  </conditionalFormatting>
  <conditionalFormatting sqref="D23">
    <cfRule type="expression" dxfId="35" priority="2586">
      <formula>AND($N23&lt;&gt;"",ISNUMBER($N23),$N23&lt;=700)</formula>
    </cfRule>
  </conditionalFormatting>
  <conditionalFormatting sqref="D24">
    <cfRule type="expression" dxfId="34" priority="2585">
      <formula>AND($N24&lt;&gt;"",ISNUMBER($N24),$N24&lt;=700)</formula>
    </cfRule>
  </conditionalFormatting>
  <conditionalFormatting sqref="D25">
    <cfRule type="expression" dxfId="33" priority="2584">
      <formula>AND($N25&lt;&gt;"",ISNUMBER($N25),$N25&lt;=700)</formula>
    </cfRule>
  </conditionalFormatting>
  <conditionalFormatting sqref="D26">
    <cfRule type="expression" dxfId="32" priority="2583">
      <formula>AND($N26&lt;&gt;"",ISNUMBER($N26),$N26&lt;=700)</formula>
    </cfRule>
  </conditionalFormatting>
  <conditionalFormatting sqref="D28">
    <cfRule type="expression" dxfId="31" priority="2581">
      <formula>AND($N28&lt;&gt;"",ISNUMBER($N28),$N28&lt;=700)</formula>
    </cfRule>
  </conditionalFormatting>
  <conditionalFormatting sqref="D27">
    <cfRule type="expression" dxfId="30" priority="2580">
      <formula>AND($N27&lt;&gt;"",ISNUMBER($N27),$N27&lt;=700)</formula>
    </cfRule>
  </conditionalFormatting>
  <conditionalFormatting sqref="D16:D25">
    <cfRule type="expression" dxfId="29" priority="2564">
      <formula>AND($N16&lt;&gt;"",ISNUMBER($N16),$N16&lt;=700)</formula>
    </cfRule>
  </conditionalFormatting>
  <conditionalFormatting sqref="D16">
    <cfRule type="expression" dxfId="28" priority="2534">
      <formula>AND($N16&lt;&gt;"",ISNUMBER($N16),$N16&lt;=700)</formula>
    </cfRule>
  </conditionalFormatting>
  <conditionalFormatting sqref="D20">
    <cfRule type="expression" dxfId="27" priority="2506">
      <formula>AND($N20&lt;&gt;"",ISNUMBER($N20),$N20&lt;=700)</formula>
    </cfRule>
  </conditionalFormatting>
  <conditionalFormatting sqref="D21">
    <cfRule type="expression" dxfId="26" priority="2105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2">
    <tabColor rgb="FFFFFF00"/>
  </sheetPr>
  <dimension ref="A1:IW63"/>
  <sheetViews>
    <sheetView topLeftCell="A5" zoomScaleNormal="100" workbookViewId="0">
      <selection activeCell="D10" sqref="D10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5" t="s">
        <v>0</v>
      </c>
      <c r="F2" s="245"/>
      <c r="G2" s="245"/>
      <c r="H2" s="245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5"/>
      <c r="F3" s="245"/>
      <c r="G3" s="245"/>
      <c r="H3" s="245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6">
        <f ca="1">TODAY()</f>
        <v>46294</v>
      </c>
      <c r="C7" s="246"/>
      <c r="D7" s="246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7" t="s">
        <v>9</v>
      </c>
      <c r="B9" s="247"/>
      <c r="C9" s="211" t="s">
        <v>3210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7" t="s">
        <v>11</v>
      </c>
      <c r="B10" s="247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8" t="s">
        <v>15</v>
      </c>
      <c r="B11" s="248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3" t="s">
        <v>17</v>
      </c>
      <c r="D13" s="233" t="s">
        <v>18</v>
      </c>
      <c r="E13" s="241" t="s">
        <v>19</v>
      </c>
      <c r="F13" s="241"/>
      <c r="G13" s="28" t="s">
        <v>20</v>
      </c>
      <c r="H13" s="29" t="s">
        <v>21</v>
      </c>
      <c r="I13" s="249">
        <f ca="1">TODAY()</f>
        <v>46294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/>
      <c r="C14" s="212"/>
      <c r="D14" s="35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4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/>
      <c r="C15" s="212"/>
      <c r="D15" s="35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4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35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4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4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4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35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4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4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35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4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4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4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4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4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4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3" t="s">
        <v>24</v>
      </c>
      <c r="B28" s="243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3" t="s">
        <v>25</v>
      </c>
      <c r="B29" s="243"/>
      <c r="C29" s="69"/>
      <c r="D29" s="70"/>
      <c r="E29" s="60"/>
      <c r="F29" s="71"/>
      <c r="G29" s="64"/>
      <c r="H29" s="66"/>
      <c r="I29" s="72"/>
      <c r="J29" s="72"/>
      <c r="K29" s="244">
        <f>D28*E28+D28*K28+D27*E27+D29*E29</f>
        <v>0</v>
      </c>
      <c r="L29" s="244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2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하나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25" priority="422">
      <formula>AND($N14&lt;&gt;"",ISNUMBER($N14),$N14&lt;=700)</formula>
    </cfRule>
  </conditionalFormatting>
  <conditionalFormatting sqref="D15">
    <cfRule type="expression" dxfId="24" priority="421">
      <formula>AND($N15&lt;&gt;"",ISNUMBER($N15),$N15&lt;=700)</formula>
    </cfRule>
  </conditionalFormatting>
  <conditionalFormatting sqref="D18">
    <cfRule type="expression" dxfId="23" priority="420">
      <formula>AND($N18&lt;&gt;"",ISNUMBER($N18),$N18&lt;=700)</formula>
    </cfRule>
  </conditionalFormatting>
  <conditionalFormatting sqref="D19">
    <cfRule type="expression" dxfId="22" priority="419">
      <formula>AND($N19&lt;&gt;"",ISNUMBER($N19),$N19&lt;=700)</formula>
    </cfRule>
  </conditionalFormatting>
  <conditionalFormatting sqref="D22">
    <cfRule type="expression" dxfId="21" priority="418">
      <formula>AND($N22&lt;&gt;"",ISNUMBER($N22),$N22&lt;=700)</formula>
    </cfRule>
  </conditionalFormatting>
  <conditionalFormatting sqref="D23">
    <cfRule type="expression" dxfId="20" priority="417">
      <formula>AND($N23&lt;&gt;"",ISNUMBER($N23),$N23&lt;=700)</formula>
    </cfRule>
  </conditionalFormatting>
  <conditionalFormatting sqref="D24">
    <cfRule type="expression" dxfId="19" priority="416">
      <formula>AND($N24&lt;&gt;"",ISNUMBER($N24),$N24&lt;=700)</formula>
    </cfRule>
  </conditionalFormatting>
  <conditionalFormatting sqref="D25">
    <cfRule type="expression" dxfId="18" priority="415">
      <formula>AND($N25&lt;&gt;"",ISNUMBER($N25),$N25&lt;=700)</formula>
    </cfRule>
  </conditionalFormatting>
  <conditionalFormatting sqref="D26">
    <cfRule type="expression" dxfId="17" priority="414">
      <formula>AND($N26&lt;&gt;"",ISNUMBER($N26),$N26&lt;=700)</formula>
    </cfRule>
  </conditionalFormatting>
  <conditionalFormatting sqref="D28">
    <cfRule type="expression" dxfId="16" priority="412">
      <formula>AND($N28&lt;&gt;"",ISNUMBER($N28),$N28&lt;=700)</formula>
    </cfRule>
  </conditionalFormatting>
  <conditionalFormatting sqref="D27">
    <cfRule type="expression" dxfId="15" priority="411">
      <formula>AND($N27&lt;&gt;"",ISNUMBER($N27),$N27&lt;=700)</formula>
    </cfRule>
  </conditionalFormatting>
  <conditionalFormatting sqref="D16:D25">
    <cfRule type="expression" dxfId="14" priority="395">
      <formula>AND($N16&lt;&gt;"",ISNUMBER($N16),$N16&lt;=700)</formula>
    </cfRule>
  </conditionalFormatting>
  <conditionalFormatting sqref="D16">
    <cfRule type="expression" dxfId="13" priority="365">
      <formula>AND($N16&lt;&gt;"",ISNUMBER($N16),$N16&lt;=700)</formula>
    </cfRule>
  </conditionalFormatting>
  <conditionalFormatting sqref="D20">
    <cfRule type="expression" dxfId="12" priority="337">
      <formula>AND($N20&lt;&gt;"",ISNUMBER($N20),$N20&lt;=700)</formula>
    </cfRule>
  </conditionalFormatting>
  <conditionalFormatting sqref="D16:D24">
    <cfRule type="expression" dxfId="11" priority="305">
      <formula>AND($N16&lt;&gt;"",ISNUMBER($N16),$N16&lt;=700)</formula>
    </cfRule>
  </conditionalFormatting>
  <conditionalFormatting sqref="D21">
    <cfRule type="expression" dxfId="10" priority="132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J42"/>
  <sheetViews>
    <sheetView zoomScaleNormal="100" workbookViewId="0">
      <selection activeCell="F8" sqref="F8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50" t="s">
        <v>28</v>
      </c>
      <c r="D1" s="250"/>
      <c r="E1" s="250"/>
      <c r="F1" s="250"/>
      <c r="G1" s="250"/>
      <c r="H1" s="250"/>
    </row>
    <row r="2" spans="1:10" ht="15" customHeight="1">
      <c r="I2" s="251" t="str">
        <f ca="1">"TRADE DATE:  "&amp;TEXT('딜티켓_1 '!B7,"yyyy-mm-dd")</f>
        <v>TRADE DATE:  2026-09-29</v>
      </c>
      <c r="J2" s="251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 t="s">
        <v>3187</v>
      </c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1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1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2" t="s">
        <v>38</v>
      </c>
      <c r="B11" s="252" t="str">
        <f>$B$5&amp;" 매수"</f>
        <v>키움투자자산운용㈜ 매수</v>
      </c>
      <c r="C11" s="252"/>
      <c r="D11" s="252" t="s">
        <v>39</v>
      </c>
      <c r="E11" s="252" t="str">
        <f>$B$5&amp;" 매도"</f>
        <v>키움투자자산운용㈜ 매도</v>
      </c>
      <c r="F11" s="252"/>
      <c r="G11" s="252" t="s">
        <v>40</v>
      </c>
      <c r="H11" s="252" t="s">
        <v>41</v>
      </c>
      <c r="I11" s="252" t="s">
        <v>42</v>
      </c>
      <c r="J11" s="252" t="s">
        <v>43</v>
      </c>
    </row>
    <row r="12" spans="1:10" ht="15" customHeight="1">
      <c r="A12" s="252"/>
      <c r="B12" s="106" t="s">
        <v>44</v>
      </c>
      <c r="C12" s="106" t="s">
        <v>45</v>
      </c>
      <c r="D12" s="252"/>
      <c r="E12" s="106" t="s">
        <v>44</v>
      </c>
      <c r="F12" s="106" t="s">
        <v>45</v>
      </c>
      <c r="G12" s="252"/>
      <c r="H12" s="252"/>
      <c r="I12" s="252"/>
      <c r="J12" s="252"/>
    </row>
    <row r="13" spans="1:10" ht="15" customHeight="1">
      <c r="A13" s="107" t="str">
        <f>IF(OR('딜티켓_1 '!$J$14="",'딜티켓_1 '!$J$14=0),"",'딜티켓_1 '!J14)</f>
        <v/>
      </c>
      <c r="B13" s="107" t="str">
        <f>IF(OR('딜티켓_1 '!$J$14="",'딜티켓_1 '!$J$14=0),"",IF('딜티켓_1 '!B14="S",'딜티켓_1 '!C14,"KRW"))</f>
        <v/>
      </c>
      <c r="C13" s="108" t="str">
        <f>IF(OR('딜티켓_1 '!$J$14="",'딜티켓_1 '!$J$14=0),"",IF('딜티켓_1 '!B14="S",'딜티켓_1 '!D14,INT('딜티켓_1 '!D14*'딜티켓_1 '!H14)))</f>
        <v/>
      </c>
      <c r="D13" s="107" t="str">
        <f>IF(OR('딜티켓_1 '!$J$14="",'딜티켓_1 '!$J$14=0),"",'딜티켓_1 '!H14)</f>
        <v/>
      </c>
      <c r="E13" s="107" t="str">
        <f>IF(OR('딜티켓_1 '!$J$14="",'딜티켓_1 '!$J$14=0),"",IF('딜티켓_1 '!B14="B",'딜티켓_1 '!C14,"KRW"))</f>
        <v/>
      </c>
      <c r="F13" s="108" t="str">
        <f>IF(OR('딜티켓_1 '!$J$14="",'딜티켓_1 '!$J$14=0),"",IF('딜티켓_1 '!B14="B",'딜티켓_1 '!D14,INT('딜티켓_1 '!D14*'딜티켓_1 '!H14)))</f>
        <v/>
      </c>
      <c r="G13" s="109" t="str">
        <f>IF(OR('딜티켓_1 '!$J$14="",'딜티켓_1 '!$J$14=0),"",IF('딜티켓_1 '!K14="","",'딜티켓_1 '!K14))</f>
        <v/>
      </c>
      <c r="H13" s="224" t="s">
        <v>3188</v>
      </c>
      <c r="I13" s="225" t="str">
        <f ca="1">'딜티켓_1 '!I14</f>
        <v/>
      </c>
      <c r="J13" s="222"/>
    </row>
    <row r="14" spans="1:10" ht="15" customHeight="1">
      <c r="A14" s="107" t="str">
        <f>IF(OR('딜티켓_1 '!$J$15="",'딜티켓_1 '!$J$15=0),"",'딜티켓_1 '!J15)</f>
        <v/>
      </c>
      <c r="B14" s="107" t="str">
        <f>IF(OR('딜티켓_1 '!$J$15="",'딜티켓_1 '!$J$15=0),"",IF('딜티켓_1 '!B15="S",'딜티켓_1 '!C15,"KRW"))</f>
        <v/>
      </c>
      <c r="C14" s="108" t="str">
        <f>IF(OR('딜티켓_1 '!$J$15="",'딜티켓_1 '!$J$15=0),"",IF('딜티켓_1 '!B15="S",'딜티켓_1 '!D15,INT('딜티켓_1 '!D15*'딜티켓_1 '!H15)))</f>
        <v/>
      </c>
      <c r="D14" s="107" t="str">
        <f>IF(OR('딜티켓_1 '!$J$15="",'딜티켓_1 '!$J$15=0),"",'딜티켓_1 '!H15)</f>
        <v/>
      </c>
      <c r="E14" s="107" t="str">
        <f>IF(OR('딜티켓_1 '!$J$15="",'딜티켓_1 '!$J$15=0),"",IF('딜티켓_1 '!B15="B",'딜티켓_1 '!C15,"KRW"))</f>
        <v/>
      </c>
      <c r="F14" s="108" t="str">
        <f>IF(OR('딜티켓_1 '!$J$15="",'딜티켓_1 '!$J$15=0),"",IF('딜티켓_1 '!B15="B",'딜티켓_1 '!D15,INT('딜티켓_1 '!D15*'딜티켓_1 '!H15)))</f>
        <v/>
      </c>
      <c r="G14" s="109" t="str">
        <f>IF(OR('딜티켓_1 '!$J$15="",'딜티켓_1 '!$J$15=0),"",IF('딜티켓_1 '!K15="","",'딜티켓_1 '!K15))</f>
        <v/>
      </c>
      <c r="H14" s="224" t="s">
        <v>3188</v>
      </c>
      <c r="I14" s="225" t="str">
        <f ca="1">'딜티켓_1 '!I15</f>
        <v/>
      </c>
      <c r="J14" s="222"/>
    </row>
    <row r="15" spans="1:10" ht="15" customHeight="1">
      <c r="A15" s="107" t="str">
        <f>IF(OR('딜티켓_1 '!$J$16="",'딜티켓_1 '!$J$16=0),"",'딜티켓_1 '!J16)</f>
        <v/>
      </c>
      <c r="B15" s="107" t="str">
        <f>IF(OR('딜티켓_1 '!$J$16="",'딜티켓_1 '!$J$16=0),"",IF('딜티켓_1 '!B16="S",'딜티켓_1 '!C16,"KRW"))</f>
        <v/>
      </c>
      <c r="C15" s="108" t="str">
        <f>IF(OR('딜티켓_1 '!$J$16="",'딜티켓_1 '!$J$16=0),"",IF('딜티켓_1 '!B16="S",'딜티켓_1 '!D16,INT('딜티켓_1 '!D16*'딜티켓_1 '!H16)))</f>
        <v/>
      </c>
      <c r="D15" s="107" t="str">
        <f>IF(OR('딜티켓_1 '!$J$16="",'딜티켓_1 '!$J$16=0),"",'딜티켓_1 '!H16)</f>
        <v/>
      </c>
      <c r="E15" s="107" t="str">
        <f>IF(OR('딜티켓_1 '!$J$16="",'딜티켓_1 '!$J$16=0),"",IF('딜티켓_1 '!B16="B",'딜티켓_1 '!C16,"KRW"))</f>
        <v/>
      </c>
      <c r="F15" s="108" t="str">
        <f>IF(OR('딜티켓_1 '!$J$16="",'딜티켓_1 '!$J$16=0),"",IF('딜티켓_1 '!B16="B",'딜티켓_1 '!D16,INT('딜티켓_1 '!D16*'딜티켓_1 '!H16)))</f>
        <v/>
      </c>
      <c r="G15" s="109" t="str">
        <f>IF(OR('딜티켓_1 '!$J$16="",'딜티켓_1 '!$J$16=0),"",IF('딜티켓_1 '!K16="","",'딜티켓_1 '!K16))</f>
        <v/>
      </c>
      <c r="H15" s="222"/>
      <c r="I15" s="225" t="str">
        <f ca="1">'딜티켓_1 '!I16</f>
        <v/>
      </c>
      <c r="J15" s="222"/>
    </row>
    <row r="16" spans="1:10" ht="15" customHeight="1">
      <c r="A16" s="107" t="str">
        <f>IF(OR('딜티켓_1 '!$J$17="",'딜티켓_1 '!$J$17=0),"",'딜티켓_1 '!J17)</f>
        <v/>
      </c>
      <c r="B16" s="107" t="str">
        <f>IF(OR('딜티켓_1 '!$J$17="",'딜티켓_1 '!$J$17=0),"",IF('딜티켓_1 '!B17="S",'딜티켓_1 '!C17,"KRW"))</f>
        <v/>
      </c>
      <c r="C16" s="108" t="str">
        <f>IF(OR('딜티켓_1 '!$J$17="",'딜티켓_1 '!$J$17=0),"",IF('딜티켓_1 '!B17="S",'딜티켓_1 '!D17,INT('딜티켓_1 '!D17*'딜티켓_1 '!H17)))</f>
        <v/>
      </c>
      <c r="D16" s="107" t="str">
        <f>IF(OR('딜티켓_1 '!$J$17="",'딜티켓_1 '!$J$17=0),"",'딜티켓_1 '!H17)</f>
        <v/>
      </c>
      <c r="E16" s="107" t="str">
        <f>IF(OR('딜티켓_1 '!$J$17="",'딜티켓_1 '!$J$17=0),"",IF('딜티켓_1 '!B17="B",'딜티켓_1 '!C17,"KRW"))</f>
        <v/>
      </c>
      <c r="F16" s="108" t="str">
        <f>IF(OR('딜티켓_1 '!$J$17="",'딜티켓_1 '!$J$17=0),"",IF('딜티켓_1 '!B17="B",'딜티켓_1 '!D17,INT('딜티켓_1 '!D17*'딜티켓_1 '!H17)))</f>
        <v/>
      </c>
      <c r="G16" s="109" t="str">
        <f>IF(OR('딜티켓_1 '!$J$17="",'딜티켓_1 '!$J$17=0),"",IF('딜티켓_1 '!K17="","",'딜티켓_1 '!K17))</f>
        <v/>
      </c>
      <c r="H16" s="222"/>
      <c r="I16" s="225" t="str">
        <f ca="1">'딜티켓_1 '!I17</f>
        <v/>
      </c>
      <c r="J16" s="222"/>
    </row>
    <row r="17" spans="1:10" ht="15" customHeight="1">
      <c r="A17" s="107" t="str">
        <f>IF(OR('딜티켓_1 '!$J$18="",'딜티켓_1 '!$J$18=0),"",'딜티켓_1 '!J18)</f>
        <v/>
      </c>
      <c r="B17" s="107" t="str">
        <f>IF(OR('딜티켓_1 '!$J$18="",'딜티켓_1 '!$J$18=0),"",IF('딜티켓_1 '!B18="S",'딜티켓_1 '!C18,"KRW"))</f>
        <v/>
      </c>
      <c r="C17" s="108" t="str">
        <f>IF(OR('딜티켓_1 '!$J$18="",'딜티켓_1 '!$J$18=0),"",IF('딜티켓_1 '!B18="S",'딜티켓_1 '!D18,INT('딜티켓_1 '!D18*'딜티켓_1 '!H18)))</f>
        <v/>
      </c>
      <c r="D17" s="107" t="str">
        <f>IF(OR('딜티켓_1 '!$J$18="",'딜티켓_1 '!$J$18=0),"",'딜티켓_1 '!H18)</f>
        <v/>
      </c>
      <c r="E17" s="107" t="str">
        <f>IF(OR('딜티켓_1 '!$J$18="",'딜티켓_1 '!$J$18=0),"",IF('딜티켓_1 '!B18="B",'딜티켓_1 '!C18,"KRW"))</f>
        <v/>
      </c>
      <c r="F17" s="108" t="str">
        <f>IF(OR('딜티켓_1 '!$J$18="",'딜티켓_1 '!$J$18=0),"",IF('딜티켓_1 '!B18="B",'딜티켓_1 '!D18,INT('딜티켓_1 '!D18*'딜티켓_1 '!H18)))</f>
        <v/>
      </c>
      <c r="G17" s="109" t="str">
        <f>IF(OR('딜티켓_1 '!$J$18="",'딜티켓_1 '!$J$18=0),"",IF('딜티켓_1 '!K18="","",'딜티켓_1 '!K18))</f>
        <v/>
      </c>
      <c r="H17" s="222"/>
      <c r="I17" s="225" t="str">
        <f ca="1">'딜티켓_1 '!I18</f>
        <v/>
      </c>
      <c r="J17" s="222"/>
    </row>
    <row r="18" spans="1:10" ht="15" customHeight="1">
      <c r="A18" s="107" t="str">
        <f>IF(OR('딜티켓_1 '!$J$19="",'딜티켓_1 '!$J$19=0),"",'딜티켓_1 '!J19)</f>
        <v/>
      </c>
      <c r="B18" s="107" t="str">
        <f>IF(OR('딜티켓_1 '!$J$19="",'딜티켓_1 '!$J$19=0),"",IF('딜티켓_1 '!B19="S",'딜티켓_1 '!C19,"KRW"))</f>
        <v/>
      </c>
      <c r="C18" s="108" t="str">
        <f>IF(OR('딜티켓_1 '!$J$19="",'딜티켓_1 '!$J$19=0),"",IF('딜티켓_1 '!B19="S",'딜티켓_1 '!D19,INT('딜티켓_1 '!D19*'딜티켓_1 '!H19)))</f>
        <v/>
      </c>
      <c r="D18" s="107" t="str">
        <f>IF(OR('딜티켓_1 '!$J$19="",'딜티켓_1 '!$J$19=0),"",'딜티켓_1 '!H19)</f>
        <v/>
      </c>
      <c r="E18" s="107" t="str">
        <f>IF(OR('딜티켓_1 '!$J$19="",'딜티켓_1 '!$J$19=0),"",IF('딜티켓_1 '!B19="B",'딜티켓_1 '!C19,"KRW"))</f>
        <v/>
      </c>
      <c r="F18" s="108" t="str">
        <f>IF(OR('딜티켓_1 '!$J$19="",'딜티켓_1 '!$J$19=0),"",IF('딜티켓_1 '!B19="B",'딜티켓_1 '!D19,INT('딜티켓_1 '!D19*'딜티켓_1 '!H19)))</f>
        <v/>
      </c>
      <c r="G18" s="109" t="str">
        <f>IF(OR('딜티켓_1 '!$J$19="",'딜티켓_1 '!$J$19=0),"",IF('딜티켓_1 '!K19="","",'딜티켓_1 '!K19))</f>
        <v/>
      </c>
      <c r="H18" s="222"/>
      <c r="I18" s="225" t="str">
        <f ca="1">'딜티켓_1 '!I19</f>
        <v/>
      </c>
      <c r="J18" s="222"/>
    </row>
    <row r="19" spans="1:10" ht="15" customHeight="1">
      <c r="A19" s="107" t="str">
        <f>IF(OR('딜티켓_1 '!$J$20="",'딜티켓_1 '!$J$20=0),"",'딜티켓_1 '!J20)</f>
        <v/>
      </c>
      <c r="B19" s="107" t="str">
        <f>IF(OR('딜티켓_1 '!$J$20="",'딜티켓_1 '!$J$20=0),"",IF('딜티켓_1 '!B20="S",'딜티켓_1 '!C20,"KRW"))</f>
        <v/>
      </c>
      <c r="C19" s="108" t="str">
        <f>IF(OR('딜티켓_1 '!$J$20="",'딜티켓_1 '!$J$20=0),"",IF('딜티켓_1 '!B20="S",'딜티켓_1 '!D20,INT('딜티켓_1 '!D20*'딜티켓_1 '!H20)))</f>
        <v/>
      </c>
      <c r="D19" s="107" t="str">
        <f>IF(OR('딜티켓_1 '!$J$20="",'딜티켓_1 '!$J$20=0),"",'딜티켓_1 '!H20)</f>
        <v/>
      </c>
      <c r="E19" s="107" t="str">
        <f>IF(OR('딜티켓_1 '!$J$20="",'딜티켓_1 '!$J$20=0),"",IF('딜티켓_1 '!B20="B",'딜티켓_1 '!C20,"KRW"))</f>
        <v/>
      </c>
      <c r="F19" s="108" t="str">
        <f>IF(OR('딜티켓_1 '!$J$20="",'딜티켓_1 '!$J$20=0),"",IF('딜티켓_1 '!B20="B",'딜티켓_1 '!D20,INT('딜티켓_1 '!D20*'딜티켓_1 '!H20)))</f>
        <v/>
      </c>
      <c r="G19" s="109" t="str">
        <f>IF(OR('딜티켓_1 '!$J$20="",'딜티켓_1 '!$J$20=0),"",IF('딜티켓_1 '!K20="","",'딜티켓_1 '!K20))</f>
        <v/>
      </c>
      <c r="H19" s="222"/>
      <c r="I19" s="225" t="str">
        <f ca="1">'딜티켓_1 '!I20</f>
        <v/>
      </c>
      <c r="J19" s="222"/>
    </row>
    <row r="20" spans="1:10" ht="15" customHeight="1">
      <c r="A20" s="107" t="str">
        <f>IF(OR('딜티켓_1 '!$J$21="",'딜티켓_1 '!$J$21=0),"",'딜티켓_1 '!J21)</f>
        <v/>
      </c>
      <c r="B20" s="107" t="str">
        <f>IF(OR('딜티켓_1 '!$J$21="",'딜티켓_1 '!$J$21=0),"",IF('딜티켓_1 '!B21="S",'딜티켓_1 '!C21,"KRW"))</f>
        <v/>
      </c>
      <c r="C20" s="108" t="str">
        <f>IF(OR('딜티켓_1 '!$J$21="",'딜티켓_1 '!$J$21=0),"",IF('딜티켓_1 '!B21="S",'딜티켓_1 '!D21,INT('딜티켓_1 '!D21*'딜티켓_1 '!H21)))</f>
        <v/>
      </c>
      <c r="D20" s="107" t="str">
        <f>IF(OR('딜티켓_1 '!$J$21="",'딜티켓_1 '!$J$21=0),"",'딜티켓_1 '!H21)</f>
        <v/>
      </c>
      <c r="E20" s="107" t="str">
        <f>IF(OR('딜티켓_1 '!$J$21="",'딜티켓_1 '!$J$21=0),"",IF('딜티켓_1 '!B21="B",'딜티켓_1 '!C21,"KRW"))</f>
        <v/>
      </c>
      <c r="F20" s="108" t="str">
        <f>IF(OR('딜티켓_1 '!$J$21="",'딜티켓_1 '!$J$21=0),"",IF('딜티켓_1 '!B21="B",'딜티켓_1 '!D21,INT('딜티켓_1 '!D21*'딜티켓_1 '!H21)))</f>
        <v/>
      </c>
      <c r="G20" s="109" t="str">
        <f>IF(OR('딜티켓_1 '!$J$21="",'딜티켓_1 '!$J$21=0),"",IF('딜티켓_1 '!K21="","",'딜티켓_1 '!K21))</f>
        <v/>
      </c>
      <c r="H20" s="222"/>
      <c r="I20" s="225" t="str">
        <f ca="1">'딜티켓_1 '!I21</f>
        <v/>
      </c>
      <c r="J20" s="222"/>
    </row>
    <row r="21" spans="1:10" ht="15" customHeight="1">
      <c r="A21" s="107" t="str">
        <f>IF(OR('딜티켓_1 '!$J$22="",'딜티켓_1 '!$J$22=0),"",'딜티켓_1 '!J22)</f>
        <v/>
      </c>
      <c r="B21" s="107" t="str">
        <f>IF(OR('딜티켓_1 '!$J$22="",'딜티켓_1 '!$J$22=0),"",IF('딜티켓_1 '!B22="S",'딜티켓_1 '!C22,"KRW"))</f>
        <v/>
      </c>
      <c r="C21" s="108" t="str">
        <f>IF(OR('딜티켓_1 '!$J$22="",'딜티켓_1 '!$J$22=0),"",IF('딜티켓_1 '!B22="S",'딜티켓_1 '!D22,INT('딜티켓_1 '!D22*'딜티켓_1 '!H22)))</f>
        <v/>
      </c>
      <c r="D21" s="107" t="str">
        <f>IF(OR('딜티켓_1 '!$J$22="",'딜티켓_1 '!$J$22=0),"",'딜티켓_1 '!H22)</f>
        <v/>
      </c>
      <c r="E21" s="107" t="str">
        <f>IF(OR('딜티켓_1 '!$J$22="",'딜티켓_1 '!$J$22=0),"",IF('딜티켓_1 '!B22="B",'딜티켓_1 '!C22,"KRW"))</f>
        <v/>
      </c>
      <c r="F21" s="108" t="str">
        <f>IF(OR('딜티켓_1 '!$J$22="",'딜티켓_1 '!$J$22=0),"",IF('딜티켓_1 '!B22="B",'딜티켓_1 '!D22,INT('딜티켓_1 '!D22*'딜티켓_1 '!H22)))</f>
        <v/>
      </c>
      <c r="G21" s="109" t="str">
        <f>IF(OR('딜티켓_1 '!$J$22="",'딜티켓_1 '!$J$22=0),"",IF('딜티켓_1 '!K22="","",'딜티켓_1 '!K22))</f>
        <v/>
      </c>
      <c r="H21" s="222"/>
      <c r="I21" s="225" t="str">
        <f ca="1">'딜티켓_1 '!I22</f>
        <v/>
      </c>
      <c r="J21" s="222"/>
    </row>
    <row r="22" spans="1:10" ht="15" customHeight="1">
      <c r="A22" s="107" t="str">
        <f>IF(OR('딜티켓_1 '!$J$23="",'딜티켓_1 '!$J$23=0),"",'딜티켓_1 '!J23)</f>
        <v/>
      </c>
      <c r="B22" s="107" t="str">
        <f>IF(OR('딜티켓_1 '!$J$23="",'딜티켓_1 '!$J$23=0),"",IF('딜티켓_1 '!B23="S",'딜티켓_1 '!C23,"KRW"))</f>
        <v/>
      </c>
      <c r="C22" s="108" t="str">
        <f>IF(OR('딜티켓_1 '!$J$23="",'딜티켓_1 '!$J$23=0),"",IF('딜티켓_1 '!B23="S",'딜티켓_1 '!D23,INT('딜티켓_1 '!D23*'딜티켓_1 '!H23)))</f>
        <v/>
      </c>
      <c r="D22" s="107" t="str">
        <f>IF(OR('딜티켓_1 '!$J$23="",'딜티켓_1 '!$J$23=0),"",'딜티켓_1 '!H23)</f>
        <v/>
      </c>
      <c r="E22" s="107" t="str">
        <f>IF(OR('딜티켓_1 '!$J$23="",'딜티켓_1 '!$J$23=0),"",IF('딜티켓_1 '!B23="B",'딜티켓_1 '!C23,"KRW"))</f>
        <v/>
      </c>
      <c r="F22" s="108" t="str">
        <f>IF(OR('딜티켓_1 '!$J$23="",'딜티켓_1 '!$J$23=0),"",IF('딜티켓_1 '!B23="B",'딜티켓_1 '!D23,INT('딜티켓_1 '!D23*'딜티켓_1 '!H23)))</f>
        <v/>
      </c>
      <c r="G22" s="109" t="str">
        <f>IF(OR('딜티켓_1 '!$J$23="",'딜티켓_1 '!$J$23=0),"",IF('딜티켓_1 '!K23="","",'딜티켓_1 '!K23))</f>
        <v/>
      </c>
      <c r="H22" s="222"/>
      <c r="I22" s="225" t="str">
        <f ca="1">'딜티켓_1 '!I23</f>
        <v/>
      </c>
      <c r="J22" s="222"/>
    </row>
    <row r="23" spans="1:10" ht="15" customHeight="1">
      <c r="A23" s="107" t="str">
        <f>IF(OR('딜티켓_1 '!$J$24="",'딜티켓_1 '!$J$24=0),"",'딜티켓_1 '!J24)</f>
        <v/>
      </c>
      <c r="B23" s="107" t="str">
        <f>IF(OR('딜티켓_1 '!$J$24="",'딜티켓_1 '!$J$24=0),"",IF('딜티켓_1 '!B24="S",'딜티켓_1 '!C24,"KRW"))</f>
        <v/>
      </c>
      <c r="C23" s="108" t="str">
        <f>IF(OR('딜티켓_1 '!$J$24="",'딜티켓_1 '!$J$24=0),"",IF('딜티켓_1 '!B24="S",'딜티켓_1 '!D24,INT('딜티켓_1 '!D24*'딜티켓_1 '!H24)))</f>
        <v/>
      </c>
      <c r="D23" s="107" t="str">
        <f>IF(OR('딜티켓_1 '!$J$24="",'딜티켓_1 '!$J$24=0),"",'딜티켓_1 '!H24)</f>
        <v/>
      </c>
      <c r="E23" s="107" t="str">
        <f>IF(OR('딜티켓_1 '!$J$24="",'딜티켓_1 '!$J$24=0),"",IF('딜티켓_1 '!B24="B",'딜티켓_1 '!C24,"KRW"))</f>
        <v/>
      </c>
      <c r="F23" s="108" t="str">
        <f>IF(OR('딜티켓_1 '!$J$24="",'딜티켓_1 '!$J$24=0),"",IF('딜티켓_1 '!B24="B",'딜티켓_1 '!D24,INT('딜티켓_1 '!D24*'딜티켓_1 '!H24)))</f>
        <v/>
      </c>
      <c r="G23" s="109" t="str">
        <f>IF(OR('딜티켓_1 '!$J$24="",'딜티켓_1 '!$J$24=0),"",IF('딜티켓_1 '!K24="","",'딜티켓_1 '!K24))</f>
        <v/>
      </c>
      <c r="H23" s="222"/>
      <c r="I23" s="107" t="str">
        <f>IF(OR('딜티켓_1 '!$J$24="",'딜티켓_1 '!$J$24=0),"",'딜티켓_1 '!I24)</f>
        <v/>
      </c>
      <c r="J23" s="222"/>
    </row>
    <row r="24" spans="1:10" ht="15" customHeight="1">
      <c r="A24" s="107" t="str">
        <f>IF(OR('딜티켓_1 '!$J$25="",'딜티켓_1 '!$J$25=0),"",'딜티켓_1 '!J25)</f>
        <v/>
      </c>
      <c r="B24" s="107" t="str">
        <f>IF(OR('딜티켓_1 '!$J$25="",'딜티켓_1 '!$J$25=0),"",IF('딜티켓_1 '!B25="S",'딜티켓_1 '!C25,"KRW"))</f>
        <v/>
      </c>
      <c r="C24" s="108" t="str">
        <f>IF(OR('딜티켓_1 '!$J$25="",'딜티켓_1 '!$J$25=0),"",IF('딜티켓_1 '!B25="S",'딜티켓_1 '!D25,INT('딜티켓_1 '!D25*'딜티켓_1 '!H25)))</f>
        <v/>
      </c>
      <c r="D24" s="107" t="str">
        <f>IF(OR('딜티켓_1 '!$J$25="",'딜티켓_1 '!$J$25=0),"",'딜티켓_1 '!H25)</f>
        <v/>
      </c>
      <c r="E24" s="107" t="str">
        <f>IF(OR('딜티켓_1 '!$J$25="",'딜티켓_1 '!$J$25=0),"",IF('딜티켓_1 '!B25="B",'딜티켓_1 '!C25,"KRW"))</f>
        <v/>
      </c>
      <c r="F24" s="108" t="str">
        <f>IF(OR('딜티켓_1 '!$J$25="",'딜티켓_1 '!$J$25=0),"",IF('딜티켓_1 '!B25="B",'딜티켓_1 '!D25,INT('딜티켓_1 '!D25*'딜티켓_1 '!H25)))</f>
        <v/>
      </c>
      <c r="G24" s="109" t="str">
        <f>IF(OR('딜티켓_1 '!$J$25="",'딜티켓_1 '!$J$25=0),"",IF('딜티켓_1 '!K25="","",'딜티켓_1 '!K25))</f>
        <v/>
      </c>
      <c r="H24" s="222"/>
      <c r="I24" s="107" t="str">
        <f>IF(OR('딜티켓_1 '!$J$25="",'딜티켓_1 '!$J$25=0),"",'딜티켓_1 '!I25)</f>
        <v/>
      </c>
      <c r="J24" s="222"/>
    </row>
    <row r="25" spans="1:10">
      <c r="J25" s="223"/>
    </row>
    <row r="26" spans="1:10">
      <c r="J26" s="223"/>
    </row>
    <row r="27" spans="1:10" ht="15" customHeight="1">
      <c r="A27" s="101" t="s">
        <v>3187</v>
      </c>
      <c r="E27" s="112" t="s">
        <v>27</v>
      </c>
    </row>
    <row r="28" spans="1:10" ht="15" customHeight="1">
      <c r="A28" s="111"/>
      <c r="E28" s="112"/>
    </row>
    <row r="31" spans="1:10" ht="15" customHeight="1">
      <c r="A31" s="113"/>
      <c r="B31" s="113"/>
      <c r="E31" s="113"/>
      <c r="F31" s="113"/>
    </row>
    <row r="32" spans="1:10" ht="15" customHeight="1">
      <c r="A32" s="112" t="s">
        <v>46</v>
      </c>
      <c r="E32" s="112" t="s">
        <v>46</v>
      </c>
    </row>
    <row r="34" spans="1:1" ht="15" customHeight="1">
      <c r="A34" s="114" t="s">
        <v>47</v>
      </c>
    </row>
    <row r="35" spans="1:1" ht="15" customHeight="1">
      <c r="A35" s="114" t="s">
        <v>48</v>
      </c>
    </row>
    <row r="36" spans="1:1" ht="15" customHeight="1">
      <c r="A36" s="114" t="s">
        <v>49</v>
      </c>
    </row>
    <row r="39" spans="1:1" ht="15" customHeight="1">
      <c r="A39" s="115"/>
    </row>
    <row r="40" spans="1:1" ht="15" customHeight="1">
      <c r="A40" s="116"/>
    </row>
    <row r="41" spans="1:1" ht="15" customHeight="1">
      <c r="A41" s="116"/>
    </row>
    <row r="42" spans="1:1" ht="15" customHeight="1">
      <c r="A42" s="116"/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9" priority="2">
      <formula>$A13&lt;&gt;""</formula>
    </cfRule>
  </conditionalFormatting>
  <pageMargins left="0.75" right="0.75" top="1" bottom="1" header="0.511811023622047" footer="0.511811023622047"/>
  <pageSetup scale="82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J41"/>
  <sheetViews>
    <sheetView zoomScaleNormal="100" workbookViewId="0">
      <selection activeCell="A21" sqref="A21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50" t="s">
        <v>28</v>
      </c>
      <c r="D1" s="250"/>
      <c r="E1" s="250"/>
      <c r="F1" s="250"/>
      <c r="G1" s="250"/>
      <c r="H1" s="250"/>
    </row>
    <row r="2" spans="1:10" ht="15" customHeight="1">
      <c r="I2" s="251" t="str">
        <f ca="1">"TRADE DATE:  "&amp;TEXT('딜티켓_1 '!B7,"yyyy-mm-dd")</f>
        <v>TRADE DATE:  2026-09-29</v>
      </c>
      <c r="J2" s="251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/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4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5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2" t="s">
        <v>38</v>
      </c>
      <c r="B11" s="252" t="str">
        <f>$B$5&amp;" 매수"</f>
        <v xml:space="preserve"> 매수</v>
      </c>
      <c r="C11" s="252"/>
      <c r="D11" s="252" t="s">
        <v>39</v>
      </c>
      <c r="E11" s="252" t="str">
        <f>$B$5&amp;" 매도"</f>
        <v xml:space="preserve"> 매도</v>
      </c>
      <c r="F11" s="252"/>
      <c r="G11" s="252" t="s">
        <v>40</v>
      </c>
      <c r="H11" s="252" t="s">
        <v>41</v>
      </c>
      <c r="I11" s="252" t="s">
        <v>42</v>
      </c>
      <c r="J11" s="252" t="s">
        <v>43</v>
      </c>
    </row>
    <row r="12" spans="1:10" ht="15" customHeight="1">
      <c r="A12" s="252"/>
      <c r="B12" s="106" t="s">
        <v>44</v>
      </c>
      <c r="C12" s="106" t="s">
        <v>45</v>
      </c>
      <c r="D12" s="252"/>
      <c r="E12" s="106" t="s">
        <v>44</v>
      </c>
      <c r="F12" s="106" t="s">
        <v>45</v>
      </c>
      <c r="G12" s="252"/>
      <c r="H12" s="252"/>
      <c r="I12" s="252"/>
      <c r="J12" s="252"/>
    </row>
    <row r="13" spans="1:10" ht="15" customHeight="1">
      <c r="A13" s="107"/>
      <c r="B13" s="107"/>
      <c r="C13" s="108"/>
      <c r="D13" s="107"/>
      <c r="E13" s="107"/>
      <c r="F13" s="108"/>
      <c r="G13" s="109"/>
      <c r="H13" s="110"/>
      <c r="I13" s="107"/>
      <c r="J13" s="110"/>
    </row>
    <row r="14" spans="1:10" ht="15" customHeight="1">
      <c r="A14" s="107"/>
      <c r="B14" s="107"/>
      <c r="C14" s="108"/>
      <c r="D14" s="107"/>
      <c r="E14" s="107"/>
      <c r="F14" s="108"/>
      <c r="G14" s="109"/>
      <c r="H14" s="110"/>
      <c r="I14" s="107"/>
      <c r="J14" s="110"/>
    </row>
    <row r="15" spans="1:10" ht="15" customHeight="1">
      <c r="A15" s="107"/>
      <c r="B15" s="107"/>
      <c r="C15" s="108"/>
      <c r="D15" s="107"/>
      <c r="E15" s="107"/>
      <c r="F15" s="108"/>
      <c r="G15" s="109"/>
      <c r="H15" s="110"/>
      <c r="I15" s="107"/>
      <c r="J15" s="110"/>
    </row>
    <row r="16" spans="1:10" ht="15" customHeight="1">
      <c r="A16" s="107"/>
      <c r="B16" s="107"/>
      <c r="C16" s="108"/>
      <c r="D16" s="107"/>
      <c r="E16" s="107"/>
      <c r="F16" s="108"/>
      <c r="G16" s="109"/>
      <c r="H16" s="110"/>
      <c r="I16" s="107"/>
      <c r="J16" s="110"/>
    </row>
    <row r="17" spans="1:10" ht="15" customHeight="1">
      <c r="A17" s="107"/>
      <c r="B17" s="107"/>
      <c r="C17" s="108"/>
      <c r="D17" s="107"/>
      <c r="E17" s="107"/>
      <c r="F17" s="108"/>
      <c r="G17" s="109"/>
      <c r="H17" s="110"/>
      <c r="I17" s="107"/>
      <c r="J17" s="110"/>
    </row>
    <row r="18" spans="1:10" ht="15" customHeight="1">
      <c r="A18" s="107"/>
      <c r="B18" s="107"/>
      <c r="C18" s="108"/>
      <c r="D18" s="107"/>
      <c r="E18" s="107"/>
      <c r="F18" s="108"/>
      <c r="G18" s="109"/>
      <c r="H18" s="110"/>
      <c r="I18" s="107"/>
      <c r="J18" s="110"/>
    </row>
    <row r="19" spans="1:10" ht="15" customHeight="1">
      <c r="A19" s="107"/>
      <c r="B19" s="107"/>
      <c r="C19" s="108"/>
      <c r="D19" s="107"/>
      <c r="E19" s="107"/>
      <c r="F19" s="108"/>
      <c r="G19" s="109"/>
      <c r="H19" s="110"/>
      <c r="I19" s="107"/>
      <c r="J19" s="110"/>
    </row>
    <row r="20" spans="1:10" ht="15" customHeight="1">
      <c r="A20" s="107"/>
      <c r="B20" s="107"/>
      <c r="C20" s="108"/>
      <c r="D20" s="107"/>
      <c r="E20" s="107"/>
      <c r="F20" s="108"/>
      <c r="G20" s="109"/>
      <c r="H20" s="110"/>
      <c r="I20" s="107"/>
      <c r="J20" s="110"/>
    </row>
    <row r="21" spans="1:10" ht="15" customHeight="1">
      <c r="A21" s="107"/>
      <c r="B21" s="107"/>
      <c r="C21" s="108"/>
      <c r="D21" s="107"/>
      <c r="E21" s="107"/>
      <c r="F21" s="108"/>
      <c r="G21" s="109"/>
      <c r="H21" s="110"/>
      <c r="I21" s="107"/>
      <c r="J21" s="110"/>
    </row>
    <row r="22" spans="1:10" ht="15" customHeight="1">
      <c r="A22" s="107"/>
      <c r="B22" s="107"/>
      <c r="C22" s="108"/>
      <c r="D22" s="107"/>
      <c r="E22" s="107"/>
      <c r="F22" s="108"/>
      <c r="G22" s="109"/>
      <c r="H22" s="110"/>
      <c r="I22" s="107"/>
      <c r="J22" s="110"/>
    </row>
    <row r="23" spans="1:10" ht="15" customHeight="1">
      <c r="A23" s="107"/>
      <c r="B23" s="107"/>
      <c r="C23" s="108"/>
      <c r="D23" s="107"/>
      <c r="E23" s="107"/>
      <c r="F23" s="108"/>
      <c r="G23" s="109"/>
      <c r="H23" s="110"/>
      <c r="I23" s="107"/>
      <c r="J23" s="110"/>
    </row>
    <row r="24" spans="1:10" ht="15" customHeight="1">
      <c r="A24" s="107"/>
      <c r="B24" s="107"/>
      <c r="C24" s="108"/>
      <c r="D24" s="107"/>
      <c r="E24" s="107"/>
      <c r="F24" s="108"/>
      <c r="G24" s="109"/>
      <c r="H24" s="110"/>
      <c r="I24" s="107"/>
      <c r="J24" s="110"/>
    </row>
    <row r="27" spans="1:10" ht="15" customHeight="1">
      <c r="A27" s="112">
        <f>$B$5</f>
        <v>0</v>
      </c>
      <c r="E27" s="112" t="s">
        <v>27</v>
      </c>
    </row>
    <row r="30" spans="1:10" ht="15" customHeight="1">
      <c r="A30" s="113"/>
      <c r="B30" s="113"/>
      <c r="E30" s="113"/>
      <c r="F30" s="113"/>
    </row>
    <row r="31" spans="1:10" ht="15" customHeight="1">
      <c r="A31" s="112" t="s">
        <v>46</v>
      </c>
      <c r="E31" s="112" t="s">
        <v>46</v>
      </c>
    </row>
    <row r="33" spans="1:1" ht="15" customHeight="1">
      <c r="A33" s="114" t="s">
        <v>47</v>
      </c>
    </row>
    <row r="34" spans="1:1" ht="15" customHeight="1">
      <c r="A34" s="114" t="s">
        <v>48</v>
      </c>
    </row>
    <row r="35" spans="1:1" ht="15" customHeight="1">
      <c r="A35" s="114" t="s">
        <v>49</v>
      </c>
    </row>
    <row r="38" spans="1:1" ht="15" customHeight="1">
      <c r="A38" s="115" t="s">
        <v>50</v>
      </c>
    </row>
    <row r="39" spans="1:1" ht="15" customHeight="1">
      <c r="A39" s="116" t="s">
        <v>51</v>
      </c>
    </row>
    <row r="40" spans="1:1" ht="15" customHeight="1">
      <c r="A40" s="116" t="s">
        <v>52</v>
      </c>
    </row>
    <row r="41" spans="1:1" ht="15" customHeight="1">
      <c r="A41" s="116" t="s">
        <v>53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8" priority="2">
      <formula>$A13&lt;&gt;""</formula>
    </cfRule>
  </conditionalFormatting>
  <pageMargins left="0.75" right="0.75" top="1" bottom="1" header="0.511811023622047" footer="0.511811023622047"/>
  <pageSetup scale="86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L41"/>
  <sheetViews>
    <sheetView showGridLines="0" zoomScaleNormal="100" workbookViewId="0">
      <selection activeCell="L23" sqref="L23"/>
    </sheetView>
  </sheetViews>
  <sheetFormatPr defaultColWidth="8.88671875" defaultRowHeight="13.5"/>
  <cols>
    <col min="1" max="1" width="9.33203125" style="117" customWidth="1"/>
    <col min="2" max="2" width="8.44140625" style="117" customWidth="1"/>
    <col min="3" max="3" width="15.109375" style="117" customWidth="1"/>
    <col min="4" max="5" width="8.44140625" style="117" customWidth="1"/>
    <col min="6" max="6" width="15.109375" style="117" customWidth="1"/>
    <col min="7" max="7" width="10.6640625" style="117" customWidth="1"/>
    <col min="8" max="9" width="12" style="117" customWidth="1"/>
    <col min="10" max="10" width="9.33203125" style="117" customWidth="1"/>
    <col min="11" max="16384" width="8.88671875" style="117"/>
  </cols>
  <sheetData>
    <row r="1" spans="1:10" ht="30" customHeight="1">
      <c r="A1" s="118" t="s">
        <v>27</v>
      </c>
      <c r="C1" s="266" t="s">
        <v>54</v>
      </c>
      <c r="D1" s="266"/>
      <c r="E1" s="266"/>
      <c r="F1" s="266"/>
      <c r="G1" s="266"/>
      <c r="H1" s="266"/>
    </row>
    <row r="2" spans="1:10">
      <c r="H2" s="267" t="s">
        <v>55</v>
      </c>
      <c r="I2" s="267"/>
      <c r="J2" s="119">
        <v>46260</v>
      </c>
    </row>
    <row r="3" spans="1:10" ht="4.5" customHeight="1">
      <c r="A3" s="120"/>
      <c r="B3" s="120"/>
      <c r="C3" s="120"/>
      <c r="D3" s="120"/>
      <c r="E3" s="120"/>
      <c r="F3" s="120"/>
      <c r="G3" s="120"/>
      <c r="H3" s="120"/>
      <c r="I3" s="120"/>
      <c r="J3" s="120"/>
    </row>
    <row r="4" spans="1:10" ht="15" customHeight="1">
      <c r="A4" s="121" t="s">
        <v>29</v>
      </c>
      <c r="B4" s="265" t="s">
        <v>27</v>
      </c>
      <c r="C4" s="265"/>
      <c r="D4" s="265"/>
      <c r="E4" s="265"/>
      <c r="F4" s="265"/>
      <c r="G4" s="120"/>
      <c r="H4" s="120"/>
      <c r="I4" s="120"/>
      <c r="J4" s="120"/>
    </row>
    <row r="5" spans="1:10" ht="15" customHeight="1">
      <c r="A5" s="121" t="s">
        <v>30</v>
      </c>
      <c r="B5" s="268" t="s">
        <v>3198</v>
      </c>
      <c r="C5" s="264"/>
      <c r="D5" s="264"/>
      <c r="E5" s="264"/>
      <c r="F5" s="264"/>
      <c r="G5" s="120"/>
      <c r="H5" s="120"/>
      <c r="I5" s="120"/>
      <c r="J5" s="120"/>
    </row>
    <row r="6" spans="1:10" ht="15" customHeight="1">
      <c r="A6" s="121" t="s">
        <v>31</v>
      </c>
      <c r="B6" s="265" t="s">
        <v>27</v>
      </c>
      <c r="C6" s="265"/>
      <c r="D6" s="265"/>
      <c r="E6" s="265"/>
      <c r="F6" s="265"/>
      <c r="G6" s="120"/>
      <c r="H6" s="120"/>
      <c r="I6" s="120"/>
      <c r="J6" s="120"/>
    </row>
    <row r="7" spans="1:10" ht="15" customHeight="1">
      <c r="A7" s="122" t="s">
        <v>32</v>
      </c>
      <c r="B7" s="264" t="s">
        <v>33</v>
      </c>
      <c r="C7" s="264"/>
      <c r="D7" s="264"/>
      <c r="E7" s="264"/>
      <c r="F7" s="264"/>
      <c r="G7" s="120"/>
      <c r="H7" s="120"/>
      <c r="I7" s="120"/>
      <c r="J7" s="120"/>
    </row>
    <row r="8" spans="1:10" ht="15" customHeight="1">
      <c r="A8" s="121" t="s">
        <v>34</v>
      </c>
      <c r="B8" s="265" t="s">
        <v>56</v>
      </c>
      <c r="C8" s="265"/>
      <c r="D8" s="265"/>
      <c r="E8" s="265"/>
      <c r="F8" s="265"/>
      <c r="G8" s="120"/>
      <c r="H8" s="120"/>
      <c r="I8" s="120"/>
      <c r="J8" s="120"/>
    </row>
    <row r="9" spans="1:10" ht="15" customHeight="1">
      <c r="A9" s="121" t="s">
        <v>36</v>
      </c>
      <c r="B9" s="265" t="s">
        <v>37</v>
      </c>
      <c r="C9" s="265"/>
      <c r="D9" s="265"/>
      <c r="E9" s="265"/>
      <c r="F9" s="265"/>
      <c r="G9" s="120"/>
      <c r="H9" s="120"/>
      <c r="I9" s="120"/>
      <c r="J9" s="120"/>
    </row>
    <row r="10" spans="1:10" ht="4.5" customHeight="1">
      <c r="A10" s="120"/>
      <c r="B10" s="120"/>
      <c r="C10" s="120"/>
      <c r="D10" s="120"/>
      <c r="E10" s="120"/>
      <c r="F10" s="120"/>
      <c r="G10" s="120"/>
      <c r="H10" s="120"/>
      <c r="I10" s="120"/>
      <c r="J10" s="120"/>
    </row>
    <row r="11" spans="1:10" ht="14.25" customHeight="1"/>
    <row r="12" spans="1:10" ht="15.75" customHeight="1">
      <c r="A12" s="258" t="s">
        <v>38</v>
      </c>
      <c r="B12" s="258" t="str">
        <f>$B$5&amp;" 매수"</f>
        <v>KB 자산운용 매수</v>
      </c>
      <c r="C12" s="258"/>
      <c r="D12" s="258" t="s">
        <v>39</v>
      </c>
      <c r="E12" s="258" t="str">
        <f>$B$5&amp;" 매도"</f>
        <v>KB 자산운용 매도</v>
      </c>
      <c r="F12" s="258"/>
      <c r="G12" s="258" t="s">
        <v>40</v>
      </c>
      <c r="H12" s="258" t="s">
        <v>41</v>
      </c>
      <c r="I12" s="258" t="s">
        <v>42</v>
      </c>
      <c r="J12" s="258" t="s">
        <v>43</v>
      </c>
    </row>
    <row r="13" spans="1:10" ht="15.75" customHeight="1">
      <c r="A13" s="258"/>
      <c r="B13" s="123" t="s">
        <v>44</v>
      </c>
      <c r="C13" s="123" t="s">
        <v>45</v>
      </c>
      <c r="D13" s="258"/>
      <c r="E13" s="123" t="s">
        <v>44</v>
      </c>
      <c r="F13" s="123" t="s">
        <v>45</v>
      </c>
      <c r="G13" s="258"/>
      <c r="H13" s="258"/>
      <c r="I13" s="258"/>
      <c r="J13" s="258"/>
    </row>
    <row r="14" spans="1:10" ht="15" customHeight="1">
      <c r="A14" s="124" t="s">
        <v>3197</v>
      </c>
      <c r="B14" s="124" t="s">
        <v>3192</v>
      </c>
      <c r="C14" s="125">
        <v>1242847.19</v>
      </c>
      <c r="D14" s="125">
        <v>1384.7</v>
      </c>
      <c r="E14" s="124" t="s">
        <v>58</v>
      </c>
      <c r="F14" s="125">
        <v>1720970503</v>
      </c>
      <c r="G14" s="126">
        <v>46260</v>
      </c>
      <c r="H14" s="124" t="s">
        <v>35</v>
      </c>
      <c r="I14" s="231" t="s">
        <v>3199</v>
      </c>
      <c r="J14" s="124"/>
    </row>
    <row r="15" spans="1:10" ht="15" customHeight="1">
      <c r="A15" s="124" t="s">
        <v>3197</v>
      </c>
      <c r="B15" s="124" t="s">
        <v>3193</v>
      </c>
      <c r="C15" s="125">
        <v>1840718830</v>
      </c>
      <c r="D15" s="125">
        <v>1481.05</v>
      </c>
      <c r="E15" s="124" t="s">
        <v>3192</v>
      </c>
      <c r="F15" s="125">
        <v>1242847.19</v>
      </c>
      <c r="G15" s="126">
        <v>46260</v>
      </c>
      <c r="H15" s="124" t="s">
        <v>59</v>
      </c>
      <c r="I15" s="231" t="s">
        <v>3199</v>
      </c>
      <c r="J15" s="124"/>
    </row>
    <row r="17" spans="1:12" ht="15.75" customHeight="1">
      <c r="A17" s="127" t="s">
        <v>60</v>
      </c>
    </row>
    <row r="18" spans="1:12" ht="15.75" customHeight="1">
      <c r="A18" s="123" t="s">
        <v>38</v>
      </c>
      <c r="B18" s="123" t="s">
        <v>61</v>
      </c>
      <c r="C18" s="123" t="s">
        <v>62</v>
      </c>
      <c r="D18" s="123" t="s">
        <v>63</v>
      </c>
      <c r="E18" s="123" t="s">
        <v>64</v>
      </c>
      <c r="F18" s="123" t="s">
        <v>65</v>
      </c>
      <c r="G18" s="123" t="s">
        <v>66</v>
      </c>
      <c r="H18" s="258" t="s">
        <v>67</v>
      </c>
      <c r="I18" s="258"/>
      <c r="J18" s="123" t="s">
        <v>68</v>
      </c>
    </row>
    <row r="19" spans="1:12" ht="15" customHeight="1">
      <c r="A19" s="124" t="s">
        <v>3197</v>
      </c>
      <c r="B19" s="124" t="s">
        <v>3192</v>
      </c>
      <c r="C19" s="125">
        <v>3197000</v>
      </c>
      <c r="D19" s="125">
        <v>1470.7</v>
      </c>
      <c r="E19" s="124" t="s">
        <v>58</v>
      </c>
      <c r="F19" s="125">
        <v>2873972537</v>
      </c>
      <c r="G19" s="124" t="s">
        <v>3196</v>
      </c>
      <c r="H19" s="257">
        <v>1954152.81</v>
      </c>
      <c r="I19" s="257"/>
      <c r="J19" s="126">
        <v>46696</v>
      </c>
    </row>
    <row r="21" spans="1:12" ht="15.75" customHeight="1">
      <c r="A21" s="127" t="s">
        <v>69</v>
      </c>
    </row>
    <row r="22" spans="1:12" ht="15.75" customHeight="1">
      <c r="A22" s="123" t="s">
        <v>38</v>
      </c>
      <c r="B22" s="123" t="s">
        <v>70</v>
      </c>
      <c r="C22" s="258" t="s">
        <v>71</v>
      </c>
      <c r="D22" s="258"/>
      <c r="E22" s="123" t="s">
        <v>72</v>
      </c>
      <c r="F22" s="259" t="s">
        <v>73</v>
      </c>
      <c r="G22" s="259"/>
      <c r="H22" s="258" t="s">
        <v>74</v>
      </c>
      <c r="I22" s="258"/>
      <c r="J22" s="258"/>
    </row>
    <row r="23" spans="1:12" ht="15.75" customHeight="1">
      <c r="A23" s="236" t="s">
        <v>3197</v>
      </c>
      <c r="B23" s="128">
        <v>46260</v>
      </c>
      <c r="C23" s="260" t="s">
        <v>3200</v>
      </c>
      <c r="D23" s="260"/>
      <c r="E23" s="236" t="s">
        <v>3201</v>
      </c>
      <c r="F23" s="261" t="s">
        <v>3202</v>
      </c>
      <c r="G23" s="262"/>
      <c r="H23" s="263">
        <v>119748327</v>
      </c>
      <c r="I23" s="263"/>
      <c r="J23" s="263"/>
      <c r="L23" s="129" t="s">
        <v>75</v>
      </c>
    </row>
    <row r="24" spans="1:12" ht="18.75" customHeight="1">
      <c r="L24" s="129" t="s">
        <v>76</v>
      </c>
    </row>
    <row r="26" spans="1:12" ht="14.25" customHeight="1">
      <c r="A26" s="130" t="str">
        <f>B5</f>
        <v>KB 자산운용</v>
      </c>
      <c r="E26" s="131" t="s">
        <v>27</v>
      </c>
    </row>
    <row r="27" spans="1:12" ht="14.25" customHeight="1">
      <c r="A27" s="131"/>
      <c r="E27" s="131"/>
    </row>
    <row r="28" spans="1:12" ht="24" customHeight="1">
      <c r="A28" s="132"/>
      <c r="B28" s="132"/>
      <c r="E28" s="254"/>
      <c r="F28" s="254"/>
      <c r="G28" s="254"/>
    </row>
    <row r="29" spans="1:12" ht="14.25" customHeight="1">
      <c r="A29" s="131" t="s">
        <v>46</v>
      </c>
      <c r="E29" s="131" t="s">
        <v>46</v>
      </c>
    </row>
    <row r="31" spans="1:12">
      <c r="A31" s="255" t="s">
        <v>77</v>
      </c>
      <c r="B31" s="255"/>
      <c r="C31" s="255"/>
      <c r="D31" s="255"/>
      <c r="E31" s="255"/>
      <c r="F31" s="255"/>
      <c r="G31" s="255"/>
      <c r="H31" s="255"/>
      <c r="I31" s="255"/>
      <c r="J31" s="255"/>
    </row>
    <row r="32" spans="1:12">
      <c r="A32" s="255" t="s">
        <v>78</v>
      </c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0">
      <c r="A33" s="255" t="s">
        <v>79</v>
      </c>
      <c r="B33" s="255"/>
      <c r="C33" s="255"/>
      <c r="D33" s="255"/>
      <c r="E33" s="255"/>
      <c r="F33" s="255"/>
      <c r="G33" s="255"/>
      <c r="H33" s="255"/>
      <c r="I33" s="255"/>
      <c r="J33" s="255"/>
    </row>
    <row r="36" spans="1:10">
      <c r="A36" s="256"/>
      <c r="B36" s="256"/>
      <c r="C36" s="256"/>
      <c r="D36" s="256"/>
      <c r="E36" s="256"/>
      <c r="F36" s="256"/>
      <c r="G36" s="256"/>
      <c r="H36" s="256"/>
      <c r="I36" s="256"/>
      <c r="J36" s="256"/>
    </row>
    <row r="37" spans="1:10">
      <c r="A37" s="253"/>
      <c r="B37" s="253"/>
      <c r="C37" s="253"/>
      <c r="D37" s="253"/>
      <c r="E37" s="253"/>
      <c r="F37" s="253"/>
      <c r="G37" s="253"/>
      <c r="H37" s="253"/>
      <c r="I37" s="253"/>
      <c r="J37" s="253"/>
    </row>
    <row r="38" spans="1:10">
      <c r="A38" s="253"/>
      <c r="B38" s="253"/>
      <c r="C38" s="253"/>
      <c r="D38" s="253"/>
      <c r="E38" s="253"/>
      <c r="F38" s="253"/>
      <c r="G38" s="253"/>
      <c r="H38" s="253"/>
      <c r="I38" s="253"/>
      <c r="J38" s="253"/>
    </row>
    <row r="39" spans="1:10">
      <c r="A39" s="253"/>
      <c r="B39" s="253"/>
      <c r="C39" s="253"/>
      <c r="D39" s="253"/>
      <c r="E39" s="253"/>
      <c r="F39" s="253"/>
      <c r="G39" s="253"/>
      <c r="H39" s="253"/>
      <c r="I39" s="253"/>
      <c r="J39" s="253"/>
    </row>
    <row r="40" spans="1:10">
      <c r="A40" s="253"/>
      <c r="B40" s="253"/>
      <c r="C40" s="253"/>
      <c r="D40" s="253"/>
      <c r="E40" s="253"/>
      <c r="F40" s="253"/>
      <c r="G40" s="253"/>
      <c r="H40" s="253"/>
      <c r="I40" s="253"/>
      <c r="J40" s="253"/>
    </row>
    <row r="41" spans="1:10">
      <c r="A41" s="253"/>
      <c r="B41" s="253"/>
      <c r="C41" s="253"/>
      <c r="D41" s="253"/>
      <c r="E41" s="253"/>
      <c r="F41" s="253"/>
      <c r="G41" s="253"/>
      <c r="H41" s="253"/>
      <c r="I41" s="253"/>
      <c r="J41" s="253"/>
    </row>
  </sheetData>
  <mergeCells count="34">
    <mergeCell ref="C1:H1"/>
    <mergeCell ref="H2:I2"/>
    <mergeCell ref="B4:F4"/>
    <mergeCell ref="B5:F5"/>
    <mergeCell ref="B6:F6"/>
    <mergeCell ref="B7:F7"/>
    <mergeCell ref="B8:F8"/>
    <mergeCell ref="B9:F9"/>
    <mergeCell ref="A12:A13"/>
    <mergeCell ref="B12:C12"/>
    <mergeCell ref="D12:D13"/>
    <mergeCell ref="E12:F12"/>
    <mergeCell ref="G12:G13"/>
    <mergeCell ref="H12:H13"/>
    <mergeCell ref="I12:I13"/>
    <mergeCell ref="J12:J13"/>
    <mergeCell ref="H18:I18"/>
    <mergeCell ref="H19:I19"/>
    <mergeCell ref="C22:D22"/>
    <mergeCell ref="F22:G22"/>
    <mergeCell ref="H22:J22"/>
    <mergeCell ref="C23:D23"/>
    <mergeCell ref="F23:G23"/>
    <mergeCell ref="H23:J23"/>
    <mergeCell ref="E28:G28"/>
    <mergeCell ref="A31:J31"/>
    <mergeCell ref="A32:J32"/>
    <mergeCell ref="A33:J33"/>
    <mergeCell ref="A36:J36"/>
    <mergeCell ref="A37:J37"/>
    <mergeCell ref="A38:J38"/>
    <mergeCell ref="A39:J39"/>
    <mergeCell ref="A40:J40"/>
    <mergeCell ref="A41:J41"/>
  </mergeCells>
  <phoneticPr fontId="10" type="noConversion"/>
  <pageMargins left="0.4" right="0.4" top="0.4" bottom="0.4" header="0.511811023622047" footer="0.511811023622047"/>
  <pageSetup paperSize="9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EAEAEA"/>
  </sheetPr>
  <dimension ref="A2:IW43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9" t="s">
        <v>28</v>
      </c>
      <c r="B2" s="269"/>
      <c r="C2" s="269"/>
      <c r="D2" s="269"/>
      <c r="E2" s="269"/>
      <c r="F2" s="269"/>
      <c r="G2" s="269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70">
        <f ca="1">TODAY()</f>
        <v>46294</v>
      </c>
      <c r="H8" s="270"/>
    </row>
    <row r="9" spans="1:10" ht="16.5" customHeight="1">
      <c r="A9" s="271" t="s">
        <v>38</v>
      </c>
      <c r="B9" s="272" t="s">
        <v>83</v>
      </c>
      <c r="C9" s="272"/>
      <c r="D9" s="271" t="s">
        <v>39</v>
      </c>
      <c r="E9" s="273" t="s">
        <v>84</v>
      </c>
      <c r="F9" s="273"/>
      <c r="G9" s="271" t="s">
        <v>40</v>
      </c>
      <c r="H9" s="271" t="s">
        <v>41</v>
      </c>
    </row>
    <row r="10" spans="1:10" ht="15.75" customHeight="1">
      <c r="A10" s="271"/>
      <c r="B10" s="151" t="s">
        <v>44</v>
      </c>
      <c r="C10" s="151" t="s">
        <v>45</v>
      </c>
      <c r="D10" s="271"/>
      <c r="E10" s="150" t="s">
        <v>44</v>
      </c>
      <c r="F10" s="152" t="s">
        <v>45</v>
      </c>
      <c r="G10" s="271"/>
      <c r="H10" s="271"/>
    </row>
    <row r="11" spans="1:10" ht="17.25" customHeight="1">
      <c r="A11" s="153">
        <f>'딜티켓_1 '!J14</f>
        <v>0</v>
      </c>
      <c r="B11" s="154" t="str">
        <f>IF('딜티켓_1 '!B14="S",'딜티켓_1 '!C16,"KRW")</f>
        <v>KRW</v>
      </c>
      <c r="C11" s="155">
        <f>IF('딜티켓_1 '!B14="S",'딜티켓_1 '!D14,INT('딜티켓_1 '!D14*'딜티켓_1 '!H14))</f>
        <v>0</v>
      </c>
      <c r="D11" s="156">
        <f>'딜티켓_1 '!H14</f>
        <v>0</v>
      </c>
      <c r="E11" s="154" t="str">
        <f>IF('딜티켓_1 '!B14="B",'딜티켓_1 '!C16,"KRW")</f>
        <v>KRW</v>
      </c>
      <c r="F11" s="157">
        <f>IF('딜티켓_1 '!B14="B",'딜티켓_1 '!D14,INT('딜티켓_1 '!D14*'딜티켓_1 '!H14))</f>
        <v>0</v>
      </c>
      <c r="G11" s="158">
        <f>'딜티켓_1 '!K14</f>
        <v>0</v>
      </c>
      <c r="H11" s="159" t="s">
        <v>85</v>
      </c>
      <c r="I11" s="133" t="str">
        <f ca="1">'딜티켓_1 '!I14</f>
        <v/>
      </c>
    </row>
    <row r="12" spans="1:10" ht="17.25" customHeight="1">
      <c r="A12" s="153">
        <f>'딜티켓_1 '!J15</f>
        <v>0</v>
      </c>
      <c r="B12" s="154" t="str">
        <f>IF('딜티켓_1 '!B15="S",'딜티켓_1 '!C15,"KRW")</f>
        <v>KRW</v>
      </c>
      <c r="C12" s="155">
        <f>IF('딜티켓_1 '!B15="S",'딜티켓_1 '!D15,INT('딜티켓_1 '!D15*'딜티켓_1 '!H15))</f>
        <v>0</v>
      </c>
      <c r="D12" s="156">
        <f>'딜티켓_1 '!H15</f>
        <v>0</v>
      </c>
      <c r="E12" s="154" t="str">
        <f>IF('딜티켓_1 '!B15="B",'딜티켓_1 '!C15,"KRW")</f>
        <v>KRW</v>
      </c>
      <c r="F12" s="157">
        <f>IF('딜티켓_1 '!B15="B",'딜티켓_1 '!D15,INT('딜티켓_1 '!D15*'딜티켓_1 '!H15))</f>
        <v>0</v>
      </c>
      <c r="G12" s="158">
        <f>'딜티켓_1 '!K15</f>
        <v>0</v>
      </c>
      <c r="H12" s="159" t="s">
        <v>85</v>
      </c>
      <c r="I12" s="133" t="str">
        <f ca="1">'딜티켓_1 '!I15</f>
        <v/>
      </c>
    </row>
    <row r="13" spans="1:10" ht="17.25" customHeight="1">
      <c r="A13" s="153">
        <f>'딜티켓_1 '!J17</f>
        <v>0</v>
      </c>
      <c r="B13" s="154" t="str">
        <f>IF('딜티켓_1 '!B16="S",#REF!,"KRW")</f>
        <v>KRW</v>
      </c>
      <c r="C13" s="155">
        <f>IF('딜티켓_1 '!B16="S",'딜티켓_1 '!D16,INT('딜티켓_1 '!D16*'딜티켓_1 '!H16))</f>
        <v>0</v>
      </c>
      <c r="D13" s="156">
        <f>'딜티켓_1 '!H16</f>
        <v>0</v>
      </c>
      <c r="E13" s="154" t="str">
        <f>IF('딜티켓_1 '!B16="B",#REF!,"KRW")</f>
        <v>KRW</v>
      </c>
      <c r="F13" s="157">
        <f>IF('딜티켓_1 '!B16="B",'딜티켓_1 '!D16,INT('딜티켓_1 '!D16*'딜티켓_1 '!H16))</f>
        <v>0</v>
      </c>
      <c r="G13" s="158">
        <f>'딜티켓_1 '!K16</f>
        <v>0</v>
      </c>
      <c r="H13" s="159" t="s">
        <v>85</v>
      </c>
      <c r="I13" s="133" t="str">
        <f ca="1">'딜티켓_1 '!I16</f>
        <v/>
      </c>
      <c r="J13" s="160"/>
    </row>
    <row r="14" spans="1:10" ht="17.25" customHeight="1">
      <c r="A14" s="153" t="e">
        <f>#REF!</f>
        <v>#REF!</v>
      </c>
      <c r="B14" s="154" t="str">
        <f>IF('딜티켓_1 '!B17="S",'딜티켓_1 '!C17,"KRW")</f>
        <v>KRW</v>
      </c>
      <c r="C14" s="155">
        <f>IF('딜티켓_1 '!B17="S",'딜티켓_1 '!D17,INT('딜티켓_1 '!D17*'딜티켓_1 '!H17))</f>
        <v>0</v>
      </c>
      <c r="D14" s="156">
        <f>'딜티켓_1 '!H17</f>
        <v>0</v>
      </c>
      <c r="E14" s="154" t="str">
        <f>IF('딜티켓_1 '!B17="B",'딜티켓_1 '!C17,"KRW")</f>
        <v>KRW</v>
      </c>
      <c r="F14" s="157">
        <f>IF('딜티켓_1 '!B17="B",'딜티켓_1 '!D17,INT('딜티켓_1 '!D17*'딜티켓_1 '!H17))</f>
        <v>0</v>
      </c>
      <c r="G14" s="158">
        <f>'딜티켓_1 '!K17</f>
        <v>0</v>
      </c>
      <c r="H14" s="159" t="s">
        <v>85</v>
      </c>
      <c r="I14" s="133" t="str">
        <f ca="1">'딜티켓_1 '!I17</f>
        <v/>
      </c>
    </row>
    <row r="15" spans="1:10" ht="17.25" customHeight="1">
      <c r="A15" s="153">
        <f>'딜티켓_1 '!J18</f>
        <v>0</v>
      </c>
      <c r="B15" s="154" t="str">
        <f>IF('딜티켓_1 '!B18="S",'딜티켓_1 '!C18,"KRW")</f>
        <v>KRW</v>
      </c>
      <c r="C15" s="155">
        <f>IF('딜티켓_1 '!B18="S",'딜티켓_1 '!D18,INT('딜티켓_1 '!D18*'딜티켓_1 '!H18))</f>
        <v>0</v>
      </c>
      <c r="D15" s="156">
        <f>'딜티켓_1 '!H18</f>
        <v>0</v>
      </c>
      <c r="E15" s="154" t="str">
        <f>IF('딜티켓_1 '!B18="B",'딜티켓_1 '!C18,"KRW")</f>
        <v>KRW</v>
      </c>
      <c r="F15" s="157">
        <f>IF('딜티켓_1 '!B18="B",'딜티켓_1 '!D18,INT('딜티켓_1 '!D18*'딜티켓_1 '!H18))</f>
        <v>0</v>
      </c>
      <c r="G15" s="158">
        <f>'딜티켓_1 '!K18</f>
        <v>0</v>
      </c>
      <c r="H15" s="159" t="s">
        <v>85</v>
      </c>
      <c r="I15" s="133" t="str">
        <f ca="1">'딜티켓_1 '!I18</f>
        <v/>
      </c>
    </row>
    <row r="16" spans="1:10" ht="17.25" customHeight="1">
      <c r="A16" s="153">
        <f>'딜티켓_1 '!J19</f>
        <v>0</v>
      </c>
      <c r="B16" s="154" t="str">
        <f>IF('딜티켓_1 '!B19="S",'딜티켓_1 '!C19,"KRW")</f>
        <v>KRW</v>
      </c>
      <c r="C16" s="155">
        <f>IF('딜티켓_1 '!B19="S",'딜티켓_1 '!D19,INT('딜티켓_1 '!D19*'딜티켓_1 '!H19))</f>
        <v>0</v>
      </c>
      <c r="D16" s="156">
        <f>'딜티켓_1 '!H19</f>
        <v>0</v>
      </c>
      <c r="E16" s="154" t="str">
        <f>IF('딜티켓_1 '!B19="B",'딜티켓_1 '!C19,"KRW")</f>
        <v>KRW</v>
      </c>
      <c r="F16" s="157">
        <f>IF('딜티켓_1 '!B19="B",'딜티켓_1 '!D19,INT('딜티켓_1 '!D19*'딜티켓_1 '!H19))</f>
        <v>0</v>
      </c>
      <c r="G16" s="158">
        <f>'딜티켓_1 '!K19</f>
        <v>0</v>
      </c>
      <c r="H16" s="159" t="s">
        <v>85</v>
      </c>
      <c r="I16" s="133" t="str">
        <f ca="1">'딜티켓_1 '!I19</f>
        <v/>
      </c>
    </row>
    <row r="17" spans="1:10" ht="17.25" customHeight="1">
      <c r="A17" s="161">
        <f>'딜티켓_1 '!J23</f>
        <v>0</v>
      </c>
      <c r="B17" s="162" t="str">
        <f>IF('딜티켓_1 '!B20="S",'딜티켓_1 '!C20,"KRW")</f>
        <v>KRW</v>
      </c>
      <c r="C17" s="163">
        <f>IF('딜티켓_1 '!B20="S",'딜티켓_1 '!D20,INT('딜티켓_1 '!D20*'딜티켓_1 '!H20))</f>
        <v>0</v>
      </c>
      <c r="D17" s="164">
        <f>'딜티켓_1 '!H20</f>
        <v>0</v>
      </c>
      <c r="E17" s="162" t="str">
        <f>IF('딜티켓_1 '!B20="B",'딜티켓_1 '!C20,"KRW")</f>
        <v>KRW</v>
      </c>
      <c r="F17" s="165">
        <f>IF('딜티켓_1 '!B20="B",'딜티켓_1 '!D20,INT('딜티켓_1 '!D20*'딜티켓_1 '!H20))</f>
        <v>0</v>
      </c>
      <c r="G17" s="166">
        <f>'딜티켓_1 '!K20</f>
        <v>0</v>
      </c>
      <c r="H17" s="159" t="s">
        <v>85</v>
      </c>
      <c r="I17" s="133" t="str">
        <f ca="1">'딜티켓_1 '!I20</f>
        <v/>
      </c>
      <c r="J17" s="167"/>
    </row>
    <row r="18" spans="1:10" ht="17.25" customHeight="1">
      <c r="A18" s="161">
        <f>'딜티켓_1 '!J21</f>
        <v>0</v>
      </c>
      <c r="B18" s="162" t="str">
        <f>IF('딜티켓_1 '!B21="S",'딜티켓_1 '!C21,"KRW")</f>
        <v>KRW</v>
      </c>
      <c r="C18" s="163">
        <f>IF('딜티켓_1 '!B21="S",'딜티켓_1 '!D21,INT('딜티켓_1 '!D21*'딜티켓_1 '!H21))</f>
        <v>0</v>
      </c>
      <c r="D18" s="164">
        <f>'딜티켓_1 '!H21</f>
        <v>0</v>
      </c>
      <c r="E18" s="162" t="str">
        <f>IF('딜티켓_1 '!B21="B",'딜티켓_1 '!C21,"KRW")</f>
        <v>KRW</v>
      </c>
      <c r="F18" s="165">
        <f>IF('딜티켓_1 '!B21="B",'딜티켓_1 '!D21,INT('딜티켓_1 '!D21*'딜티켓_1 '!H21))</f>
        <v>0</v>
      </c>
      <c r="G18" s="166">
        <f>'딜티켓_1 '!K21</f>
        <v>0</v>
      </c>
      <c r="H18" s="159" t="s">
        <v>85</v>
      </c>
      <c r="I18" s="133" t="str">
        <f ca="1">'딜티켓_1 '!I21</f>
        <v/>
      </c>
    </row>
    <row r="19" spans="1:10" ht="17.25" customHeight="1">
      <c r="A19" s="161">
        <f>'딜티켓_1 '!J22</f>
        <v>0</v>
      </c>
      <c r="B19" s="162" t="str">
        <f>IF('딜티켓_1 '!B22="S",'딜티켓_1 '!C22,"KRW")</f>
        <v>KRW</v>
      </c>
      <c r="C19" s="163">
        <f>IF('딜티켓_1 '!B22="S",'딜티켓_1 '!D22,INT('딜티켓_1 '!D22*'딜티켓_1 '!H22))</f>
        <v>0</v>
      </c>
      <c r="D19" s="164">
        <f>'딜티켓_1 '!H22</f>
        <v>0</v>
      </c>
      <c r="E19" s="162" t="str">
        <f>IF('딜티켓_1 '!B22="B",'딜티켓_1 '!C22,"KRW")</f>
        <v>KRW</v>
      </c>
      <c r="F19" s="165">
        <f>IF('딜티켓_1 '!B22="B",'딜티켓_1 '!D22,INT('딜티켓_1 '!D22*'딜티켓_1 '!H22))</f>
        <v>0</v>
      </c>
      <c r="G19" s="166">
        <f>'딜티켓_1 '!K22</f>
        <v>0</v>
      </c>
      <c r="H19" s="159" t="s">
        <v>85</v>
      </c>
      <c r="I19" s="133" t="str">
        <f ca="1">'딜티켓_1 '!I22</f>
        <v/>
      </c>
    </row>
    <row r="20" spans="1:10" ht="17.25" customHeight="1">
      <c r="A20" s="161" t="e">
        <f>#REF!</f>
        <v>#REF!</v>
      </c>
      <c r="B20" s="162" t="str">
        <f>IF('딜티켓_1 '!B23="S",'딜티켓_1 '!C23,"KRW")</f>
        <v>KRW</v>
      </c>
      <c r="C20" s="163">
        <f>IF('딜티켓_1 '!B23="S",'딜티켓_1 '!D23,INT('딜티켓_1 '!D23*'딜티켓_1 '!H23))</f>
        <v>0</v>
      </c>
      <c r="D20" s="164">
        <f>'딜티켓_1 '!H23</f>
        <v>0</v>
      </c>
      <c r="E20" s="162" t="str">
        <f>IF('딜티켓_1 '!B23="B",'딜티켓_1 '!C23,"KRW")</f>
        <v>KRW</v>
      </c>
      <c r="F20" s="165">
        <f>IF('딜티켓_1 '!B23="B",'딜티켓_1 '!D23,INT('딜티켓_1 '!D23*'딜티켓_1 '!H23))</f>
        <v>0</v>
      </c>
      <c r="G20" s="166">
        <f>'딜티켓_1 '!K23</f>
        <v>0</v>
      </c>
      <c r="H20" s="159" t="s">
        <v>85</v>
      </c>
      <c r="I20" s="133" t="str">
        <f ca="1">'딜티켓_1 '!I23</f>
        <v/>
      </c>
    </row>
    <row r="21" spans="1:10" ht="17.25" customHeight="1">
      <c r="A21" s="161">
        <f>'딜티켓_1 '!J24</f>
        <v>0</v>
      </c>
      <c r="B21" s="162" t="str">
        <f>IF('딜티켓_1 '!B24="S",'딜티켓_1 '!C24,"KRW")</f>
        <v>KRW</v>
      </c>
      <c r="C21" s="163">
        <f>IF('딜티켓_1 '!B24="S",'딜티켓_1 '!D24,INT('딜티켓_1 '!D24*'딜티켓_1 '!H24))</f>
        <v>0</v>
      </c>
      <c r="D21" s="164">
        <f>'딜티켓_1 '!H24</f>
        <v>0</v>
      </c>
      <c r="E21" s="162" t="str">
        <f>IF('딜티켓_1 '!B24="B",'딜티켓_1 '!C24,"KRW")</f>
        <v>KRW</v>
      </c>
      <c r="F21" s="165">
        <f>IF('딜티켓_1 '!B24="B",'딜티켓_1 '!D24,INT('딜티켓_1 '!D24*'딜티켓_1 '!H24))</f>
        <v>0</v>
      </c>
      <c r="G21" s="166">
        <f>'딜티켓_1 '!K24</f>
        <v>0</v>
      </c>
      <c r="H21" s="159" t="s">
        <v>85</v>
      </c>
      <c r="I21" s="133" t="str">
        <f ca="1">'딜티켓_1 '!I24</f>
        <v/>
      </c>
      <c r="J21" s="167"/>
    </row>
    <row r="22" spans="1:10" ht="17.25" customHeight="1">
      <c r="A22" s="161" t="e">
        <f>#REF!</f>
        <v>#REF!</v>
      </c>
      <c r="B22" s="162" t="e">
        <f>IF(#REF!="S",#REF!,"KRW")</f>
        <v>#REF!</v>
      </c>
      <c r="C22" s="163" t="e">
        <f>IF(#REF!="S",#REF!,INT(#REF!*#REF!))</f>
        <v>#REF!</v>
      </c>
      <c r="D22" s="164" t="e">
        <f>#REF!</f>
        <v>#REF!</v>
      </c>
      <c r="E22" s="162" t="e">
        <f>IF(#REF!="B",#REF!,"KRW")</f>
        <v>#REF!</v>
      </c>
      <c r="F22" s="165" t="e">
        <f>IF(#REF!="B",#REF!,INT(#REF!*#REF!))</f>
        <v>#REF!</v>
      </c>
      <c r="G22" s="166" t="e">
        <f>#REF!</f>
        <v>#REF!</v>
      </c>
      <c r="H22" s="159" t="s">
        <v>85</v>
      </c>
      <c r="I22" s="133" t="e">
        <f>#REF!</f>
        <v>#REF!</v>
      </c>
      <c r="J22" s="167"/>
    </row>
    <row r="23" spans="1:10" ht="17.25" customHeight="1">
      <c r="A23" s="161"/>
      <c r="B23" s="162"/>
      <c r="C23" s="163"/>
      <c r="D23" s="164"/>
      <c r="E23" s="162"/>
      <c r="F23" s="165"/>
      <c r="G23" s="166"/>
      <c r="H23" s="159"/>
    </row>
    <row r="24" spans="1:10" ht="17.25" customHeight="1">
      <c r="A24" s="162"/>
      <c r="B24" s="162"/>
      <c r="C24" s="168" t="s">
        <v>86</v>
      </c>
      <c r="D24" s="169"/>
      <c r="E24" s="162"/>
      <c r="F24" s="170"/>
      <c r="G24" s="159"/>
      <c r="H24" s="159"/>
    </row>
    <row r="25" spans="1:10" ht="17.25" customHeight="1">
      <c r="A25" s="162"/>
      <c r="B25" s="162"/>
      <c r="C25" s="168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1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1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69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69"/>
      <c r="E30" s="162"/>
      <c r="F30" s="171"/>
      <c r="G30" s="159"/>
      <c r="H30" s="159"/>
    </row>
    <row r="31" spans="1:10" ht="17.25" customHeight="1">
      <c r="A31" s="162"/>
      <c r="B31" s="162"/>
      <c r="C31" s="171"/>
      <c r="D31" s="172"/>
      <c r="E31" s="162" t="s">
        <v>87</v>
      </c>
      <c r="F31" s="170"/>
      <c r="G31" s="159"/>
      <c r="H31" s="159"/>
    </row>
    <row r="32" spans="1:10" ht="17.25" customHeight="1">
      <c r="A32" s="162"/>
      <c r="B32" s="162"/>
      <c r="C32" s="170"/>
      <c r="D32" s="172"/>
      <c r="E32" s="162"/>
      <c r="F32" s="171"/>
      <c r="G32" s="159"/>
      <c r="H32" s="159"/>
    </row>
    <row r="33" spans="1:8" ht="17.25" customHeight="1">
      <c r="A33" s="162"/>
      <c r="B33" s="162"/>
      <c r="C33" s="173"/>
      <c r="D33" s="169"/>
      <c r="E33" s="162"/>
      <c r="F33" s="171"/>
      <c r="G33" s="159"/>
      <c r="H33" s="159"/>
    </row>
    <row r="34" spans="1:8" ht="17.25" customHeight="1">
      <c r="A34" s="162"/>
      <c r="B34" s="162"/>
      <c r="C34" s="173"/>
      <c r="D34" s="169"/>
      <c r="E34" s="162"/>
      <c r="F34" s="170"/>
      <c r="G34" s="159"/>
      <c r="H34" s="159"/>
    </row>
    <row r="35" spans="1:8" ht="15.75" customHeight="1">
      <c r="A35" s="174" t="s">
        <v>88</v>
      </c>
      <c r="F35" s="174"/>
    </row>
    <row r="37" spans="1:8" ht="15.75" customHeight="1">
      <c r="A37" s="133" t="s">
        <v>89</v>
      </c>
      <c r="E37" s="133" t="s">
        <v>80</v>
      </c>
    </row>
    <row r="38" spans="1:8" ht="15.75" customHeight="1">
      <c r="A38" s="133" t="s">
        <v>90</v>
      </c>
    </row>
    <row r="40" spans="1:8" ht="15.75" customHeight="1">
      <c r="A40" s="146"/>
      <c r="B40" s="146"/>
      <c r="E40" s="146"/>
      <c r="F40" s="146"/>
    </row>
    <row r="41" spans="1:8" ht="15.75" customHeight="1">
      <c r="A41" s="133" t="s">
        <v>46</v>
      </c>
      <c r="E41" s="133" t="s">
        <v>46</v>
      </c>
    </row>
    <row r="43" spans="1:8" ht="19.5" customHeight="1">
      <c r="A43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>
    <tabColor rgb="FFFFFF99"/>
  </sheetPr>
  <dimension ref="A2:IW41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9" t="s">
        <v>28</v>
      </c>
      <c r="B2" s="269"/>
      <c r="C2" s="269"/>
      <c r="D2" s="269"/>
      <c r="E2" s="269"/>
      <c r="F2" s="269"/>
      <c r="G2" s="269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70">
        <f ca="1">TODAY()</f>
        <v>46294</v>
      </c>
      <c r="H8" s="270"/>
    </row>
    <row r="9" spans="1:10" ht="16.5" customHeight="1">
      <c r="A9" s="271" t="s">
        <v>38</v>
      </c>
      <c r="B9" s="272" t="s">
        <v>83</v>
      </c>
      <c r="C9" s="272"/>
      <c r="D9" s="271" t="s">
        <v>39</v>
      </c>
      <c r="E9" s="273" t="s">
        <v>84</v>
      </c>
      <c r="F9" s="273"/>
      <c r="G9" s="271" t="s">
        <v>40</v>
      </c>
      <c r="H9" s="271" t="s">
        <v>41</v>
      </c>
    </row>
    <row r="10" spans="1:10" ht="15.75" customHeight="1">
      <c r="A10" s="271"/>
      <c r="B10" s="151" t="s">
        <v>44</v>
      </c>
      <c r="C10" s="151" t="s">
        <v>45</v>
      </c>
      <c r="D10" s="271"/>
      <c r="E10" s="150" t="s">
        <v>44</v>
      </c>
      <c r="F10" s="152" t="s">
        <v>45</v>
      </c>
      <c r="G10" s="271"/>
      <c r="H10" s="271"/>
    </row>
    <row r="11" spans="1:10" ht="17.25" customHeight="1">
      <c r="A11" s="176">
        <f>'딜티켓_1 '!J48</f>
        <v>0</v>
      </c>
      <c r="B11" s="162" t="s">
        <v>58</v>
      </c>
      <c r="C11" s="163">
        <f>IF('딜티켓_1 '!B48="S",'딜티켓_1 '!D48,INT('딜티켓_1 '!D48*'딜티켓_1 '!H48))</f>
        <v>0</v>
      </c>
      <c r="D11" s="164">
        <f>'딜티켓_1 '!H48</f>
        <v>0</v>
      </c>
      <c r="E11" s="162" t="s">
        <v>92</v>
      </c>
      <c r="F11" s="163">
        <f>IF('딜티켓_1 '!B48="B",'딜티켓_1 '!D48,INT('딜티켓_1 '!D48*'딜티켓_1 '!H48))</f>
        <v>0</v>
      </c>
      <c r="G11" s="166">
        <f>'딜티켓_1 '!K48</f>
        <v>0</v>
      </c>
      <c r="H11" s="159" t="s">
        <v>85</v>
      </c>
    </row>
    <row r="12" spans="1:10" ht="17.25" customHeight="1">
      <c r="A12" s="176">
        <f>'딜티켓_1 '!J49</f>
        <v>0</v>
      </c>
      <c r="B12" s="162" t="s">
        <v>58</v>
      </c>
      <c r="C12" s="163">
        <f>IF('딜티켓_1 '!B49="S",'딜티켓_1 '!D49,INT('딜티켓_1 '!D49*'딜티켓_1 '!H49))</f>
        <v>0</v>
      </c>
      <c r="D12" s="164">
        <f>'딜티켓_1 '!H49</f>
        <v>0</v>
      </c>
      <c r="E12" s="162" t="s">
        <v>92</v>
      </c>
      <c r="F12" s="163">
        <f>IF('딜티켓_1 '!B49="B",'딜티켓_1 '!D49,INT('딜티켓_1 '!D49*'딜티켓_1 '!H49))</f>
        <v>0</v>
      </c>
      <c r="G12" s="166">
        <f>'딜티켓_1 '!K49</f>
        <v>0</v>
      </c>
      <c r="H12" s="159" t="s">
        <v>85</v>
      </c>
    </row>
    <row r="13" spans="1:10" ht="17.25" customHeight="1">
      <c r="A13" s="176">
        <f>'딜티켓_1 '!J50</f>
        <v>0</v>
      </c>
      <c r="B13" s="162" t="s">
        <v>58</v>
      </c>
      <c r="C13" s="163">
        <f>IF('딜티켓_1 '!B50="S",'딜티켓_1 '!D50,INT('딜티켓_1 '!D50*'딜티켓_1 '!H50))</f>
        <v>0</v>
      </c>
      <c r="D13" s="164">
        <f>'딜티켓_1 '!H50</f>
        <v>0</v>
      </c>
      <c r="E13" s="162" t="s">
        <v>92</v>
      </c>
      <c r="F13" s="163">
        <f>IF('딜티켓_1 '!B50="B",'딜티켓_1 '!D50,INT('딜티켓_1 '!D50*'딜티켓_1 '!H50))</f>
        <v>0</v>
      </c>
      <c r="G13" s="166">
        <f>'딜티켓_1 '!K50</f>
        <v>0</v>
      </c>
      <c r="H13" s="159" t="s">
        <v>85</v>
      </c>
      <c r="J13" s="160"/>
    </row>
    <row r="14" spans="1:10" ht="17.25" customHeight="1">
      <c r="A14" s="176">
        <f>'딜티켓_1 '!J51</f>
        <v>0</v>
      </c>
      <c r="B14" s="162" t="s">
        <v>92</v>
      </c>
      <c r="C14" s="163">
        <f>IF('딜티켓_1 '!B51="S",'딜티켓_1 '!D51,INT('딜티켓_1 '!D51*'딜티켓_1 '!H51))</f>
        <v>0</v>
      </c>
      <c r="D14" s="164">
        <f>'딜티켓_1 '!H51</f>
        <v>0</v>
      </c>
      <c r="E14" s="162" t="s">
        <v>92</v>
      </c>
      <c r="F14" s="165">
        <f>IF('딜티켓_1 '!B51="B",'딜티켓_1 '!D51,INT('딜티켓_1 '!D51*'딜티켓_1 '!H51))</f>
        <v>0</v>
      </c>
      <c r="G14" s="166">
        <f>'딜티켓_1 '!K51</f>
        <v>0</v>
      </c>
      <c r="H14" s="159" t="s">
        <v>85</v>
      </c>
    </row>
    <row r="15" spans="1:10" ht="17.25" customHeight="1">
      <c r="A15" s="176">
        <f>'딜티켓_1 '!J52</f>
        <v>0</v>
      </c>
      <c r="B15" s="162" t="s">
        <v>92</v>
      </c>
      <c r="C15" s="163">
        <f>IF('딜티켓_1 '!B52="S",'딜티켓_1 '!D52,INT('딜티켓_1 '!D52*'딜티켓_1 '!H52))</f>
        <v>0</v>
      </c>
      <c r="D15" s="164">
        <f>'딜티켓_1 '!H52</f>
        <v>0</v>
      </c>
      <c r="E15" s="162" t="s">
        <v>92</v>
      </c>
      <c r="F15" s="165">
        <f>IF('딜티켓_1 '!B52="B",'딜티켓_1 '!D52,INT('딜티켓_1 '!D52*'딜티켓_1 '!H52))</f>
        <v>0</v>
      </c>
      <c r="G15" s="166">
        <f>'딜티켓_1 '!K52</f>
        <v>0</v>
      </c>
      <c r="H15" s="159" t="s">
        <v>85</v>
      </c>
    </row>
    <row r="16" spans="1:10" ht="17.25" customHeight="1">
      <c r="A16" s="176">
        <f>'딜티켓_1 '!J53</f>
        <v>0</v>
      </c>
      <c r="B16" s="162" t="s">
        <v>92</v>
      </c>
      <c r="C16" s="163">
        <f>IF('딜티켓_1 '!B53="S",'딜티켓_1 '!D53,INT('딜티켓_1 '!D53*'딜티켓_1 '!H53))</f>
        <v>0</v>
      </c>
      <c r="D16" s="164">
        <f>'딜티켓_1 '!H53</f>
        <v>0</v>
      </c>
      <c r="E16" s="162" t="s">
        <v>92</v>
      </c>
      <c r="F16" s="165">
        <f>IF('딜티켓_1 '!B53="B",'딜티켓_1 '!D53,INT('딜티켓_1 '!D53*'딜티켓_1 '!H53))</f>
        <v>0</v>
      </c>
      <c r="G16" s="166">
        <f>'딜티켓_1 '!K53</f>
        <v>0</v>
      </c>
      <c r="H16" s="159" t="s">
        <v>85</v>
      </c>
    </row>
    <row r="17" spans="1:10" ht="17.25" customHeight="1">
      <c r="A17" s="162"/>
      <c r="B17" s="162"/>
      <c r="C17" s="171"/>
      <c r="D17" s="169"/>
      <c r="E17" s="162"/>
      <c r="F17" s="170"/>
      <c r="G17" s="159"/>
      <c r="H17" s="159"/>
      <c r="J17" s="167"/>
    </row>
    <row r="18" spans="1:10" ht="17.25" customHeight="1">
      <c r="A18" s="162"/>
      <c r="B18" s="162"/>
      <c r="C18" s="168" t="s">
        <v>86</v>
      </c>
      <c r="D18" s="169"/>
      <c r="E18" s="162"/>
      <c r="F18" s="171"/>
      <c r="G18" s="159"/>
      <c r="H18" s="159"/>
    </row>
    <row r="19" spans="1:10" ht="17.25" customHeight="1">
      <c r="A19" s="162"/>
      <c r="B19" s="162"/>
      <c r="C19" s="171"/>
      <c r="D19" s="169"/>
      <c r="E19" s="162"/>
      <c r="F19" s="170"/>
      <c r="G19" s="159"/>
      <c r="H19" s="159"/>
    </row>
    <row r="20" spans="1:10" ht="17.25" customHeight="1">
      <c r="A20" s="162"/>
      <c r="B20" s="162"/>
      <c r="C20" s="171"/>
      <c r="D20" s="169"/>
      <c r="E20" s="162"/>
      <c r="F20" s="170"/>
      <c r="G20" s="159"/>
      <c r="H20" s="159"/>
      <c r="J20" s="167"/>
    </row>
    <row r="21" spans="1:10" ht="17.25" customHeight="1">
      <c r="A21" s="162"/>
      <c r="B21" s="162"/>
      <c r="C21" s="170"/>
      <c r="D21" s="169"/>
      <c r="E21" s="162"/>
      <c r="F21" s="171"/>
      <c r="G21" s="159"/>
      <c r="H21" s="159"/>
    </row>
    <row r="22" spans="1:10" ht="17.25" customHeight="1">
      <c r="A22" s="162"/>
      <c r="B22" s="162"/>
      <c r="C22" s="171"/>
      <c r="D22" s="169"/>
      <c r="E22" s="162"/>
      <c r="F22" s="170"/>
      <c r="G22" s="159"/>
      <c r="H22" s="159"/>
    </row>
    <row r="23" spans="1:10" ht="17.25" customHeight="1">
      <c r="A23" s="162"/>
      <c r="B23" s="162"/>
      <c r="C23" s="168"/>
      <c r="D23" s="169"/>
      <c r="E23" s="162"/>
      <c r="F23" s="171"/>
      <c r="G23" s="159"/>
      <c r="H23" s="159"/>
    </row>
    <row r="24" spans="1:10" ht="17.25" customHeight="1">
      <c r="A24" s="162"/>
      <c r="B24" s="162"/>
      <c r="C24" s="171"/>
      <c r="D24" s="169"/>
      <c r="E24" s="162"/>
      <c r="F24" s="171"/>
      <c r="G24" s="159"/>
      <c r="H24" s="159"/>
    </row>
    <row r="25" spans="1:10" ht="17.25" customHeight="1">
      <c r="A25" s="162"/>
      <c r="B25" s="162"/>
      <c r="C25" s="171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0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0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72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72"/>
      <c r="E30" s="162"/>
      <c r="F30" s="171"/>
      <c r="G30" s="159"/>
      <c r="H30" s="159"/>
    </row>
    <row r="31" spans="1:10" ht="17.25" customHeight="1">
      <c r="A31" s="162"/>
      <c r="B31" s="162"/>
      <c r="C31" s="173"/>
      <c r="D31" s="169"/>
      <c r="E31" s="162"/>
      <c r="F31" s="171"/>
      <c r="G31" s="159"/>
      <c r="H31" s="159"/>
    </row>
    <row r="32" spans="1:10" ht="17.25" customHeight="1">
      <c r="A32" s="162"/>
      <c r="B32" s="162"/>
      <c r="C32" s="173"/>
      <c r="D32" s="169"/>
      <c r="E32" s="162"/>
      <c r="F32" s="170"/>
      <c r="G32" s="159"/>
      <c r="H32" s="159"/>
    </row>
    <row r="33" spans="1:6" ht="15.75" customHeight="1">
      <c r="A33" s="174" t="s">
        <v>88</v>
      </c>
      <c r="F33" s="174"/>
    </row>
    <row r="35" spans="1:6" ht="15.75" customHeight="1">
      <c r="A35" s="133" t="s">
        <v>89</v>
      </c>
      <c r="E35" s="133" t="s">
        <v>80</v>
      </c>
    </row>
    <row r="36" spans="1:6" ht="15.75" customHeight="1">
      <c r="A36" s="133" t="s">
        <v>90</v>
      </c>
    </row>
    <row r="38" spans="1:6" ht="15.75" customHeight="1">
      <c r="A38" s="146"/>
      <c r="B38" s="146"/>
      <c r="E38" s="146"/>
      <c r="F38" s="146"/>
    </row>
    <row r="39" spans="1:6" ht="15.75" customHeight="1">
      <c r="A39" s="133" t="s">
        <v>46</v>
      </c>
      <c r="E39" s="133" t="s">
        <v>46</v>
      </c>
    </row>
    <row r="41" spans="1:6" ht="19.5" customHeight="1">
      <c r="A41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B1191"/>
  <sheetViews>
    <sheetView topLeftCell="A1156" zoomScaleNormal="100" workbookViewId="0">
      <selection activeCell="A1191" sqref="A1191:B1191"/>
    </sheetView>
  </sheetViews>
  <sheetFormatPr defaultColWidth="9" defaultRowHeight="13.5"/>
  <cols>
    <col min="1" max="2" width="9.5546875" style="177" customWidth="1"/>
  </cols>
  <sheetData>
    <row r="1" spans="1:2" ht="18" customHeight="1">
      <c r="A1" s="178" t="s">
        <v>38</v>
      </c>
      <c r="B1" s="179" t="s">
        <v>42</v>
      </c>
    </row>
    <row r="2" spans="1:2" ht="16.5" customHeight="1">
      <c r="A2" s="180">
        <v>28019</v>
      </c>
      <c r="B2" s="180" t="s">
        <v>93</v>
      </c>
    </row>
    <row r="3" spans="1:2" ht="16.5" customHeight="1">
      <c r="A3" s="181">
        <v>28024</v>
      </c>
      <c r="B3" s="181" t="s">
        <v>94</v>
      </c>
    </row>
    <row r="4" spans="1:2" ht="16.5" customHeight="1">
      <c r="A4" s="181">
        <v>28025</v>
      </c>
      <c r="B4" s="181" t="s">
        <v>94</v>
      </c>
    </row>
    <row r="5" spans="1:2" ht="16.5" customHeight="1">
      <c r="A5" s="181">
        <v>28032</v>
      </c>
      <c r="B5" s="181" t="s">
        <v>94</v>
      </c>
    </row>
    <row r="6" spans="1:2" ht="16.5" customHeight="1">
      <c r="A6" s="181">
        <v>28036</v>
      </c>
      <c r="B6" s="181" t="s">
        <v>94</v>
      </c>
    </row>
    <row r="7" spans="1:2" ht="16.5" customHeight="1">
      <c r="A7" s="181">
        <v>28041</v>
      </c>
      <c r="B7" s="181" t="s">
        <v>94</v>
      </c>
    </row>
    <row r="8" spans="1:2" ht="16.5" customHeight="1">
      <c r="A8" s="181">
        <v>66301</v>
      </c>
      <c r="B8" s="181" t="s">
        <v>94</v>
      </c>
    </row>
    <row r="9" spans="1:2" ht="16.5" customHeight="1">
      <c r="A9" s="181">
        <v>66361</v>
      </c>
      <c r="B9" s="181" t="s">
        <v>93</v>
      </c>
    </row>
    <row r="10" spans="1:2" ht="16.5" customHeight="1">
      <c r="A10" s="181">
        <v>66381</v>
      </c>
      <c r="B10" s="181" t="s">
        <v>94</v>
      </c>
    </row>
    <row r="11" spans="1:2" ht="16.5" customHeight="1">
      <c r="A11" s="181">
        <v>66391</v>
      </c>
      <c r="B11" s="181" t="s">
        <v>94</v>
      </c>
    </row>
    <row r="12" spans="1:2" ht="16.5" customHeight="1">
      <c r="A12" s="181">
        <v>66431</v>
      </c>
      <c r="B12" s="181" t="s">
        <v>94</v>
      </c>
    </row>
    <row r="13" spans="1:2" ht="16.5" customHeight="1">
      <c r="A13" s="181">
        <v>66441</v>
      </c>
      <c r="B13" s="181" t="s">
        <v>94</v>
      </c>
    </row>
    <row r="14" spans="1:2" ht="16.5" customHeight="1">
      <c r="A14" s="181">
        <v>66461</v>
      </c>
      <c r="B14" s="181" t="s">
        <v>95</v>
      </c>
    </row>
    <row r="15" spans="1:2" ht="16.5" customHeight="1">
      <c r="A15" s="181">
        <v>66471</v>
      </c>
      <c r="B15" s="181" t="s">
        <v>95</v>
      </c>
    </row>
    <row r="16" spans="1:2" ht="16.5" customHeight="1">
      <c r="A16" s="181">
        <v>66481</v>
      </c>
      <c r="B16" s="181" t="s">
        <v>95</v>
      </c>
    </row>
    <row r="17" spans="1:2" ht="16.5" customHeight="1">
      <c r="A17" s="181">
        <v>66482</v>
      </c>
      <c r="B17" s="181" t="s">
        <v>95</v>
      </c>
    </row>
    <row r="18" spans="1:2" ht="16.5" customHeight="1">
      <c r="A18" s="181">
        <v>66492</v>
      </c>
      <c r="B18" s="181" t="s">
        <v>96</v>
      </c>
    </row>
    <row r="19" spans="1:2" ht="16.5" customHeight="1">
      <c r="A19" s="181">
        <v>17900</v>
      </c>
      <c r="B19" s="181" t="s">
        <v>96</v>
      </c>
    </row>
    <row r="20" spans="1:2" ht="16.5" customHeight="1">
      <c r="A20" s="181">
        <v>18000</v>
      </c>
      <c r="B20" s="181" t="s">
        <v>96</v>
      </c>
    </row>
    <row r="21" spans="1:2" ht="16.5" customHeight="1">
      <c r="A21" s="181">
        <v>67900</v>
      </c>
      <c r="B21" s="181" t="s">
        <v>97</v>
      </c>
    </row>
    <row r="22" spans="1:2" ht="16.5" customHeight="1">
      <c r="A22" s="181">
        <v>67000</v>
      </c>
      <c r="B22" s="181" t="s">
        <v>96</v>
      </c>
    </row>
    <row r="23" spans="1:2" ht="16.5" customHeight="1">
      <c r="A23" s="181">
        <v>15623</v>
      </c>
      <c r="B23" s="181" t="s">
        <v>96</v>
      </c>
    </row>
    <row r="24" spans="1:2" ht="16.5" customHeight="1">
      <c r="A24" s="181">
        <v>55914</v>
      </c>
      <c r="B24" s="181" t="s">
        <v>96</v>
      </c>
    </row>
    <row r="25" spans="1:2" ht="16.5" customHeight="1">
      <c r="A25" s="181">
        <v>63141</v>
      </c>
      <c r="B25" s="181" t="s">
        <v>97</v>
      </c>
    </row>
    <row r="26" spans="1:2" ht="16.5" customHeight="1">
      <c r="A26" s="181">
        <v>63331</v>
      </c>
      <c r="B26" s="181" t="s">
        <v>94</v>
      </c>
    </row>
    <row r="27" spans="1:2" ht="16.5" customHeight="1">
      <c r="A27" s="181">
        <v>63380</v>
      </c>
      <c r="B27" s="181" t="s">
        <v>98</v>
      </c>
    </row>
    <row r="28" spans="1:2" ht="16.5" customHeight="1">
      <c r="A28" s="181">
        <v>65211</v>
      </c>
      <c r="B28" s="181" t="s">
        <v>98</v>
      </c>
    </row>
    <row r="29" spans="1:2" ht="16.5" customHeight="1">
      <c r="A29" s="181">
        <v>65311</v>
      </c>
      <c r="B29" s="181" t="s">
        <v>98</v>
      </c>
    </row>
    <row r="30" spans="1:2" ht="16.5" customHeight="1">
      <c r="A30" s="181">
        <v>65650</v>
      </c>
      <c r="B30" s="181" t="s">
        <v>96</v>
      </c>
    </row>
    <row r="31" spans="1:2" ht="16.5" customHeight="1">
      <c r="A31" s="181">
        <v>65680</v>
      </c>
      <c r="B31" s="181" t="s">
        <v>96</v>
      </c>
    </row>
    <row r="32" spans="1:2" ht="16.5" customHeight="1">
      <c r="A32" s="181">
        <v>65681</v>
      </c>
      <c r="B32" s="181" t="s">
        <v>96</v>
      </c>
    </row>
    <row r="33" spans="1:2" ht="16.5" customHeight="1">
      <c r="A33" s="181">
        <v>66100</v>
      </c>
      <c r="B33" s="181" t="s">
        <v>96</v>
      </c>
    </row>
    <row r="34" spans="1:2" ht="16.5" customHeight="1">
      <c r="A34" s="181">
        <v>66101</v>
      </c>
      <c r="B34" s="181" t="s">
        <v>96</v>
      </c>
    </row>
    <row r="35" spans="1:2" ht="16.5" customHeight="1">
      <c r="A35" s="181">
        <v>66400</v>
      </c>
      <c r="B35" s="181" t="s">
        <v>96</v>
      </c>
    </row>
    <row r="36" spans="1:2" ht="16.5" customHeight="1">
      <c r="A36" s="181" t="s">
        <v>99</v>
      </c>
      <c r="B36" s="181" t="s">
        <v>100</v>
      </c>
    </row>
    <row r="37" spans="1:2" ht="16.5" customHeight="1">
      <c r="A37" s="181">
        <v>1217</v>
      </c>
      <c r="B37" s="181" t="s">
        <v>95</v>
      </c>
    </row>
    <row r="38" spans="1:2" ht="16.5" customHeight="1">
      <c r="A38" s="181">
        <v>1512</v>
      </c>
      <c r="B38" s="181" t="s">
        <v>96</v>
      </c>
    </row>
    <row r="39" spans="1:2" ht="16.5" customHeight="1">
      <c r="A39" s="181">
        <v>1513</v>
      </c>
      <c r="B39" s="181" t="s">
        <v>96</v>
      </c>
    </row>
    <row r="40" spans="1:2" ht="16.5" customHeight="1">
      <c r="A40" s="181">
        <v>1711</v>
      </c>
      <c r="B40" s="181" t="s">
        <v>95</v>
      </c>
    </row>
    <row r="41" spans="1:2" ht="16.5" customHeight="1">
      <c r="A41" s="182">
        <v>1731</v>
      </c>
      <c r="B41" s="181" t="s">
        <v>101</v>
      </c>
    </row>
    <row r="42" spans="1:2" ht="16.5" customHeight="1">
      <c r="A42" s="181">
        <v>1800</v>
      </c>
      <c r="B42" s="181" t="s">
        <v>95</v>
      </c>
    </row>
    <row r="43" spans="1:2" ht="16.5" customHeight="1">
      <c r="A43" s="181">
        <v>1804</v>
      </c>
      <c r="B43" s="181" t="s">
        <v>96</v>
      </c>
    </row>
    <row r="44" spans="1:2" ht="16.5" customHeight="1">
      <c r="A44" s="181">
        <v>1805</v>
      </c>
      <c r="B44" s="181" t="s">
        <v>96</v>
      </c>
    </row>
    <row r="45" spans="1:2" ht="16.5" customHeight="1">
      <c r="A45" s="181">
        <v>1810</v>
      </c>
      <c r="B45" s="181" t="s">
        <v>101</v>
      </c>
    </row>
    <row r="46" spans="1:2" ht="16.5" customHeight="1">
      <c r="A46" s="181">
        <v>1820</v>
      </c>
      <c r="B46" s="181" t="s">
        <v>101</v>
      </c>
    </row>
    <row r="47" spans="1:2" ht="16.5" customHeight="1">
      <c r="A47" s="181">
        <v>1830</v>
      </c>
      <c r="B47" s="181" t="s">
        <v>96</v>
      </c>
    </row>
    <row r="48" spans="1:2" ht="16.5" customHeight="1">
      <c r="A48" s="181">
        <v>1831</v>
      </c>
      <c r="B48" s="181" t="s">
        <v>96</v>
      </c>
    </row>
    <row r="49" spans="1:2" ht="16.5" customHeight="1">
      <c r="A49" s="181">
        <v>8150</v>
      </c>
      <c r="B49" s="181" t="s">
        <v>101</v>
      </c>
    </row>
    <row r="50" spans="1:2" ht="16.5" customHeight="1">
      <c r="A50" s="181">
        <v>8155</v>
      </c>
      <c r="B50" s="181" t="s">
        <v>101</v>
      </c>
    </row>
    <row r="51" spans="1:2" ht="16.5" customHeight="1">
      <c r="A51" s="181">
        <v>8164</v>
      </c>
      <c r="B51" s="181" t="s">
        <v>101</v>
      </c>
    </row>
    <row r="52" spans="1:2" ht="16.5" customHeight="1">
      <c r="A52" s="181">
        <v>8169</v>
      </c>
      <c r="B52" s="181" t="s">
        <v>102</v>
      </c>
    </row>
    <row r="53" spans="1:2" ht="16.5" customHeight="1">
      <c r="A53" s="181">
        <v>73070</v>
      </c>
      <c r="B53" s="181" t="s">
        <v>101</v>
      </c>
    </row>
    <row r="54" spans="1:2" ht="16.5" customHeight="1">
      <c r="A54" s="181">
        <v>99800</v>
      </c>
      <c r="B54" s="181" t="s">
        <v>94</v>
      </c>
    </row>
    <row r="55" spans="1:2" ht="16.5" customHeight="1">
      <c r="A55" s="182">
        <v>97000</v>
      </c>
      <c r="B55" s="181" t="s">
        <v>95</v>
      </c>
    </row>
    <row r="56" spans="1:2" ht="16.5" customHeight="1">
      <c r="A56" s="181">
        <v>1621</v>
      </c>
      <c r="B56" s="182" t="s">
        <v>95</v>
      </c>
    </row>
    <row r="57" spans="1:2" ht="16.5" customHeight="1">
      <c r="A57" s="182">
        <v>1900</v>
      </c>
      <c r="B57" s="182" t="s">
        <v>94</v>
      </c>
    </row>
    <row r="58" spans="1:2" ht="16.5" customHeight="1">
      <c r="A58" s="182">
        <v>2834</v>
      </c>
      <c r="B58" s="182" t="s">
        <v>97</v>
      </c>
    </row>
    <row r="59" spans="1:2" ht="16.5" customHeight="1">
      <c r="A59" s="182">
        <v>2835</v>
      </c>
      <c r="B59" s="182" t="s">
        <v>97</v>
      </c>
    </row>
    <row r="60" spans="1:2" ht="16.5" customHeight="1">
      <c r="A60" s="182">
        <v>2881</v>
      </c>
      <c r="B60" s="182" t="s">
        <v>94</v>
      </c>
    </row>
    <row r="61" spans="1:2" ht="16.5" customHeight="1">
      <c r="A61" s="182">
        <v>2882</v>
      </c>
      <c r="B61" s="182" t="s">
        <v>94</v>
      </c>
    </row>
    <row r="62" spans="1:2" ht="16.5" customHeight="1">
      <c r="A62" s="182">
        <v>2883</v>
      </c>
      <c r="B62" s="182" t="s">
        <v>95</v>
      </c>
    </row>
    <row r="63" spans="1:2" ht="16.5" customHeight="1">
      <c r="A63" s="182">
        <v>2900</v>
      </c>
      <c r="B63" s="182" t="s">
        <v>93</v>
      </c>
    </row>
    <row r="64" spans="1:2" ht="16.5" customHeight="1">
      <c r="A64" s="182">
        <v>8010</v>
      </c>
      <c r="B64" s="182" t="s">
        <v>98</v>
      </c>
    </row>
    <row r="65" spans="1:2" ht="16.5" customHeight="1">
      <c r="A65" s="182">
        <v>8011</v>
      </c>
      <c r="B65" s="182" t="s">
        <v>98</v>
      </c>
    </row>
    <row r="66" spans="1:2" ht="16.5" customHeight="1">
      <c r="A66" s="182">
        <v>8031</v>
      </c>
      <c r="B66" s="182" t="s">
        <v>98</v>
      </c>
    </row>
    <row r="67" spans="1:2" ht="16.5" customHeight="1">
      <c r="A67" s="182">
        <v>8300</v>
      </c>
      <c r="B67" s="181" t="s">
        <v>98</v>
      </c>
    </row>
    <row r="68" spans="1:2" ht="16.5" customHeight="1">
      <c r="A68" s="182">
        <v>8785</v>
      </c>
      <c r="B68" s="182" t="s">
        <v>95</v>
      </c>
    </row>
    <row r="69" spans="1:2" ht="16.5" customHeight="1">
      <c r="A69" s="182">
        <v>114861</v>
      </c>
      <c r="B69" s="182" t="s">
        <v>97</v>
      </c>
    </row>
    <row r="70" spans="1:2" ht="16.5" customHeight="1">
      <c r="A70" s="182">
        <v>116810</v>
      </c>
      <c r="B70" s="181" t="s">
        <v>95</v>
      </c>
    </row>
    <row r="71" spans="1:2" ht="16.5" customHeight="1">
      <c r="A71" s="182">
        <v>140800</v>
      </c>
      <c r="B71" s="182" t="s">
        <v>94</v>
      </c>
    </row>
    <row r="72" spans="1:2" ht="16.5" customHeight="1">
      <c r="A72" s="182">
        <v>169448</v>
      </c>
      <c r="B72" s="182" t="s">
        <v>98</v>
      </c>
    </row>
    <row r="73" spans="1:2" ht="16.5" customHeight="1">
      <c r="A73" s="182">
        <v>157020</v>
      </c>
      <c r="B73" s="182" t="s">
        <v>94</v>
      </c>
    </row>
    <row r="74" spans="1:2" ht="16.5" customHeight="1">
      <c r="A74" s="181">
        <v>165109</v>
      </c>
      <c r="B74" s="182" t="s">
        <v>98</v>
      </c>
    </row>
    <row r="75" spans="1:2" ht="16.5" customHeight="1">
      <c r="A75" s="182">
        <v>168130</v>
      </c>
      <c r="B75" s="182" t="s">
        <v>95</v>
      </c>
    </row>
    <row r="76" spans="1:2" ht="16.5" customHeight="1">
      <c r="A76" s="182">
        <v>169240</v>
      </c>
      <c r="B76" s="182" t="s">
        <v>98</v>
      </c>
    </row>
    <row r="77" spans="1:2" ht="16.5" customHeight="1">
      <c r="A77" s="182">
        <v>169241</v>
      </c>
      <c r="B77" s="182" t="s">
        <v>98</v>
      </c>
    </row>
    <row r="78" spans="1:2" ht="16.5" customHeight="1">
      <c r="A78" s="182">
        <v>169260</v>
      </c>
      <c r="B78" s="182" t="s">
        <v>98</v>
      </c>
    </row>
    <row r="79" spans="1:2" ht="16.5" customHeight="1">
      <c r="A79" s="182">
        <v>169280</v>
      </c>
      <c r="B79" s="182" t="s">
        <v>98</v>
      </c>
    </row>
    <row r="80" spans="1:2" ht="16.5" customHeight="1">
      <c r="A80" s="182">
        <v>200000</v>
      </c>
      <c r="B80" s="182" t="s">
        <v>100</v>
      </c>
    </row>
    <row r="81" spans="1:2" ht="16.5" customHeight="1">
      <c r="A81" s="182">
        <v>200020</v>
      </c>
      <c r="B81" s="182" t="s">
        <v>100</v>
      </c>
    </row>
    <row r="82" spans="1:2" ht="16.5" customHeight="1">
      <c r="A82" s="182">
        <v>200070</v>
      </c>
      <c r="B82" s="182" t="s">
        <v>100</v>
      </c>
    </row>
    <row r="83" spans="1:2" ht="16.5" customHeight="1">
      <c r="A83" s="182">
        <v>200130</v>
      </c>
      <c r="B83" s="182" t="s">
        <v>94</v>
      </c>
    </row>
    <row r="84" spans="1:2" ht="16.5" customHeight="1">
      <c r="A84" s="182">
        <v>200170</v>
      </c>
      <c r="B84" s="182" t="s">
        <v>94</v>
      </c>
    </row>
    <row r="85" spans="1:2" ht="16.5" customHeight="1">
      <c r="A85" s="182">
        <v>200200</v>
      </c>
      <c r="B85" s="182" t="s">
        <v>94</v>
      </c>
    </row>
    <row r="86" spans="1:2" ht="16.5" customHeight="1">
      <c r="A86" s="182">
        <v>200260</v>
      </c>
      <c r="B86" s="182" t="s">
        <v>100</v>
      </c>
    </row>
    <row r="87" spans="1:2" ht="16.5" customHeight="1">
      <c r="A87" s="182">
        <v>200290</v>
      </c>
      <c r="B87" s="182" t="s">
        <v>94</v>
      </c>
    </row>
    <row r="88" spans="1:2" ht="16.5" customHeight="1">
      <c r="A88" s="182">
        <v>200350</v>
      </c>
      <c r="B88" s="182" t="s">
        <v>94</v>
      </c>
    </row>
    <row r="89" spans="1:2" ht="16.5" customHeight="1">
      <c r="A89" s="182">
        <v>200370</v>
      </c>
      <c r="B89" s="182" t="s">
        <v>100</v>
      </c>
    </row>
    <row r="90" spans="1:2" ht="16.5" customHeight="1">
      <c r="A90" s="182">
        <v>200371</v>
      </c>
      <c r="B90" s="182" t="s">
        <v>100</v>
      </c>
    </row>
    <row r="91" spans="1:2" ht="16.5" customHeight="1">
      <c r="A91" s="182">
        <v>200411</v>
      </c>
      <c r="B91" s="182" t="s">
        <v>100</v>
      </c>
    </row>
    <row r="92" spans="1:2" ht="16.5" customHeight="1">
      <c r="A92" s="181" t="s">
        <v>103</v>
      </c>
      <c r="B92" s="181" t="s">
        <v>95</v>
      </c>
    </row>
    <row r="93" spans="1:2" ht="16.5" customHeight="1">
      <c r="A93" s="181" t="s">
        <v>104</v>
      </c>
      <c r="B93" s="181" t="s">
        <v>94</v>
      </c>
    </row>
    <row r="94" spans="1:2" ht="16.5" customHeight="1">
      <c r="A94" s="181" t="s">
        <v>105</v>
      </c>
      <c r="B94" s="181" t="s">
        <v>94</v>
      </c>
    </row>
    <row r="95" spans="1:2" ht="16.5" customHeight="1">
      <c r="A95" s="181" t="s">
        <v>106</v>
      </c>
      <c r="B95" s="181" t="s">
        <v>94</v>
      </c>
    </row>
    <row r="96" spans="1:2" ht="16.5" customHeight="1">
      <c r="A96" s="181" t="s">
        <v>107</v>
      </c>
      <c r="B96" s="181" t="s">
        <v>94</v>
      </c>
    </row>
    <row r="97" spans="1:2" ht="16.5" customHeight="1">
      <c r="A97" s="181" t="s">
        <v>108</v>
      </c>
      <c r="B97" s="181" t="s">
        <v>94</v>
      </c>
    </row>
    <row r="98" spans="1:2" ht="16.5" customHeight="1">
      <c r="A98" s="181" t="s">
        <v>109</v>
      </c>
      <c r="B98" s="181" t="s">
        <v>96</v>
      </c>
    </row>
    <row r="99" spans="1:2" ht="16.5" customHeight="1">
      <c r="A99" s="181" t="s">
        <v>110</v>
      </c>
      <c r="B99" s="181" t="s">
        <v>94</v>
      </c>
    </row>
    <row r="100" spans="1:2" ht="16.5" customHeight="1">
      <c r="A100" s="181" t="s">
        <v>111</v>
      </c>
      <c r="B100" s="181" t="s">
        <v>94</v>
      </c>
    </row>
    <row r="101" spans="1:2" ht="16.5" customHeight="1">
      <c r="A101" s="181" t="s">
        <v>112</v>
      </c>
      <c r="B101" s="181" t="s">
        <v>100</v>
      </c>
    </row>
    <row r="102" spans="1:2" ht="16.5" customHeight="1">
      <c r="A102" s="181" t="s">
        <v>113</v>
      </c>
      <c r="B102" s="181" t="s">
        <v>100</v>
      </c>
    </row>
    <row r="103" spans="1:2" ht="16.5" customHeight="1">
      <c r="A103" s="181" t="s">
        <v>114</v>
      </c>
      <c r="B103" s="181" t="s">
        <v>100</v>
      </c>
    </row>
    <row r="104" spans="1:2" ht="16.5" customHeight="1">
      <c r="A104" s="181" t="s">
        <v>115</v>
      </c>
      <c r="B104" s="181" t="s">
        <v>100</v>
      </c>
    </row>
    <row r="105" spans="1:2" ht="16.5" customHeight="1">
      <c r="A105" s="181" t="s">
        <v>116</v>
      </c>
      <c r="B105" s="181" t="s">
        <v>100</v>
      </c>
    </row>
    <row r="106" spans="1:2" ht="16.5" customHeight="1">
      <c r="A106" s="181" t="s">
        <v>117</v>
      </c>
      <c r="B106" s="181" t="s">
        <v>96</v>
      </c>
    </row>
    <row r="107" spans="1:2" ht="16.5" customHeight="1">
      <c r="A107" s="181" t="s">
        <v>118</v>
      </c>
      <c r="B107" s="181" t="s">
        <v>94</v>
      </c>
    </row>
    <row r="108" spans="1:2" ht="16.5" customHeight="1">
      <c r="A108" s="181" t="s">
        <v>119</v>
      </c>
      <c r="B108" s="181" t="s">
        <v>94</v>
      </c>
    </row>
    <row r="109" spans="1:2" ht="16.5" customHeight="1">
      <c r="A109" s="181" t="s">
        <v>120</v>
      </c>
      <c r="B109" s="181" t="s">
        <v>94</v>
      </c>
    </row>
    <row r="110" spans="1:2" ht="16.5" customHeight="1">
      <c r="A110" s="181" t="s">
        <v>121</v>
      </c>
      <c r="B110" s="181" t="s">
        <v>94</v>
      </c>
    </row>
    <row r="111" spans="1:2" ht="16.5" customHeight="1">
      <c r="A111" s="181">
        <v>122020</v>
      </c>
      <c r="B111" s="181" t="s">
        <v>93</v>
      </c>
    </row>
    <row r="112" spans="1:2" ht="16.5" customHeight="1">
      <c r="A112" s="181">
        <v>131023</v>
      </c>
      <c r="B112" s="181" t="s">
        <v>100</v>
      </c>
    </row>
    <row r="113" spans="1:2" ht="16.5" customHeight="1">
      <c r="A113" s="181">
        <v>152029</v>
      </c>
      <c r="B113" s="181" t="s">
        <v>94</v>
      </c>
    </row>
    <row r="114" spans="1:2" ht="16.5" customHeight="1">
      <c r="A114" s="181">
        <v>161024</v>
      </c>
      <c r="B114" s="181" t="s">
        <v>100</v>
      </c>
    </row>
    <row r="115" spans="1:2" ht="16.5" customHeight="1">
      <c r="A115" s="182">
        <v>161061</v>
      </c>
      <c r="B115" s="182" t="s">
        <v>93</v>
      </c>
    </row>
    <row r="116" spans="1:2" ht="16.5" customHeight="1">
      <c r="A116" s="181">
        <v>161074</v>
      </c>
      <c r="B116" s="181" t="s">
        <v>94</v>
      </c>
    </row>
    <row r="117" spans="1:2" ht="16.5" customHeight="1">
      <c r="A117" s="181">
        <v>161089</v>
      </c>
      <c r="B117" s="181" t="s">
        <v>94</v>
      </c>
    </row>
    <row r="118" spans="1:2" ht="16.5" customHeight="1">
      <c r="A118" s="181">
        <v>162006</v>
      </c>
      <c r="B118" s="181" t="s">
        <v>93</v>
      </c>
    </row>
    <row r="119" spans="1:2" ht="16.5" customHeight="1">
      <c r="A119" s="182">
        <v>162007</v>
      </c>
      <c r="B119" s="182" t="s">
        <v>93</v>
      </c>
    </row>
    <row r="120" spans="1:2" ht="16.5" customHeight="1">
      <c r="A120" s="181">
        <v>162010</v>
      </c>
      <c r="B120" s="181" t="s">
        <v>93</v>
      </c>
    </row>
    <row r="121" spans="1:2" ht="16.5" customHeight="1">
      <c r="A121" s="182">
        <v>162012</v>
      </c>
      <c r="B121" s="182" t="s">
        <v>93</v>
      </c>
    </row>
    <row r="122" spans="1:2" ht="16.5" customHeight="1">
      <c r="A122" s="182">
        <v>162013</v>
      </c>
      <c r="B122" s="182" t="s">
        <v>93</v>
      </c>
    </row>
    <row r="123" spans="1:2" ht="16.5" customHeight="1">
      <c r="A123" s="181">
        <v>162014</v>
      </c>
      <c r="B123" s="181" t="s">
        <v>93</v>
      </c>
    </row>
    <row r="124" spans="1:2" ht="16.5" customHeight="1">
      <c r="A124" s="181">
        <v>162015</v>
      </c>
      <c r="B124" s="181" t="s">
        <v>93</v>
      </c>
    </row>
    <row r="125" spans="1:2" ht="16.5" customHeight="1">
      <c r="A125" s="181">
        <v>162016</v>
      </c>
      <c r="B125" s="181" t="s">
        <v>93</v>
      </c>
    </row>
    <row r="126" spans="1:2" ht="16.5" customHeight="1">
      <c r="A126" s="181">
        <v>162017</v>
      </c>
      <c r="B126" s="182" t="s">
        <v>93</v>
      </c>
    </row>
    <row r="127" spans="1:2" ht="16.5" customHeight="1">
      <c r="A127" s="182">
        <v>162018</v>
      </c>
      <c r="B127" s="182" t="s">
        <v>93</v>
      </c>
    </row>
    <row r="128" spans="1:2" ht="16.5" customHeight="1">
      <c r="A128" s="181">
        <v>162020</v>
      </c>
      <c r="B128" s="181" t="s">
        <v>93</v>
      </c>
    </row>
    <row r="129" spans="1:2" ht="16.5" customHeight="1">
      <c r="A129" s="182">
        <v>162021</v>
      </c>
      <c r="B129" s="182" t="s">
        <v>93</v>
      </c>
    </row>
    <row r="130" spans="1:2" ht="16.5" customHeight="1">
      <c r="A130" s="181">
        <v>162022</v>
      </c>
      <c r="B130" s="181" t="s">
        <v>96</v>
      </c>
    </row>
    <row r="131" spans="1:2" ht="16.5" customHeight="1">
      <c r="A131" s="181">
        <v>162023</v>
      </c>
      <c r="B131" s="181" t="s">
        <v>96</v>
      </c>
    </row>
    <row r="132" spans="1:2" ht="16.5" customHeight="1">
      <c r="A132" s="181">
        <v>162024</v>
      </c>
      <c r="B132" s="181" t="s">
        <v>96</v>
      </c>
    </row>
    <row r="133" spans="1:2" ht="16.5" customHeight="1">
      <c r="A133" s="181">
        <v>162025</v>
      </c>
      <c r="B133" s="181" t="s">
        <v>96</v>
      </c>
    </row>
    <row r="134" spans="1:2" ht="16.5" customHeight="1">
      <c r="A134" s="181">
        <v>162026</v>
      </c>
      <c r="B134" s="181" t="s">
        <v>96</v>
      </c>
    </row>
    <row r="135" spans="1:2" ht="16.5" customHeight="1">
      <c r="A135" s="181">
        <v>162041</v>
      </c>
      <c r="B135" s="181" t="s">
        <v>97</v>
      </c>
    </row>
    <row r="136" spans="1:2" ht="16.5" customHeight="1">
      <c r="A136" s="181">
        <v>202018</v>
      </c>
      <c r="B136" s="181" t="s">
        <v>93</v>
      </c>
    </row>
    <row r="137" spans="1:2" ht="16.5" customHeight="1">
      <c r="A137" s="181">
        <v>302012</v>
      </c>
      <c r="B137" s="181" t="s">
        <v>93</v>
      </c>
    </row>
    <row r="138" spans="1:2" ht="16.5" customHeight="1">
      <c r="A138" s="181">
        <v>302020</v>
      </c>
      <c r="B138" s="181" t="s">
        <v>102</v>
      </c>
    </row>
    <row r="139" spans="1:2" ht="16.5" customHeight="1">
      <c r="A139" s="182">
        <v>302033</v>
      </c>
      <c r="B139" s="182" t="s">
        <v>102</v>
      </c>
    </row>
    <row r="140" spans="1:2" ht="16.5" customHeight="1">
      <c r="A140" s="182">
        <v>302034</v>
      </c>
      <c r="B140" s="182" t="s">
        <v>102</v>
      </c>
    </row>
    <row r="141" spans="1:2" ht="16.5" customHeight="1">
      <c r="A141" s="182">
        <v>302038</v>
      </c>
      <c r="B141" s="182" t="s">
        <v>102</v>
      </c>
    </row>
    <row r="142" spans="1:2" ht="16.5" customHeight="1">
      <c r="A142" s="182">
        <v>302040</v>
      </c>
      <c r="B142" s="182" t="s">
        <v>102</v>
      </c>
    </row>
    <row r="143" spans="1:2" ht="16.5" customHeight="1">
      <c r="A143" s="182">
        <v>302045</v>
      </c>
      <c r="B143" s="182" t="s">
        <v>102</v>
      </c>
    </row>
    <row r="144" spans="1:2" ht="16.5" customHeight="1">
      <c r="A144" s="182">
        <v>302059</v>
      </c>
      <c r="B144" s="182" t="s">
        <v>102</v>
      </c>
    </row>
    <row r="145" spans="1:2" ht="16.5" customHeight="1">
      <c r="A145" s="181">
        <v>402006</v>
      </c>
      <c r="B145" s="181" t="s">
        <v>95</v>
      </c>
    </row>
    <row r="146" spans="1:2" ht="16.5" customHeight="1">
      <c r="A146" s="181">
        <v>402007</v>
      </c>
      <c r="B146" s="181" t="s">
        <v>101</v>
      </c>
    </row>
    <row r="147" spans="1:2" ht="16.5" customHeight="1">
      <c r="A147" s="181">
        <v>402012</v>
      </c>
      <c r="B147" s="181" t="s">
        <v>93</v>
      </c>
    </row>
    <row r="148" spans="1:2" ht="16.5" customHeight="1">
      <c r="A148" s="181">
        <v>402015</v>
      </c>
      <c r="B148" s="181" t="s">
        <v>101</v>
      </c>
    </row>
    <row r="149" spans="1:2" ht="16.5" customHeight="1">
      <c r="A149" s="181">
        <v>402019</v>
      </c>
      <c r="B149" s="181" t="s">
        <v>102</v>
      </c>
    </row>
    <row r="150" spans="1:2" ht="16.5" customHeight="1">
      <c r="A150" s="181">
        <v>402021</v>
      </c>
      <c r="B150" s="181" t="s">
        <v>101</v>
      </c>
    </row>
    <row r="151" spans="1:2" ht="16.5" customHeight="1">
      <c r="A151" s="181">
        <v>402022</v>
      </c>
      <c r="B151" s="181" t="s">
        <v>102</v>
      </c>
    </row>
    <row r="152" spans="1:2" ht="16.5" customHeight="1">
      <c r="A152" s="181">
        <v>402023</v>
      </c>
      <c r="B152" s="181" t="s">
        <v>102</v>
      </c>
    </row>
    <row r="153" spans="1:2" ht="16.5" customHeight="1">
      <c r="A153" s="182">
        <v>402024</v>
      </c>
      <c r="B153" s="182" t="s">
        <v>102</v>
      </c>
    </row>
    <row r="154" spans="1:2" ht="16.5" customHeight="1">
      <c r="A154" s="182">
        <v>402028</v>
      </c>
      <c r="B154" s="182" t="s">
        <v>102</v>
      </c>
    </row>
    <row r="155" spans="1:2" ht="16.5" customHeight="1">
      <c r="A155" s="182">
        <v>402029</v>
      </c>
      <c r="B155" s="182" t="s">
        <v>102</v>
      </c>
    </row>
    <row r="156" spans="1:2" ht="16.5" customHeight="1">
      <c r="A156" s="182">
        <v>402030</v>
      </c>
      <c r="B156" s="182" t="s">
        <v>102</v>
      </c>
    </row>
    <row r="157" spans="1:2" ht="16.5" customHeight="1">
      <c r="A157" s="182">
        <v>402032</v>
      </c>
      <c r="B157" s="182" t="s">
        <v>102</v>
      </c>
    </row>
    <row r="158" spans="1:2" ht="16.5" customHeight="1">
      <c r="A158" s="182">
        <v>402033</v>
      </c>
      <c r="B158" s="182" t="s">
        <v>101</v>
      </c>
    </row>
    <row r="159" spans="1:2" ht="16.5" customHeight="1">
      <c r="A159" s="182">
        <v>402035</v>
      </c>
      <c r="B159" s="182" t="s">
        <v>102</v>
      </c>
    </row>
    <row r="160" spans="1:2" ht="16.5" customHeight="1">
      <c r="A160" s="182">
        <v>402036</v>
      </c>
      <c r="B160" s="182" t="s">
        <v>102</v>
      </c>
    </row>
    <row r="161" spans="1:2" ht="16.5" customHeight="1">
      <c r="A161" s="182">
        <v>402037</v>
      </c>
      <c r="B161" s="182" t="s">
        <v>102</v>
      </c>
    </row>
    <row r="162" spans="1:2" ht="16.5" customHeight="1">
      <c r="A162" s="182">
        <v>402038</v>
      </c>
      <c r="B162" s="182" t="s">
        <v>101</v>
      </c>
    </row>
    <row r="163" spans="1:2" ht="16.5" customHeight="1">
      <c r="A163" s="182">
        <v>402039</v>
      </c>
      <c r="B163" s="182" t="s">
        <v>102</v>
      </c>
    </row>
    <row r="164" spans="1:2" ht="16.5" customHeight="1">
      <c r="A164" s="182">
        <v>402045</v>
      </c>
      <c r="B164" s="182" t="s">
        <v>102</v>
      </c>
    </row>
    <row r="165" spans="1:2" ht="16.5" customHeight="1">
      <c r="A165" s="182">
        <v>402046</v>
      </c>
      <c r="B165" s="182" t="s">
        <v>102</v>
      </c>
    </row>
    <row r="166" spans="1:2" ht="16.5" customHeight="1">
      <c r="A166" s="182">
        <v>402048</v>
      </c>
      <c r="B166" s="182" t="s">
        <v>102</v>
      </c>
    </row>
    <row r="167" spans="1:2" ht="16.5" customHeight="1">
      <c r="A167" s="182">
        <v>402054</v>
      </c>
      <c r="B167" s="182" t="s">
        <v>102</v>
      </c>
    </row>
    <row r="168" spans="1:2" ht="16.5" customHeight="1">
      <c r="A168" s="182">
        <v>402055</v>
      </c>
      <c r="B168" s="182" t="s">
        <v>94</v>
      </c>
    </row>
    <row r="169" spans="1:2" ht="16.5" customHeight="1">
      <c r="A169" s="182">
        <v>402060</v>
      </c>
      <c r="B169" s="182" t="s">
        <v>94</v>
      </c>
    </row>
    <row r="170" spans="1:2" ht="16.5" customHeight="1">
      <c r="A170" s="182">
        <v>402061</v>
      </c>
      <c r="B170" s="182" t="s">
        <v>94</v>
      </c>
    </row>
    <row r="171" spans="1:2" ht="16.5" customHeight="1">
      <c r="A171" s="181">
        <v>10513</v>
      </c>
      <c r="B171" s="181" t="s">
        <v>95</v>
      </c>
    </row>
    <row r="172" spans="1:2" ht="16.5" customHeight="1">
      <c r="A172" s="181">
        <v>10515</v>
      </c>
      <c r="B172" s="181" t="s">
        <v>95</v>
      </c>
    </row>
    <row r="173" spans="1:2" ht="16.5" customHeight="1">
      <c r="A173" s="181">
        <v>19127</v>
      </c>
      <c r="B173" s="181" t="s">
        <v>95</v>
      </c>
    </row>
    <row r="174" spans="1:2" ht="16.5" customHeight="1">
      <c r="A174" s="181">
        <v>50133</v>
      </c>
      <c r="B174" s="181" t="s">
        <v>94</v>
      </c>
    </row>
    <row r="175" spans="1:2" ht="16.5" customHeight="1">
      <c r="A175" s="181">
        <v>50140</v>
      </c>
      <c r="B175" s="181" t="s">
        <v>94</v>
      </c>
    </row>
    <row r="176" spans="1:2" ht="16.5" customHeight="1">
      <c r="A176" s="181">
        <v>50145</v>
      </c>
      <c r="B176" s="181" t="s">
        <v>94</v>
      </c>
    </row>
    <row r="177" spans="1:2" ht="16.5" customHeight="1">
      <c r="A177" s="181">
        <v>74067</v>
      </c>
      <c r="B177" s="181" t="s">
        <v>96</v>
      </c>
    </row>
    <row r="178" spans="1:2" ht="16.5" customHeight="1">
      <c r="A178" s="181">
        <v>74069</v>
      </c>
      <c r="B178" s="181" t="s">
        <v>101</v>
      </c>
    </row>
    <row r="179" spans="1:2" ht="16.5" customHeight="1">
      <c r="A179" s="181">
        <v>265044</v>
      </c>
      <c r="B179" s="181" t="s">
        <v>93</v>
      </c>
    </row>
    <row r="180" spans="1:2" ht="16.5" customHeight="1">
      <c r="A180" s="182">
        <v>220004</v>
      </c>
      <c r="B180" s="182" t="s">
        <v>100</v>
      </c>
    </row>
    <row r="181" spans="1:2" ht="16.5" customHeight="1">
      <c r="A181" s="181">
        <v>221081</v>
      </c>
      <c r="B181" s="183" t="s">
        <v>122</v>
      </c>
    </row>
    <row r="182" spans="1:2" ht="16.5" customHeight="1">
      <c r="A182" s="181">
        <v>228002</v>
      </c>
      <c r="B182" s="183" t="s">
        <v>101</v>
      </c>
    </row>
    <row r="183" spans="1:2" ht="16.5" customHeight="1">
      <c r="A183" s="181">
        <v>235301</v>
      </c>
      <c r="B183" s="181" t="s">
        <v>95</v>
      </c>
    </row>
    <row r="184" spans="1:2" ht="16.5" customHeight="1">
      <c r="A184" s="181">
        <v>247005</v>
      </c>
      <c r="B184" s="181" t="s">
        <v>95</v>
      </c>
    </row>
    <row r="185" spans="1:2" ht="16.5" customHeight="1">
      <c r="A185" s="181">
        <v>260012</v>
      </c>
      <c r="B185" s="181" t="s">
        <v>94</v>
      </c>
    </row>
    <row r="186" spans="1:2" ht="16.5" customHeight="1">
      <c r="A186" s="181">
        <v>260021</v>
      </c>
      <c r="B186" s="181" t="s">
        <v>94</v>
      </c>
    </row>
    <row r="187" spans="1:2" ht="16.5" customHeight="1">
      <c r="A187" s="182">
        <v>260061</v>
      </c>
      <c r="B187" s="182" t="s">
        <v>123</v>
      </c>
    </row>
    <row r="188" spans="1:2" ht="16.5" customHeight="1">
      <c r="A188" s="181">
        <v>260101</v>
      </c>
      <c r="B188" s="181" t="s">
        <v>94</v>
      </c>
    </row>
    <row r="189" spans="1:2" ht="16.5" customHeight="1">
      <c r="A189" s="181">
        <v>260150</v>
      </c>
      <c r="B189" s="183" t="s">
        <v>100</v>
      </c>
    </row>
    <row r="190" spans="1:2" ht="16.5" customHeight="1">
      <c r="A190" s="181">
        <v>260151</v>
      </c>
      <c r="B190" s="183" t="s">
        <v>100</v>
      </c>
    </row>
    <row r="191" spans="1:2" ht="16.5" customHeight="1">
      <c r="A191" s="181">
        <v>260201</v>
      </c>
      <c r="B191" s="181" t="s">
        <v>94</v>
      </c>
    </row>
    <row r="192" spans="1:2" ht="16.5" customHeight="1">
      <c r="A192" s="181">
        <v>260351</v>
      </c>
      <c r="B192" s="181" t="s">
        <v>94</v>
      </c>
    </row>
    <row r="193" spans="1:2" ht="16.5" customHeight="1">
      <c r="A193" s="181">
        <v>260451</v>
      </c>
      <c r="B193" s="181" t="s">
        <v>94</v>
      </c>
    </row>
    <row r="194" spans="1:2" ht="16.5" customHeight="1">
      <c r="A194" s="181">
        <v>262101</v>
      </c>
      <c r="B194" s="181" t="s">
        <v>94</v>
      </c>
    </row>
    <row r="195" spans="1:2" ht="16.5" customHeight="1">
      <c r="A195" s="182">
        <v>262401</v>
      </c>
      <c r="B195" s="182" t="s">
        <v>94</v>
      </c>
    </row>
    <row r="196" spans="1:2" ht="16.5" customHeight="1">
      <c r="A196" s="182">
        <v>262501</v>
      </c>
      <c r="B196" s="182" t="s">
        <v>93</v>
      </c>
    </row>
    <row r="197" spans="1:2" ht="16.5" customHeight="1">
      <c r="A197" s="182">
        <v>262502</v>
      </c>
      <c r="B197" s="182" t="s">
        <v>93</v>
      </c>
    </row>
    <row r="198" spans="1:2" ht="16.5" customHeight="1">
      <c r="A198" s="182">
        <v>262503</v>
      </c>
      <c r="B198" s="182" t="s">
        <v>93</v>
      </c>
    </row>
    <row r="199" spans="1:2" ht="16.5" customHeight="1">
      <c r="A199" s="182">
        <v>262505</v>
      </c>
      <c r="B199" s="181" t="s">
        <v>93</v>
      </c>
    </row>
    <row r="200" spans="1:2" ht="16.5" customHeight="1">
      <c r="A200" s="181">
        <v>262506</v>
      </c>
      <c r="B200" s="181" t="s">
        <v>93</v>
      </c>
    </row>
    <row r="201" spans="1:2" ht="16.5" customHeight="1">
      <c r="A201" s="182">
        <v>263011</v>
      </c>
      <c r="B201" s="182" t="s">
        <v>95</v>
      </c>
    </row>
    <row r="202" spans="1:2" ht="16.5" customHeight="1">
      <c r="A202" s="181">
        <v>270100</v>
      </c>
      <c r="B202" s="183" t="s">
        <v>94</v>
      </c>
    </row>
    <row r="203" spans="1:2" ht="16.5" customHeight="1">
      <c r="A203" s="181">
        <v>270126</v>
      </c>
      <c r="B203" s="183" t="s">
        <v>94</v>
      </c>
    </row>
    <row r="204" spans="1:2" ht="16.5" customHeight="1">
      <c r="A204" s="184">
        <v>270210</v>
      </c>
      <c r="B204" s="183" t="s">
        <v>96</v>
      </c>
    </row>
    <row r="205" spans="1:2" ht="16.5" customHeight="1">
      <c r="A205" s="182">
        <v>280031</v>
      </c>
      <c r="B205" s="182" t="s">
        <v>96</v>
      </c>
    </row>
    <row r="206" spans="1:2" ht="16.5" customHeight="1">
      <c r="A206" s="182">
        <v>280031</v>
      </c>
      <c r="B206" s="182" t="s">
        <v>94</v>
      </c>
    </row>
    <row r="207" spans="1:2" ht="16.5" customHeight="1">
      <c r="A207" s="181">
        <v>280051</v>
      </c>
      <c r="B207" s="183" t="s">
        <v>96</v>
      </c>
    </row>
    <row r="208" spans="1:2" ht="16.5" customHeight="1">
      <c r="A208" s="181">
        <v>280071</v>
      </c>
      <c r="B208" s="183" t="s">
        <v>96</v>
      </c>
    </row>
    <row r="209" spans="1:2" ht="16.5" customHeight="1">
      <c r="A209" s="181">
        <v>280096</v>
      </c>
      <c r="B209" s="183" t="s">
        <v>96</v>
      </c>
    </row>
    <row r="210" spans="1:2" ht="16.5" customHeight="1">
      <c r="A210" s="181">
        <v>280100</v>
      </c>
      <c r="B210" s="183" t="s">
        <v>96</v>
      </c>
    </row>
    <row r="211" spans="1:2" ht="16.5" customHeight="1">
      <c r="A211" s="181">
        <v>280106</v>
      </c>
      <c r="B211" s="183" t="s">
        <v>94</v>
      </c>
    </row>
    <row r="212" spans="1:2" ht="16.5" customHeight="1">
      <c r="A212" s="181">
        <v>280110</v>
      </c>
      <c r="B212" s="183" t="s">
        <v>96</v>
      </c>
    </row>
    <row r="213" spans="1:2" ht="16.5" customHeight="1">
      <c r="A213" s="181">
        <v>280120</v>
      </c>
      <c r="B213" s="183" t="s">
        <v>96</v>
      </c>
    </row>
    <row r="214" spans="1:2" ht="16.5" customHeight="1">
      <c r="A214" s="181">
        <v>280126</v>
      </c>
      <c r="B214" s="183" t="s">
        <v>94</v>
      </c>
    </row>
    <row r="215" spans="1:2" ht="16.5" customHeight="1">
      <c r="A215" s="181">
        <v>280130</v>
      </c>
      <c r="B215" s="183" t="s">
        <v>94</v>
      </c>
    </row>
    <row r="216" spans="1:2" ht="16.5" customHeight="1">
      <c r="A216" s="181">
        <v>280141</v>
      </c>
      <c r="B216" s="183" t="s">
        <v>96</v>
      </c>
    </row>
    <row r="217" spans="1:2" ht="16.5" customHeight="1">
      <c r="A217" s="181">
        <v>280150</v>
      </c>
      <c r="B217" s="183" t="s">
        <v>96</v>
      </c>
    </row>
    <row r="218" spans="1:2" ht="16.5" customHeight="1">
      <c r="A218" s="181">
        <v>280151</v>
      </c>
      <c r="B218" s="183" t="s">
        <v>96</v>
      </c>
    </row>
    <row r="219" spans="1:2" ht="16.5" customHeight="1">
      <c r="A219" s="181">
        <v>280165</v>
      </c>
      <c r="B219" s="183" t="s">
        <v>96</v>
      </c>
    </row>
    <row r="220" spans="1:2" ht="16.5" customHeight="1">
      <c r="A220" s="181">
        <v>280300</v>
      </c>
      <c r="B220" s="183" t="s">
        <v>94</v>
      </c>
    </row>
    <row r="221" spans="1:2" ht="16.5" customHeight="1">
      <c r="A221" s="181">
        <v>280301</v>
      </c>
      <c r="B221" s="183" t="s">
        <v>94</v>
      </c>
    </row>
    <row r="222" spans="1:2" ht="16.5" customHeight="1">
      <c r="A222" s="181">
        <v>296004</v>
      </c>
      <c r="B222" s="183" t="s">
        <v>94</v>
      </c>
    </row>
    <row r="223" spans="1:2" ht="16.5" customHeight="1">
      <c r="A223" s="181" t="s">
        <v>124</v>
      </c>
      <c r="B223" s="181" t="s">
        <v>94</v>
      </c>
    </row>
    <row r="224" spans="1:2" ht="16.5" customHeight="1">
      <c r="A224" s="182" t="s">
        <v>125</v>
      </c>
      <c r="B224" s="182" t="s">
        <v>94</v>
      </c>
    </row>
    <row r="225" spans="1:2" ht="16.5" customHeight="1">
      <c r="A225" s="182" t="s">
        <v>126</v>
      </c>
      <c r="B225" s="182" t="s">
        <v>95</v>
      </c>
    </row>
    <row r="226" spans="1:2" ht="16.5" customHeight="1">
      <c r="A226" s="182" t="s">
        <v>127</v>
      </c>
      <c r="B226" s="182" t="s">
        <v>95</v>
      </c>
    </row>
    <row r="227" spans="1:2" ht="16.5" customHeight="1">
      <c r="A227" s="182" t="s">
        <v>128</v>
      </c>
      <c r="B227" s="182" t="s">
        <v>95</v>
      </c>
    </row>
    <row r="228" spans="1:2" ht="16.5" customHeight="1">
      <c r="A228" s="182" t="s">
        <v>129</v>
      </c>
      <c r="B228" s="182" t="s">
        <v>95</v>
      </c>
    </row>
    <row r="229" spans="1:2" ht="16.5" customHeight="1">
      <c r="A229" s="181" t="s">
        <v>130</v>
      </c>
      <c r="B229" s="181" t="s">
        <v>95</v>
      </c>
    </row>
    <row r="230" spans="1:2" ht="16.5" customHeight="1">
      <c r="A230" s="181" t="s">
        <v>131</v>
      </c>
      <c r="B230" s="181"/>
    </row>
    <row r="231" spans="1:2" ht="16.5" customHeight="1">
      <c r="A231" s="181" t="s">
        <v>132</v>
      </c>
      <c r="B231" s="181" t="s">
        <v>100</v>
      </c>
    </row>
    <row r="232" spans="1:2" ht="16.5" customHeight="1">
      <c r="A232" s="181" t="s">
        <v>133</v>
      </c>
      <c r="B232" s="181" t="s">
        <v>98</v>
      </c>
    </row>
    <row r="233" spans="1:2" ht="16.5" customHeight="1">
      <c r="A233" s="181" t="s">
        <v>134</v>
      </c>
      <c r="B233" s="181" t="s">
        <v>98</v>
      </c>
    </row>
    <row r="234" spans="1:2" ht="16.5" customHeight="1">
      <c r="A234" s="181" t="s">
        <v>135</v>
      </c>
      <c r="B234" s="181" t="s">
        <v>100</v>
      </c>
    </row>
    <row r="235" spans="1:2" ht="16.5" customHeight="1">
      <c r="A235" s="182">
        <v>6554</v>
      </c>
      <c r="B235" s="185" t="s">
        <v>94</v>
      </c>
    </row>
    <row r="236" spans="1:2" ht="16.5" customHeight="1">
      <c r="A236" s="181">
        <v>10152</v>
      </c>
      <c r="B236" s="181" t="s">
        <v>122</v>
      </c>
    </row>
    <row r="237" spans="1:2" ht="16.5" customHeight="1">
      <c r="A237" s="182">
        <v>70004</v>
      </c>
      <c r="B237" s="182" t="s">
        <v>100</v>
      </c>
    </row>
    <row r="238" spans="1:2" ht="16.5" customHeight="1">
      <c r="A238" s="182">
        <v>70011</v>
      </c>
      <c r="B238" s="182" t="s">
        <v>100</v>
      </c>
    </row>
    <row r="239" spans="1:2" ht="16.5" customHeight="1">
      <c r="A239" s="182">
        <v>70012</v>
      </c>
      <c r="B239" s="182" t="s">
        <v>123</v>
      </c>
    </row>
    <row r="240" spans="1:2" ht="16.5" customHeight="1">
      <c r="A240" s="182">
        <v>70015</v>
      </c>
      <c r="B240" s="182" t="s">
        <v>100</v>
      </c>
    </row>
    <row r="241" spans="1:2" ht="16.5" customHeight="1">
      <c r="A241" s="181" t="s">
        <v>57</v>
      </c>
      <c r="B241" s="183" t="s">
        <v>94</v>
      </c>
    </row>
    <row r="242" spans="1:2" ht="16.5" customHeight="1">
      <c r="A242" s="181" t="s">
        <v>136</v>
      </c>
      <c r="B242" s="183" t="s">
        <v>95</v>
      </c>
    </row>
    <row r="243" spans="1:2" ht="16.5" customHeight="1">
      <c r="A243" s="181" t="s">
        <v>137</v>
      </c>
      <c r="B243" s="183" t="s">
        <v>94</v>
      </c>
    </row>
    <row r="244" spans="1:2" ht="16.5" customHeight="1">
      <c r="A244" s="181" t="s">
        <v>138</v>
      </c>
      <c r="B244" s="183" t="s">
        <v>94</v>
      </c>
    </row>
    <row r="245" spans="1:2" ht="16.5" customHeight="1">
      <c r="A245" s="181" t="s">
        <v>139</v>
      </c>
      <c r="B245" s="183" t="s">
        <v>94</v>
      </c>
    </row>
    <row r="246" spans="1:2" ht="16.5" customHeight="1">
      <c r="A246" s="181" t="s">
        <v>140</v>
      </c>
      <c r="B246" s="183" t="s">
        <v>94</v>
      </c>
    </row>
    <row r="247" spans="1:2" ht="16.5" customHeight="1">
      <c r="A247" s="181" t="s">
        <v>141</v>
      </c>
      <c r="B247" s="183" t="s">
        <v>94</v>
      </c>
    </row>
    <row r="248" spans="1:2" ht="16.5" customHeight="1">
      <c r="A248" s="181" t="s">
        <v>142</v>
      </c>
      <c r="B248" s="183" t="s">
        <v>95</v>
      </c>
    </row>
    <row r="249" spans="1:2" ht="16.5" customHeight="1">
      <c r="A249" s="181" t="s">
        <v>143</v>
      </c>
      <c r="B249" s="183" t="s">
        <v>94</v>
      </c>
    </row>
    <row r="250" spans="1:2" ht="16.5" customHeight="1">
      <c r="A250" s="182" t="s">
        <v>144</v>
      </c>
      <c r="B250" s="186" t="s">
        <v>94</v>
      </c>
    </row>
    <row r="251" spans="1:2" ht="16.5" customHeight="1">
      <c r="A251" s="181" t="s">
        <v>145</v>
      </c>
      <c r="B251" s="183" t="s">
        <v>94</v>
      </c>
    </row>
    <row r="252" spans="1:2" ht="16.5" customHeight="1">
      <c r="A252" s="182" t="s">
        <v>146</v>
      </c>
      <c r="B252" s="186" t="s">
        <v>94</v>
      </c>
    </row>
    <row r="253" spans="1:2" ht="16.5" customHeight="1">
      <c r="A253" s="181" t="s">
        <v>147</v>
      </c>
      <c r="B253" s="181" t="s">
        <v>94</v>
      </c>
    </row>
    <row r="254" spans="1:2" ht="16.5" customHeight="1">
      <c r="A254" s="181" t="s">
        <v>148</v>
      </c>
      <c r="B254" s="183" t="s">
        <v>94</v>
      </c>
    </row>
    <row r="255" spans="1:2" ht="16.5" customHeight="1">
      <c r="A255" s="181" t="s">
        <v>149</v>
      </c>
      <c r="B255" s="181" t="s">
        <v>98</v>
      </c>
    </row>
    <row r="256" spans="1:2" ht="16.5" customHeight="1">
      <c r="A256" s="181" t="s">
        <v>150</v>
      </c>
      <c r="B256" s="181" t="s">
        <v>98</v>
      </c>
    </row>
    <row r="257" spans="1:2" ht="16.5" customHeight="1">
      <c r="A257" s="181" t="s">
        <v>151</v>
      </c>
      <c r="B257" s="181" t="s">
        <v>122</v>
      </c>
    </row>
    <row r="258" spans="1:2" ht="16.5" customHeight="1">
      <c r="A258" s="182" t="s">
        <v>152</v>
      </c>
      <c r="B258" s="186" t="s">
        <v>96</v>
      </c>
    </row>
    <row r="259" spans="1:2" ht="16.5" customHeight="1">
      <c r="A259" s="182" t="s">
        <v>153</v>
      </c>
      <c r="B259" s="186" t="s">
        <v>96</v>
      </c>
    </row>
    <row r="260" spans="1:2" ht="16.5" customHeight="1">
      <c r="A260" s="181" t="s">
        <v>154</v>
      </c>
      <c r="B260" s="181" t="s">
        <v>98</v>
      </c>
    </row>
    <row r="261" spans="1:2" ht="16.5" customHeight="1">
      <c r="A261" s="182" t="s">
        <v>155</v>
      </c>
      <c r="B261" s="182" t="s">
        <v>95</v>
      </c>
    </row>
    <row r="262" spans="1:2" ht="16.5" customHeight="1">
      <c r="A262" s="182" t="s">
        <v>156</v>
      </c>
      <c r="B262" s="186" t="s">
        <v>96</v>
      </c>
    </row>
    <row r="263" spans="1:2" ht="16.5" customHeight="1">
      <c r="A263" s="182" t="s">
        <v>157</v>
      </c>
      <c r="B263" s="186" t="s">
        <v>96</v>
      </c>
    </row>
    <row r="264" spans="1:2" ht="16.5" customHeight="1">
      <c r="A264" s="182" t="s">
        <v>158</v>
      </c>
      <c r="B264" s="186" t="s">
        <v>96</v>
      </c>
    </row>
    <row r="265" spans="1:2" ht="16.5" customHeight="1">
      <c r="A265" s="182" t="s">
        <v>159</v>
      </c>
      <c r="B265" s="186" t="s">
        <v>96</v>
      </c>
    </row>
    <row r="266" spans="1:2" ht="16.5" customHeight="1">
      <c r="A266" s="182" t="s">
        <v>160</v>
      </c>
      <c r="B266" s="186" t="s">
        <v>101</v>
      </c>
    </row>
    <row r="267" spans="1:2" ht="16.5" customHeight="1">
      <c r="A267" s="182" t="s">
        <v>161</v>
      </c>
      <c r="B267" s="182" t="s">
        <v>95</v>
      </c>
    </row>
    <row r="268" spans="1:2" ht="16.5" customHeight="1">
      <c r="A268" s="182" t="s">
        <v>162</v>
      </c>
      <c r="B268" s="182" t="s">
        <v>93</v>
      </c>
    </row>
    <row r="269" spans="1:2" ht="16.5" customHeight="1">
      <c r="A269" s="182" t="s">
        <v>163</v>
      </c>
      <c r="B269" s="182" t="s">
        <v>94</v>
      </c>
    </row>
    <row r="270" spans="1:2" ht="16.5" customHeight="1">
      <c r="A270" s="181" t="s">
        <v>164</v>
      </c>
      <c r="B270" s="183" t="s">
        <v>97</v>
      </c>
    </row>
    <row r="271" spans="1:2" ht="16.5" customHeight="1">
      <c r="A271" s="182" t="s">
        <v>165</v>
      </c>
      <c r="B271" s="186" t="s">
        <v>97</v>
      </c>
    </row>
    <row r="272" spans="1:2" ht="16.5" customHeight="1">
      <c r="A272" s="182" t="s">
        <v>166</v>
      </c>
      <c r="B272" s="182" t="s">
        <v>95</v>
      </c>
    </row>
    <row r="273" spans="1:2" ht="16.5" customHeight="1">
      <c r="A273" s="182" t="s">
        <v>167</v>
      </c>
      <c r="B273" s="186" t="s">
        <v>94</v>
      </c>
    </row>
    <row r="274" spans="1:2" ht="16.5" customHeight="1">
      <c r="A274" s="181" t="s">
        <v>168</v>
      </c>
      <c r="B274" s="183" t="s">
        <v>94</v>
      </c>
    </row>
    <row r="275" spans="1:2" ht="16.5" customHeight="1">
      <c r="A275" s="181" t="s">
        <v>169</v>
      </c>
      <c r="B275" s="183" t="s">
        <v>95</v>
      </c>
    </row>
    <row r="276" spans="1:2" ht="16.5" customHeight="1">
      <c r="A276" s="181" t="s">
        <v>170</v>
      </c>
      <c r="B276" s="181" t="s">
        <v>95</v>
      </c>
    </row>
    <row r="277" spans="1:2" ht="16.5" customHeight="1">
      <c r="A277" s="181" t="s">
        <v>171</v>
      </c>
      <c r="B277" s="181" t="s">
        <v>95</v>
      </c>
    </row>
    <row r="278" spans="1:2" ht="16.5" customHeight="1">
      <c r="A278" s="181" t="s">
        <v>172</v>
      </c>
      <c r="B278" s="181" t="s">
        <v>95</v>
      </c>
    </row>
    <row r="279" spans="1:2" ht="16.5" customHeight="1">
      <c r="A279" s="182" t="s">
        <v>173</v>
      </c>
      <c r="B279" s="183" t="s">
        <v>93</v>
      </c>
    </row>
    <row r="280" spans="1:2" ht="16.5" customHeight="1">
      <c r="A280" s="181" t="s">
        <v>174</v>
      </c>
      <c r="B280" s="181" t="s">
        <v>95</v>
      </c>
    </row>
    <row r="281" spans="1:2" ht="16.5" customHeight="1">
      <c r="A281" s="181" t="s">
        <v>175</v>
      </c>
      <c r="B281" s="181" t="s">
        <v>95</v>
      </c>
    </row>
    <row r="282" spans="1:2" ht="16.5" customHeight="1">
      <c r="A282" s="181" t="s">
        <v>176</v>
      </c>
      <c r="B282" s="181" t="s">
        <v>95</v>
      </c>
    </row>
    <row r="283" spans="1:2" ht="16.5" customHeight="1">
      <c r="A283" s="182" t="s">
        <v>177</v>
      </c>
      <c r="B283" s="182" t="s">
        <v>95</v>
      </c>
    </row>
    <row r="284" spans="1:2" ht="16.5" customHeight="1">
      <c r="A284" s="182" t="s">
        <v>178</v>
      </c>
      <c r="B284" s="182" t="s">
        <v>95</v>
      </c>
    </row>
    <row r="285" spans="1:2" ht="16.5" customHeight="1">
      <c r="A285" s="181" t="s">
        <v>179</v>
      </c>
      <c r="B285" s="181" t="s">
        <v>95</v>
      </c>
    </row>
    <row r="286" spans="1:2" ht="16.5" customHeight="1">
      <c r="A286" s="181" t="s">
        <v>180</v>
      </c>
      <c r="B286" s="181" t="s">
        <v>95</v>
      </c>
    </row>
    <row r="287" spans="1:2" ht="16.5" customHeight="1">
      <c r="A287" s="181" t="s">
        <v>181</v>
      </c>
      <c r="B287" s="181" t="s">
        <v>95</v>
      </c>
    </row>
    <row r="288" spans="1:2" ht="16.5" customHeight="1">
      <c r="A288" s="181" t="s">
        <v>182</v>
      </c>
      <c r="B288" s="181" t="s">
        <v>95</v>
      </c>
    </row>
    <row r="289" spans="1:2" ht="16.5" customHeight="1">
      <c r="A289" s="181" t="s">
        <v>183</v>
      </c>
      <c r="B289" s="183" t="s">
        <v>93</v>
      </c>
    </row>
    <row r="290" spans="1:2" ht="16.5" customHeight="1">
      <c r="A290" s="182" t="s">
        <v>184</v>
      </c>
      <c r="B290" s="182" t="s">
        <v>95</v>
      </c>
    </row>
    <row r="291" spans="1:2" ht="16.5" customHeight="1">
      <c r="A291" s="182" t="s">
        <v>185</v>
      </c>
      <c r="B291" s="182" t="s">
        <v>95</v>
      </c>
    </row>
    <row r="292" spans="1:2" ht="16.5" customHeight="1">
      <c r="A292" s="181" t="s">
        <v>186</v>
      </c>
      <c r="B292" s="182" t="s">
        <v>123</v>
      </c>
    </row>
    <row r="293" spans="1:2" ht="16.5" customHeight="1">
      <c r="A293" s="182" t="s">
        <v>187</v>
      </c>
      <c r="B293" s="182" t="s">
        <v>93</v>
      </c>
    </row>
    <row r="294" spans="1:2" ht="16.5" customHeight="1">
      <c r="A294" s="182" t="s">
        <v>188</v>
      </c>
      <c r="B294" s="182" t="s">
        <v>93</v>
      </c>
    </row>
    <row r="295" spans="1:2" ht="16.5" customHeight="1">
      <c r="A295" s="182" t="s">
        <v>189</v>
      </c>
      <c r="B295" s="182" t="s">
        <v>93</v>
      </c>
    </row>
    <row r="296" spans="1:2" ht="16.5" customHeight="1">
      <c r="A296" s="181" t="s">
        <v>190</v>
      </c>
      <c r="B296" s="183" t="s">
        <v>94</v>
      </c>
    </row>
    <row r="297" spans="1:2" ht="16.5" customHeight="1">
      <c r="A297" s="181" t="s">
        <v>191</v>
      </c>
      <c r="B297" s="183" t="s">
        <v>100</v>
      </c>
    </row>
    <row r="298" spans="1:2" ht="16.5" customHeight="1">
      <c r="A298" s="181" t="s">
        <v>192</v>
      </c>
      <c r="B298" s="183" t="s">
        <v>95</v>
      </c>
    </row>
    <row r="299" spans="1:2" ht="16.5" customHeight="1">
      <c r="A299" s="181" t="s">
        <v>193</v>
      </c>
      <c r="B299" s="183" t="s">
        <v>94</v>
      </c>
    </row>
    <row r="300" spans="1:2" ht="16.5" customHeight="1">
      <c r="A300" s="182" t="s">
        <v>194</v>
      </c>
      <c r="B300" s="182" t="s">
        <v>95</v>
      </c>
    </row>
    <row r="301" spans="1:2" ht="16.5" customHeight="1">
      <c r="A301" s="182" t="s">
        <v>195</v>
      </c>
      <c r="B301" s="182" t="s">
        <v>95</v>
      </c>
    </row>
    <row r="302" spans="1:2" ht="16.5" customHeight="1">
      <c r="A302" s="182" t="s">
        <v>196</v>
      </c>
      <c r="B302" s="182" t="s">
        <v>95</v>
      </c>
    </row>
    <row r="303" spans="1:2" ht="16.5" customHeight="1">
      <c r="A303" s="182" t="s">
        <v>197</v>
      </c>
      <c r="B303" s="182" t="s">
        <v>101</v>
      </c>
    </row>
    <row r="304" spans="1:2" ht="16.5" customHeight="1">
      <c r="A304" s="181" t="s">
        <v>198</v>
      </c>
      <c r="B304" s="183" t="s">
        <v>97</v>
      </c>
    </row>
    <row r="305" spans="1:2" ht="16.5" customHeight="1">
      <c r="A305" s="182" t="s">
        <v>199</v>
      </c>
      <c r="B305" s="182" t="s">
        <v>97</v>
      </c>
    </row>
    <row r="306" spans="1:2" ht="16.5" customHeight="1">
      <c r="A306" s="181" t="s">
        <v>200</v>
      </c>
      <c r="B306" s="183" t="s">
        <v>96</v>
      </c>
    </row>
    <row r="307" spans="1:2" ht="16.5" customHeight="1">
      <c r="A307" s="181" t="s">
        <v>201</v>
      </c>
      <c r="B307" s="183" t="s">
        <v>96</v>
      </c>
    </row>
    <row r="308" spans="1:2" ht="16.5" customHeight="1">
      <c r="A308" s="181" t="s">
        <v>202</v>
      </c>
      <c r="B308" s="183" t="s">
        <v>94</v>
      </c>
    </row>
    <row r="309" spans="1:2" ht="16.5" customHeight="1">
      <c r="A309" s="181" t="s">
        <v>203</v>
      </c>
      <c r="B309" s="181" t="s">
        <v>93</v>
      </c>
    </row>
    <row r="310" spans="1:2" ht="16.5" customHeight="1">
      <c r="A310" s="182" t="s">
        <v>204</v>
      </c>
      <c r="B310" s="186" t="s">
        <v>96</v>
      </c>
    </row>
    <row r="311" spans="1:2" ht="16.5" customHeight="1">
      <c r="A311" s="182" t="s">
        <v>205</v>
      </c>
      <c r="B311" s="186" t="s">
        <v>96</v>
      </c>
    </row>
    <row r="312" spans="1:2" ht="16.5" customHeight="1">
      <c r="A312" s="182" t="s">
        <v>206</v>
      </c>
      <c r="B312" s="186" t="s">
        <v>96</v>
      </c>
    </row>
    <row r="313" spans="1:2" ht="16.5" customHeight="1">
      <c r="A313" s="182" t="s">
        <v>207</v>
      </c>
      <c r="B313" s="182" t="s">
        <v>95</v>
      </c>
    </row>
    <row r="314" spans="1:2" ht="16.5" customHeight="1">
      <c r="A314" s="182" t="s">
        <v>208</v>
      </c>
      <c r="B314" s="182" t="s">
        <v>95</v>
      </c>
    </row>
    <row r="315" spans="1:2" ht="16.5" customHeight="1">
      <c r="A315" s="182" t="s">
        <v>209</v>
      </c>
      <c r="B315" s="182" t="s">
        <v>95</v>
      </c>
    </row>
    <row r="316" spans="1:2" ht="16.5" customHeight="1">
      <c r="A316" s="182" t="s">
        <v>210</v>
      </c>
      <c r="B316" s="182" t="s">
        <v>95</v>
      </c>
    </row>
    <row r="317" spans="1:2" ht="16.5" customHeight="1">
      <c r="A317" s="182" t="s">
        <v>211</v>
      </c>
      <c r="B317" s="182" t="s">
        <v>95</v>
      </c>
    </row>
    <row r="318" spans="1:2" ht="16.5" customHeight="1">
      <c r="A318" s="182" t="s">
        <v>212</v>
      </c>
      <c r="B318" s="182" t="s">
        <v>95</v>
      </c>
    </row>
    <row r="319" spans="1:2" ht="16.5" customHeight="1">
      <c r="A319" s="182" t="s">
        <v>213</v>
      </c>
      <c r="B319" s="186" t="s">
        <v>96</v>
      </c>
    </row>
    <row r="320" spans="1:2" ht="16.5" customHeight="1">
      <c r="A320" s="181" t="s">
        <v>214</v>
      </c>
      <c r="B320" s="183" t="s">
        <v>95</v>
      </c>
    </row>
    <row r="321" spans="1:2" ht="16.5" customHeight="1">
      <c r="A321" s="181" t="s">
        <v>215</v>
      </c>
      <c r="B321" s="183" t="s">
        <v>96</v>
      </c>
    </row>
    <row r="322" spans="1:2" ht="16.5" customHeight="1">
      <c r="A322" s="181" t="s">
        <v>216</v>
      </c>
      <c r="B322" s="183" t="s">
        <v>101</v>
      </c>
    </row>
    <row r="323" spans="1:2" ht="16.5" customHeight="1">
      <c r="A323" s="181" t="s">
        <v>217</v>
      </c>
      <c r="B323" s="183" t="s">
        <v>96</v>
      </c>
    </row>
    <row r="324" spans="1:2" ht="16.5" customHeight="1">
      <c r="A324" s="181" t="s">
        <v>218</v>
      </c>
      <c r="B324" s="183" t="s">
        <v>95</v>
      </c>
    </row>
    <row r="325" spans="1:2" ht="16.5" customHeight="1">
      <c r="A325" s="182" t="s">
        <v>219</v>
      </c>
      <c r="B325" s="186" t="s">
        <v>93</v>
      </c>
    </row>
    <row r="326" spans="1:2" ht="16.5" customHeight="1">
      <c r="A326" s="182" t="s">
        <v>220</v>
      </c>
      <c r="B326" s="186" t="s">
        <v>93</v>
      </c>
    </row>
    <row r="327" spans="1:2" ht="16.5" customHeight="1">
      <c r="A327" s="181" t="s">
        <v>221</v>
      </c>
      <c r="B327" s="183" t="s">
        <v>96</v>
      </c>
    </row>
    <row r="328" spans="1:2" ht="16.5" customHeight="1">
      <c r="A328" s="181" t="s">
        <v>222</v>
      </c>
      <c r="B328" s="183" t="s">
        <v>96</v>
      </c>
    </row>
    <row r="329" spans="1:2" ht="16.5" customHeight="1">
      <c r="A329" s="182" t="s">
        <v>223</v>
      </c>
      <c r="B329" s="186" t="s">
        <v>93</v>
      </c>
    </row>
    <row r="330" spans="1:2" ht="16.5" customHeight="1">
      <c r="A330" s="181" t="s">
        <v>224</v>
      </c>
      <c r="B330" s="183" t="s">
        <v>93</v>
      </c>
    </row>
    <row r="331" spans="1:2" ht="16.5" customHeight="1">
      <c r="A331" s="181" t="s">
        <v>225</v>
      </c>
      <c r="B331" s="183" t="s">
        <v>94</v>
      </c>
    </row>
    <row r="332" spans="1:2" ht="16.5" customHeight="1">
      <c r="A332" s="181" t="s">
        <v>226</v>
      </c>
      <c r="B332" s="183" t="s">
        <v>94</v>
      </c>
    </row>
    <row r="333" spans="1:2" ht="16.5" customHeight="1">
      <c r="A333" s="182" t="s">
        <v>227</v>
      </c>
      <c r="B333" s="186" t="s">
        <v>95</v>
      </c>
    </row>
    <row r="334" spans="1:2" ht="16.5" customHeight="1">
      <c r="A334" s="181" t="s">
        <v>228</v>
      </c>
      <c r="B334" s="183" t="s">
        <v>95</v>
      </c>
    </row>
    <row r="335" spans="1:2" ht="16.5" customHeight="1">
      <c r="A335" s="182" t="s">
        <v>229</v>
      </c>
      <c r="B335" s="183" t="s">
        <v>97</v>
      </c>
    </row>
    <row r="336" spans="1:2" ht="16.5" customHeight="1">
      <c r="A336" s="182" t="s">
        <v>230</v>
      </c>
      <c r="B336" s="183" t="s">
        <v>97</v>
      </c>
    </row>
    <row r="337" spans="1:2" ht="16.5" customHeight="1">
      <c r="A337" s="181" t="s">
        <v>231</v>
      </c>
      <c r="B337" s="183" t="s">
        <v>95</v>
      </c>
    </row>
    <row r="338" spans="1:2" ht="16.5" customHeight="1">
      <c r="A338" s="181" t="s">
        <v>232</v>
      </c>
      <c r="B338" s="183" t="s">
        <v>94</v>
      </c>
    </row>
    <row r="339" spans="1:2" ht="16.5" customHeight="1">
      <c r="A339" s="181" t="s">
        <v>233</v>
      </c>
      <c r="B339" s="183" t="s">
        <v>93</v>
      </c>
    </row>
    <row r="340" spans="1:2" ht="16.5" customHeight="1">
      <c r="A340" s="182" t="s">
        <v>234</v>
      </c>
      <c r="B340" s="183" t="s">
        <v>95</v>
      </c>
    </row>
    <row r="341" spans="1:2" ht="16.5" customHeight="1">
      <c r="A341" s="182" t="s">
        <v>235</v>
      </c>
      <c r="B341" s="183" t="s">
        <v>95</v>
      </c>
    </row>
    <row r="342" spans="1:2" ht="16.5" customHeight="1">
      <c r="A342" s="181" t="s">
        <v>236</v>
      </c>
      <c r="B342" s="183" t="s">
        <v>96</v>
      </c>
    </row>
    <row r="343" spans="1:2" ht="16.5" customHeight="1">
      <c r="A343" s="182" t="s">
        <v>237</v>
      </c>
      <c r="B343" s="183" t="s">
        <v>95</v>
      </c>
    </row>
    <row r="344" spans="1:2" ht="16.5" customHeight="1">
      <c r="A344" s="182" t="s">
        <v>238</v>
      </c>
      <c r="B344" s="183" t="s">
        <v>96</v>
      </c>
    </row>
    <row r="345" spans="1:2" ht="16.5" customHeight="1">
      <c r="A345" s="182" t="s">
        <v>239</v>
      </c>
      <c r="B345" s="183" t="s">
        <v>95</v>
      </c>
    </row>
    <row r="346" spans="1:2" ht="16.5" customHeight="1">
      <c r="A346" s="181" t="s">
        <v>240</v>
      </c>
      <c r="B346" s="183" t="s">
        <v>101</v>
      </c>
    </row>
    <row r="347" spans="1:2" ht="16.5" customHeight="1">
      <c r="A347" s="181" t="s">
        <v>241</v>
      </c>
      <c r="B347" s="183" t="s">
        <v>94</v>
      </c>
    </row>
    <row r="348" spans="1:2" ht="16.5" customHeight="1">
      <c r="A348" s="181" t="s">
        <v>242</v>
      </c>
      <c r="B348" s="183" t="s">
        <v>96</v>
      </c>
    </row>
    <row r="349" spans="1:2" ht="16.5" customHeight="1">
      <c r="A349" s="181" t="s">
        <v>243</v>
      </c>
      <c r="B349" s="183" t="s">
        <v>94</v>
      </c>
    </row>
    <row r="350" spans="1:2" ht="16.5" customHeight="1">
      <c r="A350" s="181" t="s">
        <v>244</v>
      </c>
      <c r="B350" s="183" t="s">
        <v>96</v>
      </c>
    </row>
    <row r="351" spans="1:2" ht="16.5" customHeight="1">
      <c r="A351" s="181" t="s">
        <v>245</v>
      </c>
      <c r="B351" s="183" t="s">
        <v>94</v>
      </c>
    </row>
    <row r="352" spans="1:2" ht="16.5" customHeight="1">
      <c r="A352" s="181" t="s">
        <v>246</v>
      </c>
      <c r="B352" s="183" t="s">
        <v>94</v>
      </c>
    </row>
    <row r="353" spans="1:2" ht="16.5" customHeight="1">
      <c r="A353" s="181" t="s">
        <v>247</v>
      </c>
      <c r="B353" s="183" t="s">
        <v>94</v>
      </c>
    </row>
    <row r="354" spans="1:2" ht="16.5" customHeight="1">
      <c r="A354" s="181" t="s">
        <v>248</v>
      </c>
      <c r="B354" s="183" t="s">
        <v>94</v>
      </c>
    </row>
    <row r="355" spans="1:2" ht="16.5" customHeight="1">
      <c r="A355" s="181" t="s">
        <v>249</v>
      </c>
      <c r="B355" s="183" t="s">
        <v>95</v>
      </c>
    </row>
    <row r="356" spans="1:2" ht="16.5" customHeight="1">
      <c r="A356" s="181" t="s">
        <v>250</v>
      </c>
      <c r="B356" s="183" t="s">
        <v>95</v>
      </c>
    </row>
    <row r="357" spans="1:2" ht="16.5" customHeight="1">
      <c r="A357" s="181" t="s">
        <v>251</v>
      </c>
      <c r="B357" s="183" t="s">
        <v>94</v>
      </c>
    </row>
    <row r="358" spans="1:2" ht="16.5" customHeight="1">
      <c r="A358" s="181" t="s">
        <v>252</v>
      </c>
      <c r="B358" s="183" t="s">
        <v>95</v>
      </c>
    </row>
    <row r="359" spans="1:2" ht="16.5" customHeight="1">
      <c r="A359" s="181" t="s">
        <v>253</v>
      </c>
      <c r="B359" s="183" t="s">
        <v>94</v>
      </c>
    </row>
    <row r="360" spans="1:2" ht="16.5" customHeight="1">
      <c r="A360" s="181" t="s">
        <v>254</v>
      </c>
      <c r="B360" s="183" t="s">
        <v>94</v>
      </c>
    </row>
    <row r="361" spans="1:2" ht="16.5" customHeight="1">
      <c r="A361" s="181" t="s">
        <v>255</v>
      </c>
      <c r="B361" s="183" t="s">
        <v>97</v>
      </c>
    </row>
    <row r="362" spans="1:2" ht="16.5" customHeight="1">
      <c r="A362" s="181" t="s">
        <v>256</v>
      </c>
      <c r="B362" s="183" t="s">
        <v>95</v>
      </c>
    </row>
    <row r="363" spans="1:2" ht="16.5" customHeight="1">
      <c r="A363" s="181" t="s">
        <v>257</v>
      </c>
      <c r="B363" s="183" t="s">
        <v>94</v>
      </c>
    </row>
    <row r="364" spans="1:2" ht="16.5" customHeight="1">
      <c r="A364" s="181" t="s">
        <v>258</v>
      </c>
      <c r="B364" s="183" t="s">
        <v>94</v>
      </c>
    </row>
    <row r="365" spans="1:2" ht="16.5" customHeight="1">
      <c r="A365" s="181" t="s">
        <v>259</v>
      </c>
      <c r="B365" s="183" t="s">
        <v>94</v>
      </c>
    </row>
    <row r="366" spans="1:2" ht="16.5" customHeight="1">
      <c r="A366" s="181" t="s">
        <v>260</v>
      </c>
      <c r="B366" s="183" t="s">
        <v>94</v>
      </c>
    </row>
    <row r="367" spans="1:2" ht="16.5" customHeight="1">
      <c r="A367" s="181" t="s">
        <v>261</v>
      </c>
      <c r="B367" s="183" t="s">
        <v>96</v>
      </c>
    </row>
    <row r="368" spans="1:2" ht="16.5" customHeight="1">
      <c r="A368" s="181" t="s">
        <v>262</v>
      </c>
      <c r="B368" s="183" t="s">
        <v>94</v>
      </c>
    </row>
    <row r="369" spans="1:2" ht="16.5" customHeight="1">
      <c r="A369" s="181" t="s">
        <v>263</v>
      </c>
      <c r="B369" s="183" t="s">
        <v>94</v>
      </c>
    </row>
    <row r="370" spans="1:2" ht="16.5" customHeight="1">
      <c r="A370" s="182" t="s">
        <v>264</v>
      </c>
      <c r="B370" s="182" t="s">
        <v>93</v>
      </c>
    </row>
    <row r="371" spans="1:2" ht="16.5" customHeight="1">
      <c r="A371" s="181" t="s">
        <v>265</v>
      </c>
      <c r="B371" s="183" t="s">
        <v>94</v>
      </c>
    </row>
    <row r="372" spans="1:2" ht="16.5" customHeight="1">
      <c r="A372" s="181" t="s">
        <v>266</v>
      </c>
      <c r="B372" s="183" t="s">
        <v>96</v>
      </c>
    </row>
    <row r="373" spans="1:2" ht="16.5" customHeight="1">
      <c r="A373" s="181" t="s">
        <v>267</v>
      </c>
      <c r="B373" s="183" t="s">
        <v>96</v>
      </c>
    </row>
    <row r="374" spans="1:2" ht="16.5" customHeight="1">
      <c r="A374" s="181" t="s">
        <v>268</v>
      </c>
      <c r="B374" s="183" t="s">
        <v>94</v>
      </c>
    </row>
    <row r="375" spans="1:2" ht="16.5" customHeight="1">
      <c r="A375" s="181" t="s">
        <v>269</v>
      </c>
      <c r="B375" s="183" t="s">
        <v>94</v>
      </c>
    </row>
    <row r="376" spans="1:2" ht="16.5" customHeight="1">
      <c r="A376" s="181" t="s">
        <v>270</v>
      </c>
      <c r="B376" s="183" t="s">
        <v>94</v>
      </c>
    </row>
    <row r="377" spans="1:2" ht="16.5" customHeight="1">
      <c r="A377" s="181" t="s">
        <v>271</v>
      </c>
      <c r="B377" s="183" t="s">
        <v>94</v>
      </c>
    </row>
    <row r="378" spans="1:2" ht="16.5" customHeight="1">
      <c r="A378" s="181" t="s">
        <v>272</v>
      </c>
      <c r="B378" s="183" t="s">
        <v>100</v>
      </c>
    </row>
    <row r="379" spans="1:2" ht="16.5" customHeight="1">
      <c r="A379" s="181" t="s">
        <v>273</v>
      </c>
      <c r="B379" s="183" t="s">
        <v>95</v>
      </c>
    </row>
    <row r="380" spans="1:2" ht="16.5" customHeight="1">
      <c r="A380" s="181" t="s">
        <v>274</v>
      </c>
      <c r="B380" s="183" t="s">
        <v>96</v>
      </c>
    </row>
    <row r="381" spans="1:2" ht="16.5" customHeight="1">
      <c r="A381" s="181" t="s">
        <v>275</v>
      </c>
      <c r="B381" s="183" t="s">
        <v>93</v>
      </c>
    </row>
    <row r="382" spans="1:2" ht="16.5" customHeight="1">
      <c r="A382" s="181" t="s">
        <v>276</v>
      </c>
      <c r="B382" s="183" t="s">
        <v>94</v>
      </c>
    </row>
    <row r="383" spans="1:2" ht="16.5" customHeight="1">
      <c r="A383" s="181" t="s">
        <v>277</v>
      </c>
      <c r="B383" s="183" t="s">
        <v>93</v>
      </c>
    </row>
    <row r="384" spans="1:2" ht="16.5" customHeight="1">
      <c r="A384" s="181" t="s">
        <v>278</v>
      </c>
      <c r="B384" s="183" t="s">
        <v>94</v>
      </c>
    </row>
    <row r="385" spans="1:2" ht="16.5" customHeight="1">
      <c r="A385" s="181" t="s">
        <v>279</v>
      </c>
      <c r="B385" s="183" t="s">
        <v>93</v>
      </c>
    </row>
    <row r="386" spans="1:2" ht="16.5" customHeight="1">
      <c r="A386" s="181" t="s">
        <v>280</v>
      </c>
      <c r="B386" s="183" t="s">
        <v>93</v>
      </c>
    </row>
    <row r="387" spans="1:2" ht="16.5" customHeight="1">
      <c r="A387" s="182" t="s">
        <v>281</v>
      </c>
      <c r="B387" s="183" t="s">
        <v>94</v>
      </c>
    </row>
    <row r="388" spans="1:2" ht="16.5" customHeight="1">
      <c r="A388" s="181" t="s">
        <v>282</v>
      </c>
      <c r="B388" s="183" t="s">
        <v>96</v>
      </c>
    </row>
    <row r="389" spans="1:2" ht="16.5" customHeight="1">
      <c r="A389" s="181" t="s">
        <v>283</v>
      </c>
      <c r="B389" s="183" t="s">
        <v>94</v>
      </c>
    </row>
    <row r="390" spans="1:2" ht="16.5" customHeight="1">
      <c r="A390" s="181" t="s">
        <v>284</v>
      </c>
      <c r="B390" s="183" t="s">
        <v>100</v>
      </c>
    </row>
    <row r="391" spans="1:2" ht="16.5" customHeight="1">
      <c r="A391" s="181" t="s">
        <v>285</v>
      </c>
      <c r="B391" s="183" t="s">
        <v>95</v>
      </c>
    </row>
    <row r="392" spans="1:2" ht="16.5" customHeight="1">
      <c r="A392" s="182" t="s">
        <v>286</v>
      </c>
      <c r="B392" s="182" t="s">
        <v>94</v>
      </c>
    </row>
    <row r="393" spans="1:2" ht="16.5" customHeight="1">
      <c r="A393" s="182" t="s">
        <v>287</v>
      </c>
      <c r="B393" s="185" t="s">
        <v>94</v>
      </c>
    </row>
    <row r="394" spans="1:2" ht="16.5" customHeight="1">
      <c r="A394" s="181" t="s">
        <v>288</v>
      </c>
      <c r="B394" s="183" t="s">
        <v>95</v>
      </c>
    </row>
    <row r="395" spans="1:2" ht="16.5" customHeight="1">
      <c r="A395" s="181" t="s">
        <v>289</v>
      </c>
      <c r="B395" s="183" t="s">
        <v>95</v>
      </c>
    </row>
    <row r="396" spans="1:2" ht="16.5" customHeight="1">
      <c r="A396" s="181" t="s">
        <v>290</v>
      </c>
      <c r="B396" s="183" t="s">
        <v>95</v>
      </c>
    </row>
    <row r="397" spans="1:2" ht="16.5" customHeight="1">
      <c r="A397" s="181">
        <v>14891</v>
      </c>
      <c r="B397" s="183" t="s">
        <v>95</v>
      </c>
    </row>
    <row r="398" spans="1:2" ht="16.5" customHeight="1">
      <c r="A398" s="181">
        <v>11654</v>
      </c>
      <c r="B398" s="181" t="s">
        <v>95</v>
      </c>
    </row>
    <row r="399" spans="1:2" ht="16.5" customHeight="1">
      <c r="A399" s="181">
        <v>11655</v>
      </c>
      <c r="B399" s="181" t="s">
        <v>95</v>
      </c>
    </row>
    <row r="400" spans="1:2" ht="16.5" customHeight="1">
      <c r="A400" s="181">
        <v>11890</v>
      </c>
      <c r="B400" s="181" t="s">
        <v>96</v>
      </c>
    </row>
    <row r="401" spans="1:2" ht="16.5" customHeight="1">
      <c r="A401" s="181">
        <v>12251</v>
      </c>
      <c r="B401" s="181" t="s">
        <v>95</v>
      </c>
    </row>
    <row r="402" spans="1:2" ht="16.5" customHeight="1">
      <c r="A402" s="181">
        <v>12284</v>
      </c>
      <c r="B402" s="181" t="s">
        <v>95</v>
      </c>
    </row>
    <row r="403" spans="1:2" ht="16.5" customHeight="1">
      <c r="A403" s="181">
        <v>12315</v>
      </c>
      <c r="B403" s="181" t="s">
        <v>95</v>
      </c>
    </row>
    <row r="404" spans="1:2" ht="16.5" customHeight="1">
      <c r="A404" s="181">
        <v>12321</v>
      </c>
      <c r="B404" s="181" t="s">
        <v>95</v>
      </c>
    </row>
    <row r="405" spans="1:2" ht="16.5" customHeight="1">
      <c r="A405" s="181">
        <v>12328</v>
      </c>
      <c r="B405" s="181" t="s">
        <v>95</v>
      </c>
    </row>
    <row r="406" spans="1:2" ht="16.5" customHeight="1">
      <c r="A406" s="181">
        <v>12393</v>
      </c>
      <c r="B406" s="181" t="s">
        <v>95</v>
      </c>
    </row>
    <row r="407" spans="1:2" ht="16.5" customHeight="1">
      <c r="A407" s="181">
        <v>12427</v>
      </c>
      <c r="B407" s="181" t="s">
        <v>95</v>
      </c>
    </row>
    <row r="408" spans="1:2" ht="16.5" customHeight="1">
      <c r="A408" s="181">
        <v>12433</v>
      </c>
      <c r="B408" s="181" t="s">
        <v>96</v>
      </c>
    </row>
    <row r="409" spans="1:2" ht="16.5" customHeight="1">
      <c r="A409" s="181">
        <v>12470</v>
      </c>
      <c r="B409" s="181" t="s">
        <v>96</v>
      </c>
    </row>
    <row r="410" spans="1:2" ht="16.5" customHeight="1">
      <c r="A410" s="181">
        <v>13416</v>
      </c>
      <c r="B410" s="181" t="s">
        <v>95</v>
      </c>
    </row>
    <row r="411" spans="1:2" ht="16.5" customHeight="1">
      <c r="A411" s="181">
        <v>13435</v>
      </c>
      <c r="B411" s="181" t="s">
        <v>95</v>
      </c>
    </row>
    <row r="412" spans="1:2" ht="16.5" customHeight="1">
      <c r="A412" s="181">
        <v>39032</v>
      </c>
      <c r="B412" s="181" t="s">
        <v>94</v>
      </c>
    </row>
    <row r="413" spans="1:2" ht="16.5" customHeight="1">
      <c r="A413" s="181" t="s">
        <v>291</v>
      </c>
      <c r="B413" s="181" t="s">
        <v>101</v>
      </c>
    </row>
    <row r="414" spans="1:2" ht="16.5" customHeight="1">
      <c r="A414" s="181" t="s">
        <v>292</v>
      </c>
      <c r="B414" s="181" t="s">
        <v>96</v>
      </c>
    </row>
    <row r="415" spans="1:2" ht="16.5" customHeight="1">
      <c r="A415" s="181" t="s">
        <v>293</v>
      </c>
      <c r="B415" s="181" t="s">
        <v>96</v>
      </c>
    </row>
    <row r="416" spans="1:2" ht="16.5" customHeight="1">
      <c r="A416" s="181" t="s">
        <v>294</v>
      </c>
      <c r="B416" s="181" t="s">
        <v>97</v>
      </c>
    </row>
    <row r="417" spans="1:2" ht="16.5" customHeight="1">
      <c r="A417" s="181" t="s">
        <v>295</v>
      </c>
      <c r="B417" s="181" t="s">
        <v>97</v>
      </c>
    </row>
    <row r="418" spans="1:2" ht="16.5" customHeight="1">
      <c r="A418" s="181">
        <v>30290</v>
      </c>
      <c r="B418" s="183" t="s">
        <v>98</v>
      </c>
    </row>
    <row r="419" spans="1:2" ht="16.5" customHeight="1">
      <c r="A419" s="182">
        <v>34351</v>
      </c>
      <c r="B419" s="186" t="s">
        <v>95</v>
      </c>
    </row>
    <row r="420" spans="1:2" ht="16.5" customHeight="1">
      <c r="A420" s="182">
        <v>34501</v>
      </c>
      <c r="B420" s="186" t="s">
        <v>98</v>
      </c>
    </row>
    <row r="421" spans="1:2" ht="16.5" customHeight="1">
      <c r="A421" s="181">
        <v>35100</v>
      </c>
      <c r="B421" s="181" t="s">
        <v>94</v>
      </c>
    </row>
    <row r="422" spans="1:2" ht="16.5" customHeight="1">
      <c r="A422" s="181">
        <v>35101</v>
      </c>
      <c r="B422" s="183" t="s">
        <v>94</v>
      </c>
    </row>
    <row r="423" spans="1:2" ht="16.5" customHeight="1">
      <c r="A423" s="181">
        <v>35110</v>
      </c>
      <c r="B423" s="181" t="s">
        <v>94</v>
      </c>
    </row>
    <row r="424" spans="1:2" ht="16.5" customHeight="1">
      <c r="A424" s="181">
        <v>35201</v>
      </c>
      <c r="B424" s="183" t="s">
        <v>94</v>
      </c>
    </row>
    <row r="425" spans="1:2" ht="16.5" customHeight="1">
      <c r="A425" s="181">
        <v>35310</v>
      </c>
      <c r="B425" s="183" t="s">
        <v>97</v>
      </c>
    </row>
    <row r="426" spans="1:2" ht="16.5" customHeight="1">
      <c r="A426" s="181">
        <v>35600</v>
      </c>
      <c r="B426" s="181" t="s">
        <v>97</v>
      </c>
    </row>
    <row r="427" spans="1:2" ht="16.5" customHeight="1">
      <c r="A427" s="182">
        <v>35601</v>
      </c>
      <c r="B427" s="183" t="s">
        <v>97</v>
      </c>
    </row>
    <row r="428" spans="1:2" ht="16.5" customHeight="1">
      <c r="A428" s="182">
        <v>35602</v>
      </c>
      <c r="B428" s="183" t="s">
        <v>97</v>
      </c>
    </row>
    <row r="429" spans="1:2" ht="16.5" customHeight="1">
      <c r="A429" s="182">
        <v>35701</v>
      </c>
      <c r="B429" s="183" t="s">
        <v>97</v>
      </c>
    </row>
    <row r="430" spans="1:2" ht="16.5" customHeight="1">
      <c r="A430" s="181">
        <v>39100</v>
      </c>
      <c r="B430" s="183" t="s">
        <v>98</v>
      </c>
    </row>
    <row r="431" spans="1:2" ht="16.5" customHeight="1">
      <c r="A431" s="181">
        <v>40631</v>
      </c>
      <c r="B431" s="181" t="s">
        <v>100</v>
      </c>
    </row>
    <row r="432" spans="1:2" ht="16.5" customHeight="1">
      <c r="A432" s="182">
        <v>40641</v>
      </c>
      <c r="B432" s="185" t="s">
        <v>94</v>
      </c>
    </row>
    <row r="433" spans="1:2" ht="16.5" customHeight="1">
      <c r="A433" s="182">
        <v>42402</v>
      </c>
      <c r="B433" s="182" t="s">
        <v>98</v>
      </c>
    </row>
    <row r="434" spans="1:2" ht="16.5" customHeight="1">
      <c r="A434" s="181">
        <v>42403</v>
      </c>
      <c r="B434" s="183" t="s">
        <v>100</v>
      </c>
    </row>
    <row r="435" spans="1:2" ht="16.5" customHeight="1">
      <c r="A435" s="182">
        <v>42411</v>
      </c>
      <c r="B435" s="182" t="s">
        <v>98</v>
      </c>
    </row>
    <row r="436" spans="1:2" ht="16.5" customHeight="1">
      <c r="A436" s="181">
        <v>42502</v>
      </c>
      <c r="B436" s="181" t="s">
        <v>98</v>
      </c>
    </row>
    <row r="437" spans="1:2" ht="16.5" customHeight="1">
      <c r="A437" s="181">
        <v>42503</v>
      </c>
      <c r="B437" s="183" t="s">
        <v>100</v>
      </c>
    </row>
    <row r="438" spans="1:2" ht="16.5" customHeight="1">
      <c r="A438" s="181">
        <v>42701</v>
      </c>
      <c r="B438" s="181" t="s">
        <v>98</v>
      </c>
    </row>
    <row r="439" spans="1:2" ht="16.5" customHeight="1">
      <c r="A439" s="182">
        <v>42710</v>
      </c>
      <c r="B439" s="183" t="s">
        <v>98</v>
      </c>
    </row>
    <row r="440" spans="1:2" ht="16.5" customHeight="1">
      <c r="A440" s="181">
        <v>42750</v>
      </c>
      <c r="B440" s="183" t="s">
        <v>98</v>
      </c>
    </row>
    <row r="441" spans="1:2" ht="16.5" customHeight="1">
      <c r="A441" s="181">
        <v>43801</v>
      </c>
      <c r="B441" s="181" t="s">
        <v>98</v>
      </c>
    </row>
    <row r="442" spans="1:2" ht="16.5" customHeight="1">
      <c r="A442" s="181">
        <v>43900</v>
      </c>
      <c r="B442" s="183" t="s">
        <v>100</v>
      </c>
    </row>
    <row r="443" spans="1:2" ht="16.5" customHeight="1">
      <c r="A443" s="181">
        <v>44000</v>
      </c>
      <c r="B443" s="183" t="s">
        <v>100</v>
      </c>
    </row>
    <row r="444" spans="1:2" ht="16.5" customHeight="1">
      <c r="A444" s="181">
        <v>94021</v>
      </c>
      <c r="B444" s="183" t="s">
        <v>94</v>
      </c>
    </row>
    <row r="445" spans="1:2" ht="16.5" customHeight="1">
      <c r="A445" s="181">
        <v>94022</v>
      </c>
      <c r="B445" s="183" t="s">
        <v>94</v>
      </c>
    </row>
    <row r="446" spans="1:2" ht="16.5" customHeight="1">
      <c r="A446" s="181">
        <v>94025</v>
      </c>
      <c r="B446" s="183" t="s">
        <v>94</v>
      </c>
    </row>
    <row r="447" spans="1:2" ht="16.5" customHeight="1">
      <c r="A447" s="181">
        <v>94026</v>
      </c>
      <c r="B447" s="183" t="s">
        <v>94</v>
      </c>
    </row>
    <row r="448" spans="1:2" ht="16.5" customHeight="1">
      <c r="A448" s="181">
        <v>94027</v>
      </c>
      <c r="B448" s="183" t="s">
        <v>94</v>
      </c>
    </row>
    <row r="449" spans="1:2" ht="16.5" customHeight="1">
      <c r="A449" s="181">
        <v>94028</v>
      </c>
      <c r="B449" s="183" t="s">
        <v>94</v>
      </c>
    </row>
    <row r="450" spans="1:2" ht="16.5" customHeight="1">
      <c r="A450" s="181">
        <v>94029</v>
      </c>
      <c r="B450" s="183" t="s">
        <v>94</v>
      </c>
    </row>
    <row r="451" spans="1:2" ht="16.5" customHeight="1">
      <c r="A451" s="182">
        <v>61011</v>
      </c>
      <c r="B451" s="183" t="s">
        <v>97</v>
      </c>
    </row>
    <row r="452" spans="1:2" ht="16.5" customHeight="1">
      <c r="A452" s="182">
        <v>61021</v>
      </c>
      <c r="B452" s="182" t="s">
        <v>97</v>
      </c>
    </row>
    <row r="453" spans="1:2" ht="16.5" customHeight="1">
      <c r="A453" s="181">
        <v>61031</v>
      </c>
      <c r="B453" s="183" t="s">
        <v>93</v>
      </c>
    </row>
    <row r="454" spans="1:2" ht="16.5" customHeight="1">
      <c r="A454" s="181">
        <v>61101</v>
      </c>
      <c r="B454" s="181" t="s">
        <v>100</v>
      </c>
    </row>
    <row r="455" spans="1:2" ht="16.5" customHeight="1">
      <c r="A455" s="181">
        <v>62000</v>
      </c>
      <c r="B455" s="181" t="s">
        <v>100</v>
      </c>
    </row>
    <row r="456" spans="1:2" ht="16.5" customHeight="1">
      <c r="A456" s="181">
        <v>62001</v>
      </c>
      <c r="B456" s="181" t="s">
        <v>100</v>
      </c>
    </row>
    <row r="457" spans="1:2" ht="16.5" customHeight="1">
      <c r="A457" s="181">
        <v>62002</v>
      </c>
      <c r="B457" s="181" t="s">
        <v>100</v>
      </c>
    </row>
    <row r="458" spans="1:2" ht="16.5" customHeight="1">
      <c r="A458" s="181">
        <v>62003</v>
      </c>
      <c r="B458" s="181" t="s">
        <v>100</v>
      </c>
    </row>
    <row r="459" spans="1:2" ht="16.5" customHeight="1">
      <c r="A459" s="181">
        <v>62004</v>
      </c>
      <c r="B459" s="181" t="s">
        <v>100</v>
      </c>
    </row>
    <row r="460" spans="1:2" ht="16.5" customHeight="1">
      <c r="A460" s="182">
        <v>62111</v>
      </c>
      <c r="B460" s="185" t="s">
        <v>98</v>
      </c>
    </row>
    <row r="461" spans="1:2" ht="16.5" customHeight="1">
      <c r="A461" s="181">
        <v>62301</v>
      </c>
      <c r="B461" s="183" t="s">
        <v>98</v>
      </c>
    </row>
    <row r="462" spans="1:2" ht="16.5" customHeight="1">
      <c r="A462" s="181">
        <v>62511</v>
      </c>
      <c r="B462" s="181" t="s">
        <v>100</v>
      </c>
    </row>
    <row r="463" spans="1:2" ht="16.5" customHeight="1">
      <c r="A463" s="181">
        <v>63001</v>
      </c>
      <c r="B463" s="181" t="s">
        <v>100</v>
      </c>
    </row>
    <row r="464" spans="1:2" ht="16.5" customHeight="1">
      <c r="A464" s="181">
        <v>63101</v>
      </c>
      <c r="B464" s="181" t="s">
        <v>100</v>
      </c>
    </row>
    <row r="465" spans="1:2" ht="16.5" customHeight="1">
      <c r="A465" s="181">
        <v>63301</v>
      </c>
      <c r="B465" s="181" t="s">
        <v>100</v>
      </c>
    </row>
    <row r="466" spans="1:2" ht="16.5" customHeight="1">
      <c r="A466" s="181">
        <v>63311</v>
      </c>
      <c r="B466" s="181" t="s">
        <v>100</v>
      </c>
    </row>
    <row r="467" spans="1:2" ht="16.5" customHeight="1">
      <c r="A467" s="181">
        <v>63501</v>
      </c>
      <c r="B467" s="181" t="s">
        <v>100</v>
      </c>
    </row>
    <row r="468" spans="1:2" ht="16.5" customHeight="1">
      <c r="A468" s="181">
        <v>63511</v>
      </c>
      <c r="B468" s="181" t="s">
        <v>100</v>
      </c>
    </row>
    <row r="469" spans="1:2" ht="16.5" customHeight="1">
      <c r="A469" s="181">
        <v>63531</v>
      </c>
      <c r="B469" s="181" t="s">
        <v>100</v>
      </c>
    </row>
    <row r="470" spans="1:2" ht="16.5" customHeight="1">
      <c r="A470" s="182">
        <v>63601</v>
      </c>
      <c r="B470" s="181" t="s">
        <v>100</v>
      </c>
    </row>
    <row r="471" spans="1:2" ht="16.5" customHeight="1">
      <c r="A471" s="181">
        <v>63650</v>
      </c>
      <c r="B471" s="181" t="s">
        <v>94</v>
      </c>
    </row>
    <row r="472" spans="1:2" ht="16.5" customHeight="1">
      <c r="A472" s="181">
        <v>63651</v>
      </c>
      <c r="B472" s="183" t="s">
        <v>94</v>
      </c>
    </row>
    <row r="473" spans="1:2" ht="16.5" customHeight="1">
      <c r="A473" s="181">
        <v>63711</v>
      </c>
      <c r="B473" s="181" t="s">
        <v>100</v>
      </c>
    </row>
    <row r="474" spans="1:2" ht="16.5" customHeight="1">
      <c r="A474" s="181">
        <v>63751</v>
      </c>
      <c r="B474" s="181" t="s">
        <v>94</v>
      </c>
    </row>
    <row r="475" spans="1:2" ht="16.5" customHeight="1">
      <c r="A475" s="182">
        <v>64001</v>
      </c>
      <c r="B475" s="186" t="s">
        <v>98</v>
      </c>
    </row>
    <row r="476" spans="1:2" ht="16.5" customHeight="1">
      <c r="A476" s="181">
        <v>64251</v>
      </c>
      <c r="B476" s="183" t="s">
        <v>94</v>
      </c>
    </row>
    <row r="477" spans="1:2" ht="16.5" customHeight="1">
      <c r="A477" s="182">
        <v>64502</v>
      </c>
      <c r="B477" s="185" t="s">
        <v>98</v>
      </c>
    </row>
    <row r="478" spans="1:2" ht="16.5" customHeight="1">
      <c r="A478" s="181">
        <v>65101</v>
      </c>
      <c r="B478" s="181" t="s">
        <v>94</v>
      </c>
    </row>
    <row r="479" spans="1:2" ht="16.5" customHeight="1">
      <c r="A479" s="181">
        <v>65201</v>
      </c>
      <c r="B479" s="181" t="s">
        <v>94</v>
      </c>
    </row>
    <row r="480" spans="1:2" ht="16.5" customHeight="1">
      <c r="A480" s="181">
        <v>66000</v>
      </c>
      <c r="B480" s="183" t="s">
        <v>95</v>
      </c>
    </row>
    <row r="481" spans="1:2" ht="16.5" customHeight="1">
      <c r="A481" s="181">
        <v>67001</v>
      </c>
      <c r="B481" s="181" t="s">
        <v>95</v>
      </c>
    </row>
    <row r="482" spans="1:2" ht="16.5" customHeight="1">
      <c r="A482" s="181">
        <v>67101</v>
      </c>
      <c r="B482" s="181" t="s">
        <v>95</v>
      </c>
    </row>
    <row r="483" spans="1:2" ht="16.5" customHeight="1">
      <c r="A483" s="181">
        <v>67300</v>
      </c>
      <c r="B483" s="183" t="s">
        <v>95</v>
      </c>
    </row>
    <row r="484" spans="1:2" ht="16.5" customHeight="1">
      <c r="A484" s="181">
        <v>67301</v>
      </c>
      <c r="B484" s="181" t="s">
        <v>95</v>
      </c>
    </row>
    <row r="485" spans="1:2" ht="16.5" customHeight="1">
      <c r="A485" s="182">
        <v>68100</v>
      </c>
      <c r="B485" s="181" t="s">
        <v>100</v>
      </c>
    </row>
    <row r="486" spans="1:2" ht="16.5" customHeight="1">
      <c r="A486" s="181">
        <v>68101</v>
      </c>
      <c r="B486" s="181" t="s">
        <v>100</v>
      </c>
    </row>
    <row r="487" spans="1:2" ht="16.5" customHeight="1">
      <c r="A487" s="181">
        <v>68200</v>
      </c>
      <c r="B487" s="181" t="s">
        <v>98</v>
      </c>
    </row>
    <row r="488" spans="1:2" ht="16.5" customHeight="1">
      <c r="A488" s="181">
        <v>69001</v>
      </c>
      <c r="B488" s="181" t="s">
        <v>296</v>
      </c>
    </row>
    <row r="489" spans="1:2" ht="16.5" customHeight="1">
      <c r="A489" s="181">
        <v>69101</v>
      </c>
      <c r="B489" s="181" t="s">
        <v>100</v>
      </c>
    </row>
    <row r="490" spans="1:2" ht="16.5" customHeight="1">
      <c r="A490" s="181">
        <v>69201</v>
      </c>
      <c r="B490" s="181" t="s">
        <v>100</v>
      </c>
    </row>
    <row r="491" spans="1:2" ht="16.5" customHeight="1">
      <c r="A491" s="182">
        <v>90101</v>
      </c>
      <c r="B491" s="186" t="s">
        <v>95</v>
      </c>
    </row>
    <row r="492" spans="1:2" ht="16.5" customHeight="1">
      <c r="A492" s="182">
        <v>90102</v>
      </c>
      <c r="B492" s="186" t="s">
        <v>95</v>
      </c>
    </row>
    <row r="493" spans="1:2" ht="16.5" customHeight="1">
      <c r="A493" s="181">
        <v>90103</v>
      </c>
      <c r="B493" s="181" t="s">
        <v>95</v>
      </c>
    </row>
    <row r="494" spans="1:2" ht="16.5" customHeight="1">
      <c r="A494" s="181">
        <v>90115</v>
      </c>
      <c r="B494" s="183" t="s">
        <v>94</v>
      </c>
    </row>
    <row r="495" spans="1:2" ht="16.5" customHeight="1">
      <c r="A495" s="181">
        <v>90121</v>
      </c>
      <c r="B495" s="181" t="s">
        <v>95</v>
      </c>
    </row>
    <row r="496" spans="1:2" ht="16.5" customHeight="1">
      <c r="A496" s="181">
        <v>90142</v>
      </c>
      <c r="B496" s="181" t="s">
        <v>95</v>
      </c>
    </row>
    <row r="497" spans="1:2" ht="16.5" customHeight="1">
      <c r="A497" s="181">
        <v>90401</v>
      </c>
      <c r="B497" s="181" t="s">
        <v>96</v>
      </c>
    </row>
    <row r="498" spans="1:2" ht="16.5" customHeight="1">
      <c r="A498" s="181">
        <v>90402</v>
      </c>
      <c r="B498" s="181" t="s">
        <v>96</v>
      </c>
    </row>
    <row r="499" spans="1:2" ht="16.5" customHeight="1">
      <c r="A499" s="181">
        <v>90403</v>
      </c>
      <c r="B499" s="181" t="s">
        <v>96</v>
      </c>
    </row>
    <row r="500" spans="1:2" ht="16.5" customHeight="1">
      <c r="A500" s="181">
        <v>90451</v>
      </c>
      <c r="B500" s="183" t="s">
        <v>97</v>
      </c>
    </row>
    <row r="501" spans="1:2" ht="16.5" customHeight="1">
      <c r="A501" s="181">
        <v>90452</v>
      </c>
      <c r="B501" s="183" t="s">
        <v>97</v>
      </c>
    </row>
    <row r="502" spans="1:2" ht="16.5" customHeight="1">
      <c r="A502" s="181">
        <v>90454</v>
      </c>
      <c r="B502" s="183" t="s">
        <v>97</v>
      </c>
    </row>
    <row r="503" spans="1:2" ht="16.5" customHeight="1">
      <c r="A503" s="181">
        <v>90455</v>
      </c>
      <c r="B503" s="183" t="s">
        <v>97</v>
      </c>
    </row>
    <row r="504" spans="1:2" ht="16.5" customHeight="1">
      <c r="A504" s="181">
        <v>90457</v>
      </c>
      <c r="B504" s="183" t="s">
        <v>97</v>
      </c>
    </row>
    <row r="505" spans="1:2" ht="16.5" customHeight="1">
      <c r="A505" s="181">
        <v>90459</v>
      </c>
      <c r="B505" s="183" t="s">
        <v>97</v>
      </c>
    </row>
    <row r="506" spans="1:2" ht="16.5" customHeight="1">
      <c r="A506" s="181">
        <v>90460</v>
      </c>
      <c r="B506" s="183" t="s">
        <v>97</v>
      </c>
    </row>
    <row r="507" spans="1:2" ht="16.5" customHeight="1">
      <c r="A507" s="181">
        <v>90462</v>
      </c>
      <c r="B507" s="183" t="s">
        <v>97</v>
      </c>
    </row>
    <row r="508" spans="1:2" ht="16.5" customHeight="1">
      <c r="A508" s="181">
        <v>90464</v>
      </c>
      <c r="B508" s="183" t="s">
        <v>97</v>
      </c>
    </row>
    <row r="509" spans="1:2" ht="16.5" customHeight="1">
      <c r="A509" s="181">
        <v>90465</v>
      </c>
      <c r="B509" s="183" t="s">
        <v>97</v>
      </c>
    </row>
    <row r="510" spans="1:2" ht="16.5" customHeight="1">
      <c r="A510" s="181">
        <v>90467</v>
      </c>
      <c r="B510" s="183" t="s">
        <v>97</v>
      </c>
    </row>
    <row r="511" spans="1:2" ht="16.5" customHeight="1">
      <c r="A511" s="181">
        <v>90468</v>
      </c>
      <c r="B511" s="183" t="s">
        <v>97</v>
      </c>
    </row>
    <row r="512" spans="1:2" ht="16.5" customHeight="1">
      <c r="A512" s="181">
        <v>90469</v>
      </c>
      <c r="B512" s="183" t="s">
        <v>97</v>
      </c>
    </row>
    <row r="513" spans="1:2" ht="16.5" customHeight="1">
      <c r="A513" s="181">
        <v>90471</v>
      </c>
      <c r="B513" s="183" t="s">
        <v>97</v>
      </c>
    </row>
    <row r="514" spans="1:2" ht="16.5" customHeight="1">
      <c r="A514" s="181">
        <v>90472</v>
      </c>
      <c r="B514" s="183" t="s">
        <v>97</v>
      </c>
    </row>
    <row r="515" spans="1:2" ht="16.5" customHeight="1">
      <c r="A515" s="181">
        <v>90474</v>
      </c>
      <c r="B515" s="183" t="s">
        <v>97</v>
      </c>
    </row>
    <row r="516" spans="1:2" ht="16.5" customHeight="1">
      <c r="A516" s="181">
        <v>90475</v>
      </c>
      <c r="B516" s="183" t="s">
        <v>97</v>
      </c>
    </row>
    <row r="517" spans="1:2" ht="16.5" customHeight="1">
      <c r="A517" s="181">
        <v>90476</v>
      </c>
      <c r="B517" s="183" t="s">
        <v>97</v>
      </c>
    </row>
    <row r="518" spans="1:2" ht="16.5" customHeight="1">
      <c r="A518" s="181">
        <v>90477</v>
      </c>
      <c r="B518" s="183" t="s">
        <v>97</v>
      </c>
    </row>
    <row r="519" spans="1:2" ht="16.5" customHeight="1">
      <c r="A519" s="181">
        <v>90478</v>
      </c>
      <c r="B519" s="183" t="s">
        <v>97</v>
      </c>
    </row>
    <row r="520" spans="1:2" ht="16.5" customHeight="1">
      <c r="A520" s="181">
        <v>90479</v>
      </c>
      <c r="B520" s="183" t="s">
        <v>97</v>
      </c>
    </row>
    <row r="521" spans="1:2" ht="16.5" customHeight="1">
      <c r="A521" s="181">
        <v>90480</v>
      </c>
      <c r="B521" s="181" t="s">
        <v>97</v>
      </c>
    </row>
    <row r="522" spans="1:2" ht="16.5" customHeight="1">
      <c r="A522" s="181">
        <v>90483</v>
      </c>
      <c r="B522" s="181" t="s">
        <v>97</v>
      </c>
    </row>
    <row r="523" spans="1:2" ht="16.5" customHeight="1">
      <c r="A523" s="181">
        <v>90484</v>
      </c>
      <c r="B523" s="181" t="s">
        <v>97</v>
      </c>
    </row>
    <row r="524" spans="1:2" ht="16.5" customHeight="1">
      <c r="A524" s="181">
        <v>90601</v>
      </c>
      <c r="B524" s="181" t="s">
        <v>95</v>
      </c>
    </row>
    <row r="525" spans="1:2" ht="16.5" customHeight="1">
      <c r="A525" s="181">
        <v>90651</v>
      </c>
      <c r="B525" s="181" t="s">
        <v>95</v>
      </c>
    </row>
    <row r="526" spans="1:2" ht="16.5" customHeight="1">
      <c r="A526" s="181">
        <v>90661</v>
      </c>
      <c r="B526" s="181" t="s">
        <v>95</v>
      </c>
    </row>
    <row r="527" spans="1:2" ht="16.5" customHeight="1">
      <c r="A527" s="181">
        <v>90671</v>
      </c>
      <c r="B527" s="181" t="s">
        <v>95</v>
      </c>
    </row>
    <row r="528" spans="1:2" ht="16.5" customHeight="1">
      <c r="A528" s="181">
        <v>90681</v>
      </c>
      <c r="B528" s="181" t="s">
        <v>95</v>
      </c>
    </row>
    <row r="529" spans="1:2" ht="16.5" customHeight="1">
      <c r="A529" s="181">
        <v>90682</v>
      </c>
      <c r="B529" s="181" t="s">
        <v>95</v>
      </c>
    </row>
    <row r="530" spans="1:2" ht="16.5" customHeight="1">
      <c r="A530" s="181">
        <v>90683</v>
      </c>
      <c r="B530" s="181" t="s">
        <v>95</v>
      </c>
    </row>
    <row r="531" spans="1:2" ht="16.5" customHeight="1">
      <c r="A531" s="181">
        <v>90684</v>
      </c>
      <c r="B531" s="181" t="s">
        <v>95</v>
      </c>
    </row>
    <row r="532" spans="1:2" ht="16.5" customHeight="1">
      <c r="A532" s="181">
        <v>90685</v>
      </c>
      <c r="B532" s="181" t="s">
        <v>95</v>
      </c>
    </row>
    <row r="533" spans="1:2" ht="16.5" customHeight="1">
      <c r="A533" s="181">
        <v>90686</v>
      </c>
      <c r="B533" s="181" t="s">
        <v>95</v>
      </c>
    </row>
    <row r="534" spans="1:2" ht="16.5" customHeight="1">
      <c r="A534" s="181">
        <v>90688</v>
      </c>
      <c r="B534" s="181" t="s">
        <v>95</v>
      </c>
    </row>
    <row r="535" spans="1:2" ht="16.5" customHeight="1">
      <c r="A535" s="181">
        <v>90691</v>
      </c>
      <c r="B535" s="181" t="s">
        <v>95</v>
      </c>
    </row>
    <row r="536" spans="1:2" ht="16.5" customHeight="1">
      <c r="A536" s="182">
        <v>90692</v>
      </c>
      <c r="B536" s="183" t="s">
        <v>95</v>
      </c>
    </row>
    <row r="537" spans="1:2" ht="16.5" customHeight="1">
      <c r="A537" s="182">
        <v>91111</v>
      </c>
      <c r="B537" s="183" t="s">
        <v>94</v>
      </c>
    </row>
    <row r="538" spans="1:2" ht="16.5" customHeight="1">
      <c r="A538" s="182">
        <v>91112</v>
      </c>
      <c r="B538" s="183" t="s">
        <v>94</v>
      </c>
    </row>
    <row r="539" spans="1:2" ht="16.5" customHeight="1">
      <c r="A539" s="181">
        <v>91113</v>
      </c>
      <c r="B539" s="181" t="s">
        <v>94</v>
      </c>
    </row>
    <row r="540" spans="1:2" ht="16.5" customHeight="1">
      <c r="A540" s="182">
        <v>91114</v>
      </c>
      <c r="B540" s="183" t="s">
        <v>97</v>
      </c>
    </row>
    <row r="541" spans="1:2" ht="16.5" customHeight="1">
      <c r="A541" s="182">
        <v>91115</v>
      </c>
      <c r="B541" s="183" t="s">
        <v>94</v>
      </c>
    </row>
    <row r="542" spans="1:2" ht="16.5" customHeight="1">
      <c r="A542" s="182">
        <v>91116</v>
      </c>
      <c r="B542" s="183" t="s">
        <v>94</v>
      </c>
    </row>
    <row r="543" spans="1:2" ht="16.5" customHeight="1">
      <c r="A543" s="182">
        <v>91117</v>
      </c>
      <c r="B543" s="183" t="s">
        <v>94</v>
      </c>
    </row>
    <row r="544" spans="1:2" ht="16.5" customHeight="1">
      <c r="A544" s="182">
        <v>91121</v>
      </c>
      <c r="B544" s="183" t="s">
        <v>94</v>
      </c>
    </row>
    <row r="545" spans="1:2" ht="16.5" customHeight="1">
      <c r="A545" s="181">
        <v>92001</v>
      </c>
      <c r="B545" s="181" t="s">
        <v>98</v>
      </c>
    </row>
    <row r="546" spans="1:2" ht="16.5" customHeight="1">
      <c r="A546" s="181">
        <v>92002</v>
      </c>
      <c r="B546" s="181" t="s">
        <v>94</v>
      </c>
    </row>
    <row r="547" spans="1:2" ht="16.5" customHeight="1">
      <c r="A547" s="181">
        <v>92003</v>
      </c>
      <c r="B547" s="181" t="s">
        <v>98</v>
      </c>
    </row>
    <row r="548" spans="1:2" ht="16.5" customHeight="1">
      <c r="A548" s="181">
        <v>92004</v>
      </c>
      <c r="B548" s="181" t="s">
        <v>96</v>
      </c>
    </row>
    <row r="549" spans="1:2" ht="16.5" customHeight="1">
      <c r="A549" s="181">
        <v>92005</v>
      </c>
      <c r="B549" s="181" t="s">
        <v>96</v>
      </c>
    </row>
    <row r="550" spans="1:2" ht="16.5" customHeight="1">
      <c r="A550" s="181">
        <v>92006</v>
      </c>
      <c r="B550" s="181" t="s">
        <v>94</v>
      </c>
    </row>
    <row r="551" spans="1:2" ht="16.5" customHeight="1">
      <c r="A551" s="182">
        <v>92007</v>
      </c>
      <c r="B551" s="183" t="s">
        <v>96</v>
      </c>
    </row>
    <row r="552" spans="1:2" ht="16.5" customHeight="1">
      <c r="A552" s="182">
        <v>92008</v>
      </c>
      <c r="B552" s="183" t="s">
        <v>96</v>
      </c>
    </row>
    <row r="553" spans="1:2" ht="16.5" customHeight="1">
      <c r="A553" s="181">
        <v>92602</v>
      </c>
      <c r="B553" s="183" t="s">
        <v>98</v>
      </c>
    </row>
    <row r="554" spans="1:2" ht="16.5" customHeight="1">
      <c r="A554" s="181">
        <v>92604</v>
      </c>
      <c r="B554" s="183" t="s">
        <v>95</v>
      </c>
    </row>
    <row r="555" spans="1:2" ht="16.5" customHeight="1">
      <c r="A555" s="181">
        <v>92606</v>
      </c>
      <c r="B555" s="183" t="s">
        <v>98</v>
      </c>
    </row>
    <row r="556" spans="1:2" ht="16.5" customHeight="1">
      <c r="A556" s="181">
        <v>92607</v>
      </c>
      <c r="B556" s="183" t="s">
        <v>98</v>
      </c>
    </row>
    <row r="557" spans="1:2" ht="16.5" customHeight="1">
      <c r="A557" s="181">
        <v>92608</v>
      </c>
      <c r="B557" s="183" t="s">
        <v>98</v>
      </c>
    </row>
    <row r="558" spans="1:2" ht="16.5" customHeight="1">
      <c r="A558" s="181">
        <v>92609</v>
      </c>
      <c r="B558" s="183" t="s">
        <v>98</v>
      </c>
    </row>
    <row r="559" spans="1:2" ht="16.5" customHeight="1">
      <c r="A559" s="181">
        <v>92610</v>
      </c>
      <c r="B559" s="183" t="s">
        <v>98</v>
      </c>
    </row>
    <row r="560" spans="1:2" ht="16.5" customHeight="1">
      <c r="A560" s="181">
        <v>93019</v>
      </c>
      <c r="B560" s="183" t="s">
        <v>98</v>
      </c>
    </row>
    <row r="561" spans="1:2" ht="16.5" customHeight="1">
      <c r="A561" s="182">
        <v>94001</v>
      </c>
      <c r="B561" s="183" t="s">
        <v>94</v>
      </c>
    </row>
    <row r="562" spans="1:2" ht="16.5" customHeight="1">
      <c r="A562" s="181">
        <v>94002</v>
      </c>
      <c r="B562" s="183" t="s">
        <v>94</v>
      </c>
    </row>
    <row r="563" spans="1:2" ht="16.5" customHeight="1">
      <c r="A563" s="181">
        <v>94003</v>
      </c>
      <c r="B563" s="183" t="s">
        <v>94</v>
      </c>
    </row>
    <row r="564" spans="1:2" ht="16.5" customHeight="1">
      <c r="A564" s="181">
        <v>94004</v>
      </c>
      <c r="B564" s="183" t="s">
        <v>94</v>
      </c>
    </row>
    <row r="565" spans="1:2" ht="16.5" customHeight="1">
      <c r="A565" s="181">
        <v>94005</v>
      </c>
      <c r="B565" s="183" t="s">
        <v>94</v>
      </c>
    </row>
    <row r="566" spans="1:2" ht="16.5" customHeight="1">
      <c r="A566" s="181">
        <v>94006</v>
      </c>
      <c r="B566" s="183" t="s">
        <v>94</v>
      </c>
    </row>
    <row r="567" spans="1:2" ht="16.5" customHeight="1">
      <c r="A567" s="182" t="s">
        <v>297</v>
      </c>
      <c r="B567" s="186" t="s">
        <v>98</v>
      </c>
    </row>
    <row r="568" spans="1:2" ht="16.5" customHeight="1">
      <c r="A568" s="182" t="s">
        <v>298</v>
      </c>
      <c r="B568" s="186" t="s">
        <v>98</v>
      </c>
    </row>
    <row r="569" spans="1:2" ht="16.5" customHeight="1">
      <c r="A569" s="182" t="s">
        <v>299</v>
      </c>
      <c r="B569" s="186" t="s">
        <v>98</v>
      </c>
    </row>
    <row r="570" spans="1:2" ht="16.5" customHeight="1">
      <c r="A570" s="182" t="s">
        <v>300</v>
      </c>
      <c r="B570" s="186" t="s">
        <v>95</v>
      </c>
    </row>
    <row r="571" spans="1:2" ht="16.5" customHeight="1">
      <c r="A571" s="182" t="s">
        <v>301</v>
      </c>
      <c r="B571" s="186" t="s">
        <v>98</v>
      </c>
    </row>
    <row r="572" spans="1:2" ht="16.5" customHeight="1">
      <c r="A572" s="182" t="s">
        <v>302</v>
      </c>
      <c r="B572" s="186" t="s">
        <v>93</v>
      </c>
    </row>
    <row r="573" spans="1:2" ht="16.5" customHeight="1">
      <c r="A573" s="182" t="s">
        <v>303</v>
      </c>
      <c r="B573" s="186" t="s">
        <v>98</v>
      </c>
    </row>
    <row r="574" spans="1:2" ht="16.5" customHeight="1">
      <c r="A574" s="182" t="s">
        <v>304</v>
      </c>
      <c r="B574" s="186" t="s">
        <v>98</v>
      </c>
    </row>
    <row r="575" spans="1:2" ht="16.5" customHeight="1">
      <c r="A575" s="182" t="s">
        <v>305</v>
      </c>
      <c r="B575" s="181" t="s">
        <v>100</v>
      </c>
    </row>
    <row r="576" spans="1:2" ht="16.5" customHeight="1">
      <c r="A576" s="182" t="s">
        <v>306</v>
      </c>
      <c r="B576" s="186" t="s">
        <v>98</v>
      </c>
    </row>
    <row r="577" spans="1:2" ht="16.5" customHeight="1">
      <c r="A577" s="182" t="s">
        <v>307</v>
      </c>
      <c r="B577" s="181" t="s">
        <v>100</v>
      </c>
    </row>
    <row r="578" spans="1:2" ht="16.5" customHeight="1">
      <c r="A578" s="182" t="s">
        <v>308</v>
      </c>
      <c r="B578" s="186" t="s">
        <v>123</v>
      </c>
    </row>
    <row r="579" spans="1:2" ht="16.5" customHeight="1">
      <c r="A579" s="182" t="s">
        <v>309</v>
      </c>
      <c r="B579" s="186" t="s">
        <v>98</v>
      </c>
    </row>
    <row r="580" spans="1:2" ht="16.5" customHeight="1">
      <c r="A580" s="182" t="s">
        <v>310</v>
      </c>
      <c r="B580" s="181" t="s">
        <v>100</v>
      </c>
    </row>
    <row r="581" spans="1:2" ht="16.5" customHeight="1">
      <c r="A581" s="182" t="s">
        <v>311</v>
      </c>
      <c r="B581" s="181" t="s">
        <v>100</v>
      </c>
    </row>
    <row r="582" spans="1:2" ht="16.5" customHeight="1">
      <c r="A582" s="181" t="s">
        <v>312</v>
      </c>
      <c r="B582" s="181" t="s">
        <v>100</v>
      </c>
    </row>
    <row r="583" spans="1:2" ht="16.5" customHeight="1">
      <c r="A583" s="182" t="s">
        <v>313</v>
      </c>
      <c r="B583" s="186" t="s">
        <v>93</v>
      </c>
    </row>
    <row r="584" spans="1:2" ht="16.5" customHeight="1">
      <c r="A584" s="182" t="s">
        <v>314</v>
      </c>
      <c r="B584" s="186" t="s">
        <v>95</v>
      </c>
    </row>
    <row r="585" spans="1:2" ht="16.5" customHeight="1">
      <c r="A585" s="182" t="s">
        <v>315</v>
      </c>
      <c r="B585" s="186" t="s">
        <v>98</v>
      </c>
    </row>
    <row r="586" spans="1:2" ht="16.5" customHeight="1">
      <c r="A586" s="182" t="s">
        <v>316</v>
      </c>
      <c r="B586" s="186" t="s">
        <v>98</v>
      </c>
    </row>
    <row r="587" spans="1:2" ht="16.5" customHeight="1">
      <c r="A587" s="182" t="s">
        <v>317</v>
      </c>
      <c r="B587" s="186" t="s">
        <v>98</v>
      </c>
    </row>
    <row r="588" spans="1:2" ht="16.5" customHeight="1">
      <c r="A588" s="182" t="s">
        <v>318</v>
      </c>
      <c r="B588" s="186" t="s">
        <v>98</v>
      </c>
    </row>
    <row r="589" spans="1:2" ht="16.5" customHeight="1">
      <c r="A589" s="182" t="s">
        <v>319</v>
      </c>
      <c r="B589" s="186" t="s">
        <v>95</v>
      </c>
    </row>
    <row r="590" spans="1:2" ht="16.5" customHeight="1">
      <c r="A590" s="181" t="s">
        <v>320</v>
      </c>
      <c r="B590" s="181" t="s">
        <v>94</v>
      </c>
    </row>
    <row r="591" spans="1:2" ht="16.5" customHeight="1">
      <c r="A591" s="181">
        <v>233911</v>
      </c>
      <c r="B591" s="181" t="s">
        <v>95</v>
      </c>
    </row>
    <row r="592" spans="1:2" ht="16.5" customHeight="1">
      <c r="A592" s="181">
        <v>109972</v>
      </c>
      <c r="B592" s="181" t="s">
        <v>93</v>
      </c>
    </row>
    <row r="593" spans="1:2" ht="16.5" customHeight="1">
      <c r="A593" s="181">
        <v>119962</v>
      </c>
      <c r="B593" s="181" t="s">
        <v>93</v>
      </c>
    </row>
    <row r="594" spans="1:2" ht="16.5" customHeight="1">
      <c r="A594" s="181">
        <v>119982</v>
      </c>
      <c r="B594" s="181" t="s">
        <v>100</v>
      </c>
    </row>
    <row r="595" spans="1:2" ht="16.5" customHeight="1">
      <c r="A595" s="182">
        <v>203002</v>
      </c>
      <c r="B595" s="181" t="s">
        <v>94</v>
      </c>
    </row>
    <row r="596" spans="1:2" ht="16.5" customHeight="1">
      <c r="A596" s="182">
        <v>209960</v>
      </c>
      <c r="B596" s="181" t="s">
        <v>94</v>
      </c>
    </row>
    <row r="597" spans="1:2" ht="16.5" customHeight="1">
      <c r="A597" s="181">
        <v>209990</v>
      </c>
      <c r="B597" s="181" t="s">
        <v>94</v>
      </c>
    </row>
    <row r="598" spans="1:2" ht="16.5" customHeight="1">
      <c r="A598" s="181">
        <v>219913</v>
      </c>
      <c r="B598" s="181" t="s">
        <v>93</v>
      </c>
    </row>
    <row r="599" spans="1:2" ht="16.5" customHeight="1">
      <c r="A599" s="181">
        <v>230964</v>
      </c>
      <c r="B599" s="181" t="s">
        <v>94</v>
      </c>
    </row>
    <row r="600" spans="1:2" ht="16.5" customHeight="1">
      <c r="A600" s="181">
        <v>231903</v>
      </c>
      <c r="B600" s="181" t="s">
        <v>93</v>
      </c>
    </row>
    <row r="601" spans="1:2" ht="16.5" customHeight="1">
      <c r="A601" s="181">
        <v>231937</v>
      </c>
      <c r="B601" s="181" t="s">
        <v>93</v>
      </c>
    </row>
    <row r="602" spans="1:2" ht="16.5" customHeight="1">
      <c r="A602" s="181">
        <v>231939</v>
      </c>
      <c r="B602" s="181" t="s">
        <v>93</v>
      </c>
    </row>
    <row r="603" spans="1:2" ht="16.5" customHeight="1">
      <c r="A603" s="181">
        <v>231941</v>
      </c>
      <c r="B603" s="181" t="s">
        <v>94</v>
      </c>
    </row>
    <row r="604" spans="1:2" ht="16.5" customHeight="1">
      <c r="A604" s="181">
        <v>231944</v>
      </c>
      <c r="B604" s="181" t="s">
        <v>93</v>
      </c>
    </row>
    <row r="605" spans="1:2" ht="16.5" customHeight="1">
      <c r="A605" s="181">
        <v>231946</v>
      </c>
      <c r="B605" s="181" t="s">
        <v>93</v>
      </c>
    </row>
    <row r="606" spans="1:2" ht="16.5" customHeight="1">
      <c r="A606" s="181">
        <v>231958</v>
      </c>
      <c r="B606" s="181" t="s">
        <v>94</v>
      </c>
    </row>
    <row r="607" spans="1:2" ht="16.5" customHeight="1">
      <c r="A607" s="181">
        <v>231960</v>
      </c>
      <c r="B607" s="181" t="s">
        <v>94</v>
      </c>
    </row>
    <row r="608" spans="1:2" ht="16.5" customHeight="1">
      <c r="A608" s="181">
        <v>232902</v>
      </c>
      <c r="B608" s="181" t="s">
        <v>95</v>
      </c>
    </row>
    <row r="609" spans="1:2" ht="16.5" customHeight="1">
      <c r="A609" s="181">
        <v>232916</v>
      </c>
      <c r="B609" s="181" t="s">
        <v>95</v>
      </c>
    </row>
    <row r="610" spans="1:2" ht="16.5" customHeight="1">
      <c r="A610" s="181">
        <v>233915</v>
      </c>
      <c r="B610" s="181" t="s">
        <v>93</v>
      </c>
    </row>
    <row r="611" spans="1:2" ht="16.5" customHeight="1">
      <c r="A611" s="181">
        <v>232927</v>
      </c>
      <c r="B611" s="181" t="s">
        <v>94</v>
      </c>
    </row>
    <row r="612" spans="1:2" ht="16.5" customHeight="1">
      <c r="A612" s="182" t="s">
        <v>321</v>
      </c>
      <c r="B612" s="181" t="s">
        <v>94</v>
      </c>
    </row>
    <row r="613" spans="1:2" ht="16.5" customHeight="1">
      <c r="A613" s="181" t="s">
        <v>322</v>
      </c>
      <c r="B613" s="181" t="s">
        <v>94</v>
      </c>
    </row>
    <row r="614" spans="1:2" ht="16.5" customHeight="1">
      <c r="A614" s="181" t="s">
        <v>323</v>
      </c>
      <c r="B614" s="181" t="s">
        <v>94</v>
      </c>
    </row>
    <row r="615" spans="1:2" ht="16.5" customHeight="1">
      <c r="A615" s="181">
        <v>233004</v>
      </c>
      <c r="B615" s="181" t="s">
        <v>95</v>
      </c>
    </row>
    <row r="616" spans="1:2" ht="16.5" customHeight="1">
      <c r="A616" s="181" t="s">
        <v>324</v>
      </c>
      <c r="B616" s="181" t="s">
        <v>94</v>
      </c>
    </row>
    <row r="617" spans="1:2" ht="16.5" customHeight="1">
      <c r="A617" s="181" t="s">
        <v>325</v>
      </c>
      <c r="B617" s="181" t="s">
        <v>96</v>
      </c>
    </row>
    <row r="618" spans="1:2" ht="16.5" customHeight="1">
      <c r="A618" s="181" t="s">
        <v>326</v>
      </c>
      <c r="B618" s="181" t="s">
        <v>94</v>
      </c>
    </row>
    <row r="619" spans="1:2" ht="16.5" customHeight="1">
      <c r="A619" s="181" t="s">
        <v>327</v>
      </c>
      <c r="B619" s="181" t="s">
        <v>94</v>
      </c>
    </row>
    <row r="620" spans="1:2" ht="16.5" customHeight="1">
      <c r="A620" s="181" t="s">
        <v>328</v>
      </c>
      <c r="B620" s="181" t="s">
        <v>96</v>
      </c>
    </row>
    <row r="621" spans="1:2" ht="16.5" customHeight="1">
      <c r="A621" s="181" t="s">
        <v>329</v>
      </c>
      <c r="B621" s="181" t="s">
        <v>94</v>
      </c>
    </row>
    <row r="622" spans="1:2" ht="16.5" customHeight="1">
      <c r="A622" s="181" t="s">
        <v>330</v>
      </c>
      <c r="B622" s="181" t="s">
        <v>94</v>
      </c>
    </row>
    <row r="623" spans="1:2" ht="16.5" customHeight="1">
      <c r="A623" s="181" t="s">
        <v>331</v>
      </c>
      <c r="B623" s="181" t="s">
        <v>94</v>
      </c>
    </row>
    <row r="624" spans="1:2" ht="16.5" customHeight="1">
      <c r="A624" s="181" t="s">
        <v>332</v>
      </c>
      <c r="B624" s="181" t="s">
        <v>95</v>
      </c>
    </row>
    <row r="625" spans="1:2" ht="16.5" customHeight="1">
      <c r="A625" s="181" t="s">
        <v>333</v>
      </c>
      <c r="B625" s="181" t="s">
        <v>95</v>
      </c>
    </row>
    <row r="626" spans="1:2" ht="16.5" customHeight="1">
      <c r="A626" s="181" t="s">
        <v>334</v>
      </c>
      <c r="B626" s="181" t="s">
        <v>96</v>
      </c>
    </row>
    <row r="627" spans="1:2" ht="16.5" customHeight="1">
      <c r="A627" s="181" t="s">
        <v>335</v>
      </c>
      <c r="B627" s="181" t="s">
        <v>95</v>
      </c>
    </row>
    <row r="628" spans="1:2" ht="16.5" customHeight="1">
      <c r="A628" s="181" t="s">
        <v>336</v>
      </c>
      <c r="B628" s="181" t="s">
        <v>97</v>
      </c>
    </row>
    <row r="629" spans="1:2" ht="16.5" customHeight="1">
      <c r="A629" s="181" t="s">
        <v>337</v>
      </c>
      <c r="B629" s="181" t="s">
        <v>97</v>
      </c>
    </row>
    <row r="630" spans="1:2" ht="16.5" customHeight="1">
      <c r="A630" s="181" t="s">
        <v>338</v>
      </c>
      <c r="B630" s="181" t="s">
        <v>94</v>
      </c>
    </row>
    <row r="631" spans="1:2" ht="16.5" customHeight="1">
      <c r="A631" s="181" t="s">
        <v>339</v>
      </c>
      <c r="B631" s="181" t="s">
        <v>94</v>
      </c>
    </row>
    <row r="632" spans="1:2" ht="16.5" customHeight="1">
      <c r="A632" s="181" t="s">
        <v>340</v>
      </c>
      <c r="B632" s="181" t="s">
        <v>95</v>
      </c>
    </row>
    <row r="633" spans="1:2" ht="16.5" customHeight="1">
      <c r="A633" s="181" t="s">
        <v>341</v>
      </c>
      <c r="B633" s="181" t="s">
        <v>98</v>
      </c>
    </row>
    <row r="634" spans="1:2" ht="16.5" customHeight="1">
      <c r="A634" s="181" t="s">
        <v>342</v>
      </c>
      <c r="B634" s="181" t="s">
        <v>98</v>
      </c>
    </row>
    <row r="635" spans="1:2" ht="16.5" customHeight="1">
      <c r="A635" s="181" t="s">
        <v>343</v>
      </c>
      <c r="B635" s="181" t="s">
        <v>95</v>
      </c>
    </row>
    <row r="636" spans="1:2" ht="16.5" customHeight="1">
      <c r="A636" s="181" t="s">
        <v>344</v>
      </c>
      <c r="B636" s="181" t="s">
        <v>98</v>
      </c>
    </row>
    <row r="637" spans="1:2" ht="16.5" customHeight="1">
      <c r="A637" s="181" t="s">
        <v>345</v>
      </c>
      <c r="B637" s="181" t="s">
        <v>98</v>
      </c>
    </row>
    <row r="638" spans="1:2" ht="16.5" customHeight="1">
      <c r="A638" s="181" t="s">
        <v>346</v>
      </c>
      <c r="B638" s="181" t="s">
        <v>98</v>
      </c>
    </row>
    <row r="639" spans="1:2" ht="16.5" customHeight="1">
      <c r="A639" s="181" t="s">
        <v>347</v>
      </c>
      <c r="B639" s="181" t="s">
        <v>98</v>
      </c>
    </row>
    <row r="640" spans="1:2" ht="16.5" customHeight="1">
      <c r="A640" s="181" t="s">
        <v>348</v>
      </c>
      <c r="B640" s="181" t="s">
        <v>98</v>
      </c>
    </row>
    <row r="641" spans="1:2" ht="16.5" customHeight="1">
      <c r="A641" s="181" t="s">
        <v>349</v>
      </c>
      <c r="B641" s="181" t="s">
        <v>97</v>
      </c>
    </row>
    <row r="642" spans="1:2" ht="16.5" customHeight="1">
      <c r="A642" s="181" t="s">
        <v>350</v>
      </c>
      <c r="B642" s="181" t="s">
        <v>95</v>
      </c>
    </row>
    <row r="643" spans="1:2" ht="16.5" customHeight="1">
      <c r="A643" s="181" t="s">
        <v>351</v>
      </c>
      <c r="B643" s="181" t="s">
        <v>95</v>
      </c>
    </row>
    <row r="644" spans="1:2" ht="16.5" customHeight="1">
      <c r="A644" s="181" t="s">
        <v>352</v>
      </c>
      <c r="B644" s="181" t="s">
        <v>98</v>
      </c>
    </row>
    <row r="645" spans="1:2" ht="16.5" customHeight="1">
      <c r="A645" s="181" t="s">
        <v>353</v>
      </c>
      <c r="B645" s="181" t="s">
        <v>98</v>
      </c>
    </row>
    <row r="646" spans="1:2" ht="16.5" customHeight="1">
      <c r="A646" s="181" t="s">
        <v>354</v>
      </c>
      <c r="B646" s="181" t="s">
        <v>98</v>
      </c>
    </row>
    <row r="647" spans="1:2" ht="16.5" customHeight="1">
      <c r="A647" s="181" t="s">
        <v>355</v>
      </c>
      <c r="B647" s="181" t="s">
        <v>98</v>
      </c>
    </row>
    <row r="648" spans="1:2" ht="16.5" customHeight="1">
      <c r="A648" s="181" t="s">
        <v>356</v>
      </c>
      <c r="B648" s="181" t="s">
        <v>98</v>
      </c>
    </row>
    <row r="649" spans="1:2" ht="16.5" customHeight="1">
      <c r="A649" s="181" t="s">
        <v>357</v>
      </c>
      <c r="B649" s="181" t="s">
        <v>98</v>
      </c>
    </row>
    <row r="650" spans="1:2" ht="16.5" customHeight="1">
      <c r="A650" s="181" t="s">
        <v>358</v>
      </c>
      <c r="B650" s="181" t="s">
        <v>97</v>
      </c>
    </row>
    <row r="651" spans="1:2" ht="16.5" customHeight="1">
      <c r="A651" s="181" t="s">
        <v>359</v>
      </c>
      <c r="B651" s="181" t="s">
        <v>95</v>
      </c>
    </row>
    <row r="652" spans="1:2" ht="16.5" customHeight="1">
      <c r="A652" s="181" t="s">
        <v>360</v>
      </c>
      <c r="B652" s="181" t="s">
        <v>95</v>
      </c>
    </row>
    <row r="653" spans="1:2" ht="16.5" customHeight="1">
      <c r="A653" s="181" t="s">
        <v>361</v>
      </c>
      <c r="B653" s="181" t="s">
        <v>98</v>
      </c>
    </row>
    <row r="654" spans="1:2" ht="16.5" customHeight="1">
      <c r="A654" s="181" t="s">
        <v>362</v>
      </c>
      <c r="B654" s="181" t="s">
        <v>98</v>
      </c>
    </row>
    <row r="655" spans="1:2" ht="16.5" customHeight="1">
      <c r="A655" s="181" t="s">
        <v>363</v>
      </c>
      <c r="B655" s="181" t="s">
        <v>98</v>
      </c>
    </row>
    <row r="656" spans="1:2" ht="16.5" customHeight="1">
      <c r="A656" s="181" t="s">
        <v>364</v>
      </c>
      <c r="B656" s="181" t="s">
        <v>98</v>
      </c>
    </row>
    <row r="657" spans="1:2" ht="16.5" customHeight="1">
      <c r="A657" s="181" t="s">
        <v>365</v>
      </c>
      <c r="B657" s="181" t="s">
        <v>98</v>
      </c>
    </row>
    <row r="658" spans="1:2" ht="16.5" customHeight="1">
      <c r="A658" s="181" t="s">
        <v>366</v>
      </c>
      <c r="B658" s="181" t="s">
        <v>98</v>
      </c>
    </row>
    <row r="659" spans="1:2" ht="16.5" customHeight="1">
      <c r="A659" s="181" t="s">
        <v>367</v>
      </c>
      <c r="B659" s="181" t="s">
        <v>94</v>
      </c>
    </row>
    <row r="660" spans="1:2" ht="16.5" customHeight="1">
      <c r="A660" s="181" t="s">
        <v>368</v>
      </c>
      <c r="B660" s="181" t="s">
        <v>94</v>
      </c>
    </row>
    <row r="661" spans="1:2" ht="16.5" customHeight="1">
      <c r="A661" s="181" t="s">
        <v>369</v>
      </c>
      <c r="B661" s="181" t="s">
        <v>94</v>
      </c>
    </row>
    <row r="662" spans="1:2" ht="16.5" customHeight="1">
      <c r="A662" s="181" t="s">
        <v>370</v>
      </c>
      <c r="B662" s="181" t="s">
        <v>94</v>
      </c>
    </row>
    <row r="663" spans="1:2" ht="16.5" customHeight="1">
      <c r="A663" s="181" t="s">
        <v>371</v>
      </c>
      <c r="B663" s="181" t="s">
        <v>94</v>
      </c>
    </row>
    <row r="664" spans="1:2" ht="16.5" customHeight="1">
      <c r="A664" s="181" t="s">
        <v>372</v>
      </c>
      <c r="B664" s="181" t="s">
        <v>94</v>
      </c>
    </row>
    <row r="665" spans="1:2" ht="16.5" customHeight="1">
      <c r="A665" s="181" t="s">
        <v>373</v>
      </c>
      <c r="B665" s="181" t="s">
        <v>94</v>
      </c>
    </row>
    <row r="666" spans="1:2" ht="16.5" customHeight="1">
      <c r="A666" s="181" t="s">
        <v>374</v>
      </c>
      <c r="B666" s="181" t="s">
        <v>94</v>
      </c>
    </row>
    <row r="667" spans="1:2" ht="16.5" customHeight="1">
      <c r="A667" s="181" t="s">
        <v>375</v>
      </c>
      <c r="B667" s="181" t="s">
        <v>94</v>
      </c>
    </row>
    <row r="668" spans="1:2" ht="16.5" customHeight="1">
      <c r="A668" s="181" t="s">
        <v>376</v>
      </c>
      <c r="B668" s="181" t="s">
        <v>94</v>
      </c>
    </row>
    <row r="669" spans="1:2" ht="16.5" customHeight="1">
      <c r="A669" s="181" t="s">
        <v>377</v>
      </c>
      <c r="B669" s="181" t="s">
        <v>98</v>
      </c>
    </row>
    <row r="670" spans="1:2" ht="16.5" customHeight="1">
      <c r="A670" s="181" t="s">
        <v>378</v>
      </c>
      <c r="B670" s="181" t="s">
        <v>94</v>
      </c>
    </row>
    <row r="671" spans="1:2" ht="16.5" customHeight="1">
      <c r="A671" s="181" t="s">
        <v>379</v>
      </c>
      <c r="B671" s="181" t="s">
        <v>96</v>
      </c>
    </row>
    <row r="672" spans="1:2" ht="16.5" customHeight="1">
      <c r="A672" s="181" t="s">
        <v>380</v>
      </c>
      <c r="B672" s="181" t="s">
        <v>96</v>
      </c>
    </row>
    <row r="673" spans="1:2" ht="16.5" customHeight="1">
      <c r="A673" s="181" t="s">
        <v>381</v>
      </c>
      <c r="B673" s="181" t="s">
        <v>101</v>
      </c>
    </row>
    <row r="674" spans="1:2" ht="16.5" customHeight="1">
      <c r="A674" s="181" t="s">
        <v>382</v>
      </c>
      <c r="B674" s="181" t="s">
        <v>100</v>
      </c>
    </row>
    <row r="675" spans="1:2" ht="16.5" customHeight="1">
      <c r="A675" s="181" t="s">
        <v>383</v>
      </c>
      <c r="B675" s="181" t="s">
        <v>100</v>
      </c>
    </row>
    <row r="676" spans="1:2" ht="16.5" customHeight="1">
      <c r="A676" s="181" t="s">
        <v>384</v>
      </c>
      <c r="B676" s="181" t="s">
        <v>95</v>
      </c>
    </row>
    <row r="677" spans="1:2" ht="16.5" customHeight="1">
      <c r="A677" s="181" t="s">
        <v>385</v>
      </c>
      <c r="B677" s="181" t="s">
        <v>95</v>
      </c>
    </row>
    <row r="678" spans="1:2" ht="16.5" customHeight="1">
      <c r="A678" s="181" t="s">
        <v>386</v>
      </c>
      <c r="B678" s="181" t="s">
        <v>95</v>
      </c>
    </row>
    <row r="679" spans="1:2" ht="16.5" customHeight="1">
      <c r="A679" s="181" t="s">
        <v>387</v>
      </c>
      <c r="B679" s="181" t="s">
        <v>95</v>
      </c>
    </row>
    <row r="680" spans="1:2" ht="16.5" customHeight="1">
      <c r="A680" s="181" t="s">
        <v>388</v>
      </c>
      <c r="B680" s="181" t="s">
        <v>95</v>
      </c>
    </row>
    <row r="681" spans="1:2" ht="16.5" customHeight="1">
      <c r="A681" s="181" t="s">
        <v>389</v>
      </c>
      <c r="B681" s="181" t="s">
        <v>95</v>
      </c>
    </row>
    <row r="682" spans="1:2" ht="16.5" customHeight="1">
      <c r="A682" s="181" t="s">
        <v>390</v>
      </c>
      <c r="B682" s="181" t="s">
        <v>98</v>
      </c>
    </row>
    <row r="683" spans="1:2" ht="16.5" customHeight="1">
      <c r="A683" s="181" t="s">
        <v>391</v>
      </c>
      <c r="B683" s="181" t="s">
        <v>98</v>
      </c>
    </row>
    <row r="684" spans="1:2" ht="16.5" customHeight="1">
      <c r="A684" s="181" t="s">
        <v>392</v>
      </c>
      <c r="B684" s="181" t="s">
        <v>98</v>
      </c>
    </row>
    <row r="685" spans="1:2" ht="16.5" customHeight="1">
      <c r="A685" s="181" t="s">
        <v>393</v>
      </c>
      <c r="B685" s="181" t="s">
        <v>98</v>
      </c>
    </row>
    <row r="686" spans="1:2" ht="16.5" customHeight="1">
      <c r="A686" s="181" t="s">
        <v>394</v>
      </c>
      <c r="B686" s="181" t="s">
        <v>98</v>
      </c>
    </row>
    <row r="687" spans="1:2" ht="16.5" customHeight="1">
      <c r="A687" s="181" t="s">
        <v>395</v>
      </c>
      <c r="B687" s="181" t="s">
        <v>98</v>
      </c>
    </row>
    <row r="688" spans="1:2" ht="16.5" customHeight="1">
      <c r="A688" s="181" t="s">
        <v>396</v>
      </c>
      <c r="B688" s="181" t="s">
        <v>100</v>
      </c>
    </row>
    <row r="689" spans="1:2" ht="16.5" customHeight="1">
      <c r="A689" s="181" t="s">
        <v>397</v>
      </c>
      <c r="B689" s="181" t="s">
        <v>100</v>
      </c>
    </row>
    <row r="690" spans="1:2" ht="16.5" customHeight="1">
      <c r="A690" s="181" t="s">
        <v>398</v>
      </c>
      <c r="B690" s="181" t="s">
        <v>100</v>
      </c>
    </row>
    <row r="691" spans="1:2" ht="16.5" customHeight="1">
      <c r="A691" s="181" t="s">
        <v>399</v>
      </c>
      <c r="B691" s="181" t="s">
        <v>94</v>
      </c>
    </row>
    <row r="692" spans="1:2" ht="16.5" customHeight="1">
      <c r="A692" s="181" t="s">
        <v>400</v>
      </c>
      <c r="B692" s="181" t="s">
        <v>100</v>
      </c>
    </row>
    <row r="693" spans="1:2" ht="16.5" customHeight="1">
      <c r="A693" s="182" t="s">
        <v>401</v>
      </c>
      <c r="B693" s="182" t="s">
        <v>94</v>
      </c>
    </row>
    <row r="694" spans="1:2" ht="16.5" customHeight="1">
      <c r="A694" s="182">
        <v>8522</v>
      </c>
      <c r="B694" s="182" t="s">
        <v>100</v>
      </c>
    </row>
    <row r="695" spans="1:2" ht="16.5" customHeight="1">
      <c r="A695" s="182">
        <v>1431</v>
      </c>
      <c r="B695" s="182" t="s">
        <v>97</v>
      </c>
    </row>
    <row r="696" spans="1:2" ht="16.5" customHeight="1">
      <c r="A696" s="182">
        <v>1461</v>
      </c>
      <c r="B696" s="182" t="s">
        <v>97</v>
      </c>
    </row>
    <row r="697" spans="1:2" ht="16.5" customHeight="1">
      <c r="A697" s="182">
        <v>1526</v>
      </c>
      <c r="B697" s="186" t="s">
        <v>97</v>
      </c>
    </row>
    <row r="698" spans="1:2" ht="16.5" customHeight="1">
      <c r="A698" s="181">
        <v>1535</v>
      </c>
      <c r="B698" s="181" t="s">
        <v>97</v>
      </c>
    </row>
    <row r="699" spans="1:2" ht="16.5" customHeight="1">
      <c r="A699" s="182">
        <v>1670</v>
      </c>
      <c r="B699" s="185" t="s">
        <v>95</v>
      </c>
    </row>
    <row r="700" spans="1:2" ht="16.5" customHeight="1">
      <c r="A700" s="182">
        <v>1695</v>
      </c>
      <c r="B700" s="185" t="s">
        <v>94</v>
      </c>
    </row>
    <row r="701" spans="1:2" ht="16.5" customHeight="1">
      <c r="A701" s="182">
        <v>1697</v>
      </c>
      <c r="B701" s="185" t="s">
        <v>94</v>
      </c>
    </row>
    <row r="702" spans="1:2" ht="16.5" customHeight="1">
      <c r="A702" s="182">
        <v>1698</v>
      </c>
      <c r="B702" s="185" t="s">
        <v>94</v>
      </c>
    </row>
    <row r="703" spans="1:2" ht="16.5" customHeight="1">
      <c r="A703" s="182">
        <v>1699</v>
      </c>
      <c r="B703" s="186" t="s">
        <v>94</v>
      </c>
    </row>
    <row r="704" spans="1:2" ht="16.5" customHeight="1">
      <c r="A704" s="182">
        <v>1727</v>
      </c>
      <c r="B704" s="186" t="s">
        <v>93</v>
      </c>
    </row>
    <row r="705" spans="1:2" ht="16.5" customHeight="1">
      <c r="A705" s="182">
        <v>1732</v>
      </c>
      <c r="B705" s="186" t="s">
        <v>94</v>
      </c>
    </row>
    <row r="706" spans="1:2" ht="16.5" customHeight="1">
      <c r="A706" s="181">
        <v>1733</v>
      </c>
      <c r="B706" s="181" t="s">
        <v>93</v>
      </c>
    </row>
    <row r="707" spans="1:2" ht="16.5" customHeight="1">
      <c r="A707" s="181">
        <v>1735</v>
      </c>
      <c r="B707" s="181" t="s">
        <v>93</v>
      </c>
    </row>
    <row r="708" spans="1:2" ht="16.5" customHeight="1">
      <c r="A708" s="182">
        <v>1737</v>
      </c>
      <c r="B708" s="182" t="s">
        <v>93</v>
      </c>
    </row>
    <row r="709" spans="1:2" ht="16.5" customHeight="1">
      <c r="A709" s="182">
        <v>1738</v>
      </c>
      <c r="B709" s="185" t="s">
        <v>93</v>
      </c>
    </row>
    <row r="710" spans="1:2" ht="16.5" customHeight="1">
      <c r="A710" s="182">
        <v>1739</v>
      </c>
      <c r="B710" s="182" t="s">
        <v>94</v>
      </c>
    </row>
    <row r="711" spans="1:2" ht="16.5" customHeight="1">
      <c r="A711" s="182">
        <v>1742</v>
      </c>
      <c r="B711" s="182" t="s">
        <v>93</v>
      </c>
    </row>
    <row r="712" spans="1:2" ht="16.5" customHeight="1">
      <c r="A712" s="182">
        <v>1743</v>
      </c>
      <c r="B712" s="182" t="s">
        <v>93</v>
      </c>
    </row>
    <row r="713" spans="1:2" ht="16.5" customHeight="1">
      <c r="A713" s="182">
        <v>1744</v>
      </c>
      <c r="B713" s="182" t="s">
        <v>93</v>
      </c>
    </row>
    <row r="714" spans="1:2" ht="16.5" customHeight="1">
      <c r="A714" s="182">
        <v>1746</v>
      </c>
      <c r="B714" s="182" t="s">
        <v>94</v>
      </c>
    </row>
    <row r="715" spans="1:2" ht="16.5" customHeight="1">
      <c r="A715" s="182">
        <v>1747</v>
      </c>
      <c r="B715" s="182" t="s">
        <v>93</v>
      </c>
    </row>
    <row r="716" spans="1:2" ht="16.5" customHeight="1">
      <c r="A716" s="181">
        <v>1748</v>
      </c>
      <c r="B716" s="181" t="s">
        <v>93</v>
      </c>
    </row>
    <row r="717" spans="1:2" ht="16.5" customHeight="1">
      <c r="A717" s="182">
        <v>1749</v>
      </c>
      <c r="B717" s="186" t="s">
        <v>95</v>
      </c>
    </row>
    <row r="718" spans="1:2" ht="16.5" customHeight="1">
      <c r="A718" s="182">
        <v>1776</v>
      </c>
      <c r="B718" s="185" t="s">
        <v>94</v>
      </c>
    </row>
    <row r="719" spans="1:2" ht="16.5" customHeight="1">
      <c r="A719" s="181">
        <v>1777</v>
      </c>
      <c r="B719" s="183" t="s">
        <v>94</v>
      </c>
    </row>
    <row r="720" spans="1:2" ht="16.5" customHeight="1">
      <c r="A720" s="181">
        <v>1778</v>
      </c>
      <c r="B720" s="183" t="s">
        <v>94</v>
      </c>
    </row>
    <row r="721" spans="1:2" ht="16.5" customHeight="1">
      <c r="A721" s="181">
        <v>1779</v>
      </c>
      <c r="B721" s="181" t="s">
        <v>94</v>
      </c>
    </row>
    <row r="722" spans="1:2" ht="16.5" customHeight="1">
      <c r="A722" s="181">
        <v>1780</v>
      </c>
      <c r="B722" s="181" t="s">
        <v>94</v>
      </c>
    </row>
    <row r="723" spans="1:2" ht="16.5" customHeight="1">
      <c r="A723" s="181">
        <v>1781</v>
      </c>
      <c r="B723" s="183" t="s">
        <v>94</v>
      </c>
    </row>
    <row r="724" spans="1:2" ht="16.5" customHeight="1">
      <c r="A724" s="182">
        <v>1782</v>
      </c>
      <c r="B724" s="183" t="s">
        <v>94</v>
      </c>
    </row>
    <row r="725" spans="1:2" ht="16.5" customHeight="1">
      <c r="A725" s="181">
        <v>1783</v>
      </c>
      <c r="B725" s="183" t="s">
        <v>94</v>
      </c>
    </row>
    <row r="726" spans="1:2" ht="16.5" customHeight="1">
      <c r="A726" s="182">
        <v>1798</v>
      </c>
      <c r="B726" s="185" t="s">
        <v>94</v>
      </c>
    </row>
    <row r="727" spans="1:2" ht="16.5" customHeight="1">
      <c r="A727" s="182">
        <v>1849</v>
      </c>
      <c r="B727" s="185" t="s">
        <v>94</v>
      </c>
    </row>
    <row r="728" spans="1:2" ht="16.5" customHeight="1">
      <c r="A728" s="182">
        <v>1850</v>
      </c>
      <c r="B728" s="185" t="s">
        <v>101</v>
      </c>
    </row>
    <row r="729" spans="1:2" ht="16.5" customHeight="1">
      <c r="A729" s="182">
        <v>1858</v>
      </c>
      <c r="B729" s="185" t="s">
        <v>94</v>
      </c>
    </row>
    <row r="730" spans="1:2" ht="16.5" customHeight="1">
      <c r="A730" s="182">
        <v>1859</v>
      </c>
      <c r="B730" s="186" t="s">
        <v>94</v>
      </c>
    </row>
    <row r="731" spans="1:2" ht="16.5" customHeight="1">
      <c r="A731" s="182">
        <v>1866</v>
      </c>
      <c r="B731" s="186" t="s">
        <v>93</v>
      </c>
    </row>
    <row r="732" spans="1:2" ht="16.5" customHeight="1">
      <c r="A732" s="182">
        <v>1867</v>
      </c>
      <c r="B732" s="186" t="s">
        <v>94</v>
      </c>
    </row>
    <row r="733" spans="1:2" ht="16.5" customHeight="1">
      <c r="A733" s="182">
        <v>1868</v>
      </c>
      <c r="B733" s="186" t="s">
        <v>94</v>
      </c>
    </row>
    <row r="734" spans="1:2" ht="16.5" customHeight="1">
      <c r="A734" s="182">
        <v>1869</v>
      </c>
      <c r="B734" s="186" t="s">
        <v>94</v>
      </c>
    </row>
    <row r="735" spans="1:2" ht="16.5" customHeight="1">
      <c r="A735" s="182">
        <v>1890</v>
      </c>
      <c r="B735" s="182" t="s">
        <v>94</v>
      </c>
    </row>
    <row r="736" spans="1:2" ht="16.5" customHeight="1">
      <c r="A736" s="182">
        <v>1891</v>
      </c>
      <c r="B736" s="182" t="s">
        <v>93</v>
      </c>
    </row>
    <row r="737" spans="1:2" ht="16.5" customHeight="1">
      <c r="A737" s="182">
        <v>1892</v>
      </c>
      <c r="B737" s="182" t="s">
        <v>93</v>
      </c>
    </row>
    <row r="738" spans="1:2" ht="16.5" customHeight="1">
      <c r="A738" s="182">
        <v>1893</v>
      </c>
      <c r="B738" s="182" t="s">
        <v>93</v>
      </c>
    </row>
    <row r="739" spans="1:2" ht="16.5" customHeight="1">
      <c r="A739" s="182">
        <v>1895</v>
      </c>
      <c r="B739" s="186" t="s">
        <v>94</v>
      </c>
    </row>
    <row r="740" spans="1:2" ht="16.5" customHeight="1">
      <c r="A740" s="181">
        <v>1896</v>
      </c>
      <c r="B740" s="183" t="s">
        <v>94</v>
      </c>
    </row>
    <row r="741" spans="1:2" ht="16.5" customHeight="1">
      <c r="A741" s="182">
        <v>1898</v>
      </c>
      <c r="B741" s="186" t="s">
        <v>94</v>
      </c>
    </row>
    <row r="742" spans="1:2" ht="16.5" customHeight="1">
      <c r="A742" s="181">
        <v>1899</v>
      </c>
      <c r="B742" s="181" t="s">
        <v>94</v>
      </c>
    </row>
    <row r="743" spans="1:2" ht="16.5" customHeight="1">
      <c r="A743" s="181">
        <v>1935</v>
      </c>
      <c r="B743" s="181" t="s">
        <v>98</v>
      </c>
    </row>
    <row r="744" spans="1:2" ht="16.5" customHeight="1">
      <c r="A744" s="181">
        <v>1936</v>
      </c>
      <c r="B744" s="182" t="s">
        <v>98</v>
      </c>
    </row>
    <row r="745" spans="1:2" ht="16.5" customHeight="1">
      <c r="A745" s="181">
        <v>1937</v>
      </c>
      <c r="B745" s="183" t="s">
        <v>98</v>
      </c>
    </row>
    <row r="746" spans="1:2" ht="16.5" customHeight="1">
      <c r="A746" s="182">
        <v>1943</v>
      </c>
      <c r="B746" s="186" t="s">
        <v>94</v>
      </c>
    </row>
    <row r="747" spans="1:2" ht="16.5" customHeight="1">
      <c r="A747" s="181">
        <v>1944</v>
      </c>
      <c r="B747" s="183" t="s">
        <v>94</v>
      </c>
    </row>
    <row r="748" spans="1:2" ht="16.5" customHeight="1">
      <c r="A748" s="181">
        <v>1984</v>
      </c>
      <c r="B748" s="183" t="s">
        <v>94</v>
      </c>
    </row>
    <row r="749" spans="1:2" ht="16.5" customHeight="1">
      <c r="A749" s="181">
        <v>2086</v>
      </c>
      <c r="B749" s="183" t="s">
        <v>94</v>
      </c>
    </row>
    <row r="750" spans="1:2" ht="16.5" customHeight="1">
      <c r="A750" s="182">
        <v>2087</v>
      </c>
      <c r="B750" s="183" t="s">
        <v>94</v>
      </c>
    </row>
    <row r="751" spans="1:2" ht="16.5" customHeight="1">
      <c r="A751" s="182">
        <v>2145</v>
      </c>
      <c r="B751" s="183" t="s">
        <v>100</v>
      </c>
    </row>
    <row r="752" spans="1:2" ht="16.5" customHeight="1">
      <c r="A752" s="182">
        <v>2146</v>
      </c>
      <c r="B752" s="183" t="s">
        <v>100</v>
      </c>
    </row>
    <row r="753" spans="1:2" ht="16.5" customHeight="1">
      <c r="A753" s="181">
        <v>2157</v>
      </c>
      <c r="B753" s="181" t="s">
        <v>100</v>
      </c>
    </row>
    <row r="754" spans="1:2" ht="16.5" customHeight="1">
      <c r="A754" s="181">
        <v>2231</v>
      </c>
      <c r="B754" s="181" t="s">
        <v>94</v>
      </c>
    </row>
    <row r="755" spans="1:2" ht="16.5" customHeight="1">
      <c r="A755" s="181">
        <v>2232</v>
      </c>
      <c r="B755" s="181" t="s">
        <v>94</v>
      </c>
    </row>
    <row r="756" spans="1:2" ht="16.5" customHeight="1">
      <c r="A756" s="181">
        <v>2233</v>
      </c>
      <c r="B756" s="181" t="s">
        <v>94</v>
      </c>
    </row>
    <row r="757" spans="1:2" ht="16.5" customHeight="1">
      <c r="A757" s="181">
        <v>2234</v>
      </c>
      <c r="B757" s="181" t="s">
        <v>94</v>
      </c>
    </row>
    <row r="758" spans="1:2" ht="16.5" customHeight="1">
      <c r="A758" s="181">
        <v>2235</v>
      </c>
      <c r="B758" s="181" t="s">
        <v>94</v>
      </c>
    </row>
    <row r="759" spans="1:2" ht="16.5" customHeight="1">
      <c r="A759" s="181">
        <v>2236</v>
      </c>
      <c r="B759" s="181" t="s">
        <v>94</v>
      </c>
    </row>
    <row r="760" spans="1:2" ht="16.5" customHeight="1">
      <c r="A760" s="182">
        <v>2533</v>
      </c>
      <c r="B760" s="182" t="s">
        <v>94</v>
      </c>
    </row>
    <row r="761" spans="1:2" ht="16.5" customHeight="1">
      <c r="A761" s="182">
        <v>2650</v>
      </c>
      <c r="B761" s="186" t="s">
        <v>97</v>
      </c>
    </row>
    <row r="762" spans="1:2" ht="16.5" customHeight="1">
      <c r="A762" s="182">
        <v>2665</v>
      </c>
      <c r="B762" s="182" t="s">
        <v>97</v>
      </c>
    </row>
    <row r="763" spans="1:2" ht="16.5" customHeight="1">
      <c r="A763" s="182">
        <v>2680</v>
      </c>
      <c r="B763" s="182" t="s">
        <v>97</v>
      </c>
    </row>
    <row r="764" spans="1:2" ht="16.5" customHeight="1">
      <c r="A764" s="182">
        <v>2705</v>
      </c>
      <c r="B764" s="182" t="s">
        <v>100</v>
      </c>
    </row>
    <row r="765" spans="1:2" ht="16.5" customHeight="1">
      <c r="A765" s="181">
        <v>2720</v>
      </c>
      <c r="B765" s="183" t="s">
        <v>100</v>
      </c>
    </row>
    <row r="766" spans="1:2" ht="16.5" customHeight="1">
      <c r="A766" s="182">
        <v>2735</v>
      </c>
      <c r="B766" s="182" t="s">
        <v>100</v>
      </c>
    </row>
    <row r="767" spans="1:2" ht="16.5" customHeight="1">
      <c r="A767" s="182">
        <v>2750</v>
      </c>
      <c r="B767" s="182" t="s">
        <v>100</v>
      </c>
    </row>
    <row r="768" spans="1:2" ht="16.5" customHeight="1">
      <c r="A768" s="182">
        <v>2765</v>
      </c>
      <c r="B768" s="182" t="s">
        <v>100</v>
      </c>
    </row>
    <row r="769" spans="1:2" ht="16.5" customHeight="1">
      <c r="A769" s="181">
        <v>2780</v>
      </c>
      <c r="B769" s="183" t="s">
        <v>97</v>
      </c>
    </row>
    <row r="770" spans="1:2" ht="16.5" customHeight="1">
      <c r="A770" s="181">
        <v>2808</v>
      </c>
      <c r="B770" s="183" t="s">
        <v>94</v>
      </c>
    </row>
    <row r="771" spans="1:2" ht="16.5" customHeight="1">
      <c r="A771" s="182">
        <v>2814</v>
      </c>
      <c r="B771" s="186" t="s">
        <v>94</v>
      </c>
    </row>
    <row r="772" spans="1:2" ht="16.5" customHeight="1">
      <c r="A772" s="181">
        <v>2815</v>
      </c>
      <c r="B772" s="183" t="s">
        <v>94</v>
      </c>
    </row>
    <row r="773" spans="1:2" ht="16.5" customHeight="1">
      <c r="A773" s="182">
        <v>2885</v>
      </c>
      <c r="B773" s="185" t="s">
        <v>94</v>
      </c>
    </row>
    <row r="774" spans="1:2" ht="16.5" customHeight="1">
      <c r="A774" s="181">
        <v>3122</v>
      </c>
      <c r="B774" s="183" t="s">
        <v>96</v>
      </c>
    </row>
    <row r="775" spans="1:2" ht="16.5" customHeight="1">
      <c r="A775" s="181">
        <v>3123</v>
      </c>
      <c r="B775" s="183" t="s">
        <v>96</v>
      </c>
    </row>
    <row r="776" spans="1:2" ht="16.5" customHeight="1">
      <c r="A776" s="181">
        <v>3124</v>
      </c>
      <c r="B776" s="183" t="s">
        <v>96</v>
      </c>
    </row>
    <row r="777" spans="1:2" ht="16.5" customHeight="1">
      <c r="A777" s="182">
        <v>3126</v>
      </c>
      <c r="B777" s="182" t="s">
        <v>96</v>
      </c>
    </row>
    <row r="778" spans="1:2" ht="16.5" customHeight="1">
      <c r="A778" s="181">
        <v>3128</v>
      </c>
      <c r="B778" s="183" t="s">
        <v>100</v>
      </c>
    </row>
    <row r="779" spans="1:2" ht="16.5" customHeight="1">
      <c r="A779" s="182">
        <v>3129</v>
      </c>
      <c r="B779" s="182" t="s">
        <v>96</v>
      </c>
    </row>
    <row r="780" spans="1:2" ht="16.5" customHeight="1">
      <c r="A780" s="182">
        <v>3131</v>
      </c>
      <c r="B780" s="182" t="s">
        <v>100</v>
      </c>
    </row>
    <row r="781" spans="1:2" ht="16.5" customHeight="1">
      <c r="A781" s="182">
        <v>3132</v>
      </c>
      <c r="B781" s="182" t="s">
        <v>100</v>
      </c>
    </row>
    <row r="782" spans="1:2" ht="16.5" customHeight="1">
      <c r="A782" s="181">
        <v>3143</v>
      </c>
      <c r="B782" s="181" t="s">
        <v>100</v>
      </c>
    </row>
    <row r="783" spans="1:2" ht="16.5" customHeight="1">
      <c r="A783" s="182">
        <v>3161</v>
      </c>
      <c r="B783" s="182" t="s">
        <v>94</v>
      </c>
    </row>
    <row r="784" spans="1:2" ht="16.5" customHeight="1">
      <c r="A784" s="182">
        <v>3165</v>
      </c>
      <c r="B784" s="182" t="s">
        <v>100</v>
      </c>
    </row>
    <row r="785" spans="1:2" ht="16.5" customHeight="1">
      <c r="A785" s="182">
        <v>3166</v>
      </c>
      <c r="B785" s="182" t="s">
        <v>94</v>
      </c>
    </row>
    <row r="786" spans="1:2" ht="16.5" customHeight="1">
      <c r="A786" s="182">
        <v>3187</v>
      </c>
      <c r="B786" s="182" t="s">
        <v>100</v>
      </c>
    </row>
    <row r="787" spans="1:2" ht="16.5" customHeight="1">
      <c r="A787" s="182">
        <v>3189</v>
      </c>
      <c r="B787" s="182" t="s">
        <v>100</v>
      </c>
    </row>
    <row r="788" spans="1:2" ht="16.5" customHeight="1">
      <c r="A788" s="182">
        <v>3195</v>
      </c>
      <c r="B788" s="182" t="s">
        <v>100</v>
      </c>
    </row>
    <row r="789" spans="1:2" ht="16.5" customHeight="1">
      <c r="A789" s="182">
        <v>3294</v>
      </c>
      <c r="B789" s="182" t="s">
        <v>100</v>
      </c>
    </row>
    <row r="790" spans="1:2" ht="16.5" customHeight="1">
      <c r="A790" s="182">
        <v>3264</v>
      </c>
      <c r="B790" s="182" t="s">
        <v>100</v>
      </c>
    </row>
    <row r="791" spans="1:2" ht="16.5" customHeight="1">
      <c r="A791" s="181">
        <v>3280</v>
      </c>
      <c r="B791" s="181" t="s">
        <v>100</v>
      </c>
    </row>
    <row r="792" spans="1:2" ht="16.5" customHeight="1">
      <c r="A792" s="182">
        <v>3320</v>
      </c>
      <c r="B792" s="182" t="s">
        <v>100</v>
      </c>
    </row>
    <row r="793" spans="1:2" ht="16.5" customHeight="1">
      <c r="A793" s="182">
        <v>3330</v>
      </c>
      <c r="B793" s="182" t="s">
        <v>100</v>
      </c>
    </row>
    <row r="794" spans="1:2" ht="16.5" customHeight="1">
      <c r="A794" s="182">
        <v>3340</v>
      </c>
      <c r="B794" s="182" t="s">
        <v>100</v>
      </c>
    </row>
    <row r="795" spans="1:2" ht="16.5" customHeight="1">
      <c r="A795" s="182">
        <v>3350</v>
      </c>
      <c r="B795" s="182" t="s">
        <v>100</v>
      </c>
    </row>
    <row r="796" spans="1:2" ht="16.5" customHeight="1">
      <c r="A796" s="182">
        <v>3380</v>
      </c>
      <c r="B796" s="182" t="s">
        <v>94</v>
      </c>
    </row>
    <row r="797" spans="1:2" ht="16.5" customHeight="1">
      <c r="A797" s="181">
        <v>3400</v>
      </c>
      <c r="B797" s="181" t="s">
        <v>94</v>
      </c>
    </row>
    <row r="798" spans="1:2" ht="16.5" customHeight="1">
      <c r="A798" s="182">
        <v>3401</v>
      </c>
      <c r="B798" s="186" t="s">
        <v>98</v>
      </c>
    </row>
    <row r="799" spans="1:2" ht="16.5" customHeight="1">
      <c r="A799" s="181">
        <v>3405</v>
      </c>
      <c r="B799" s="181" t="s">
        <v>94</v>
      </c>
    </row>
    <row r="800" spans="1:2" ht="16.5" customHeight="1">
      <c r="A800" s="181">
        <v>3406</v>
      </c>
      <c r="B800" s="181" t="s">
        <v>94</v>
      </c>
    </row>
    <row r="801" spans="1:2" ht="16.5" customHeight="1">
      <c r="A801" s="181">
        <v>3407</v>
      </c>
      <c r="B801" s="181" t="s">
        <v>98</v>
      </c>
    </row>
    <row r="802" spans="1:2" ht="16.5" customHeight="1">
      <c r="A802" s="181">
        <v>3430</v>
      </c>
      <c r="B802" s="181" t="s">
        <v>100</v>
      </c>
    </row>
    <row r="803" spans="1:2" ht="16.5" customHeight="1">
      <c r="A803" s="181">
        <v>3460</v>
      </c>
      <c r="B803" s="181" t="s">
        <v>98</v>
      </c>
    </row>
    <row r="804" spans="1:2" ht="16.5" customHeight="1">
      <c r="A804" s="182">
        <v>3549</v>
      </c>
      <c r="B804" s="182" t="s">
        <v>97</v>
      </c>
    </row>
    <row r="805" spans="1:2" ht="16.5" customHeight="1">
      <c r="A805" s="182">
        <v>3591</v>
      </c>
      <c r="B805" s="186" t="s">
        <v>96</v>
      </c>
    </row>
    <row r="806" spans="1:2" ht="16.5" customHeight="1">
      <c r="A806" s="182">
        <v>3592</v>
      </c>
      <c r="B806" s="186" t="s">
        <v>96</v>
      </c>
    </row>
    <row r="807" spans="1:2" ht="16.5" customHeight="1">
      <c r="A807" s="182">
        <v>3594</v>
      </c>
      <c r="B807" s="186" t="s">
        <v>94</v>
      </c>
    </row>
    <row r="808" spans="1:2" ht="16.5" customHeight="1">
      <c r="A808" s="182">
        <v>3595</v>
      </c>
      <c r="B808" s="182" t="s">
        <v>96</v>
      </c>
    </row>
    <row r="809" spans="1:2" ht="16.5" customHeight="1">
      <c r="A809" s="182">
        <v>3650</v>
      </c>
      <c r="B809" s="182" t="s">
        <v>97</v>
      </c>
    </row>
    <row r="810" spans="1:2" ht="16.5" customHeight="1">
      <c r="A810" s="182">
        <v>3690</v>
      </c>
      <c r="B810" s="182" t="s">
        <v>100</v>
      </c>
    </row>
    <row r="811" spans="1:2" ht="16.5" customHeight="1">
      <c r="A811" s="182">
        <v>3730</v>
      </c>
      <c r="B811" s="183" t="s">
        <v>100</v>
      </c>
    </row>
    <row r="812" spans="1:2" ht="16.5" customHeight="1">
      <c r="A812" s="181">
        <v>3780</v>
      </c>
      <c r="B812" s="183" t="s">
        <v>100</v>
      </c>
    </row>
    <row r="813" spans="1:2" ht="16.5" customHeight="1">
      <c r="A813" s="181">
        <v>3788</v>
      </c>
      <c r="B813" s="181" t="s">
        <v>96</v>
      </c>
    </row>
    <row r="814" spans="1:2" ht="16.5" customHeight="1">
      <c r="A814" s="181">
        <v>3810</v>
      </c>
      <c r="B814" s="181" t="s">
        <v>100</v>
      </c>
    </row>
    <row r="815" spans="1:2" ht="16.5" customHeight="1">
      <c r="A815" s="182">
        <v>3850</v>
      </c>
      <c r="B815" s="182" t="s">
        <v>94</v>
      </c>
    </row>
    <row r="816" spans="1:2" ht="16.5" customHeight="1">
      <c r="A816" s="182">
        <v>3870</v>
      </c>
      <c r="B816" s="185" t="s">
        <v>93</v>
      </c>
    </row>
    <row r="817" spans="1:2" ht="16.5" customHeight="1">
      <c r="A817" s="182">
        <v>3899</v>
      </c>
      <c r="B817" s="182" t="s">
        <v>94</v>
      </c>
    </row>
    <row r="818" spans="1:2" ht="16.5" customHeight="1">
      <c r="A818" s="181">
        <v>3916</v>
      </c>
      <c r="B818" s="183" t="s">
        <v>94</v>
      </c>
    </row>
    <row r="819" spans="1:2" ht="16.5" customHeight="1">
      <c r="A819" s="181">
        <v>3917</v>
      </c>
      <c r="B819" s="183" t="s">
        <v>94</v>
      </c>
    </row>
    <row r="820" spans="1:2" ht="16.5" customHeight="1">
      <c r="A820" s="181">
        <v>3927</v>
      </c>
      <c r="B820" s="183" t="s">
        <v>94</v>
      </c>
    </row>
    <row r="821" spans="1:2" ht="16.5" customHeight="1">
      <c r="A821" s="182">
        <v>3928</v>
      </c>
      <c r="B821" s="182" t="s">
        <v>94</v>
      </c>
    </row>
    <row r="822" spans="1:2" ht="16.5" customHeight="1">
      <c r="A822" s="181">
        <v>3929</v>
      </c>
      <c r="B822" s="183" t="s">
        <v>94</v>
      </c>
    </row>
    <row r="823" spans="1:2" ht="16.5" customHeight="1">
      <c r="A823" s="181">
        <v>3981</v>
      </c>
      <c r="B823" s="183" t="s">
        <v>94</v>
      </c>
    </row>
    <row r="824" spans="1:2" ht="16.5" customHeight="1">
      <c r="A824" s="181">
        <v>3982</v>
      </c>
      <c r="B824" s="183" t="s">
        <v>100</v>
      </c>
    </row>
    <row r="825" spans="1:2" ht="16.5" customHeight="1">
      <c r="A825" s="181">
        <v>3983</v>
      </c>
      <c r="B825" s="183" t="s">
        <v>100</v>
      </c>
    </row>
    <row r="826" spans="1:2" ht="16.5" customHeight="1">
      <c r="A826" s="182">
        <v>3984</v>
      </c>
      <c r="B826" s="181" t="s">
        <v>100</v>
      </c>
    </row>
    <row r="827" spans="1:2" ht="16.5" customHeight="1">
      <c r="A827" s="181">
        <v>4402</v>
      </c>
      <c r="B827" s="181" t="s">
        <v>95</v>
      </c>
    </row>
    <row r="828" spans="1:2" ht="16.5" customHeight="1">
      <c r="A828" s="182">
        <v>4487</v>
      </c>
      <c r="B828" s="181" t="s">
        <v>95</v>
      </c>
    </row>
    <row r="829" spans="1:2" ht="16.5" customHeight="1">
      <c r="A829" s="182">
        <v>4787</v>
      </c>
      <c r="B829" s="182" t="s">
        <v>95</v>
      </c>
    </row>
    <row r="830" spans="1:2" ht="16.5" customHeight="1">
      <c r="A830" s="182">
        <v>4800</v>
      </c>
      <c r="B830" s="182" t="s">
        <v>100</v>
      </c>
    </row>
    <row r="831" spans="1:2" ht="16.5" customHeight="1">
      <c r="A831" s="181">
        <v>4810</v>
      </c>
      <c r="B831" s="181" t="s">
        <v>100</v>
      </c>
    </row>
    <row r="832" spans="1:2" ht="16.5" customHeight="1">
      <c r="A832" s="182">
        <v>4820</v>
      </c>
      <c r="B832" s="186" t="s">
        <v>100</v>
      </c>
    </row>
    <row r="833" spans="1:2" ht="16.5" customHeight="1">
      <c r="A833" s="182">
        <v>4850</v>
      </c>
      <c r="B833" s="186" t="s">
        <v>93</v>
      </c>
    </row>
    <row r="834" spans="1:2" ht="16.5" customHeight="1">
      <c r="A834" s="182">
        <v>4869</v>
      </c>
      <c r="B834" s="186" t="s">
        <v>94</v>
      </c>
    </row>
    <row r="835" spans="1:2" ht="16.5" customHeight="1">
      <c r="A835" s="182">
        <v>4870</v>
      </c>
      <c r="B835" s="182" t="s">
        <v>94</v>
      </c>
    </row>
    <row r="836" spans="1:2" ht="16.5" customHeight="1">
      <c r="A836" s="182">
        <v>5110</v>
      </c>
      <c r="B836" s="182" t="s">
        <v>94</v>
      </c>
    </row>
    <row r="837" spans="1:2" ht="16.5" customHeight="1">
      <c r="A837" s="182">
        <v>6025</v>
      </c>
      <c r="B837" s="182" t="s">
        <v>98</v>
      </c>
    </row>
    <row r="838" spans="1:2" ht="16.5" customHeight="1">
      <c r="A838" s="182">
        <v>5390</v>
      </c>
      <c r="B838" s="182" t="s">
        <v>100</v>
      </c>
    </row>
    <row r="839" spans="1:2" ht="16.5" customHeight="1">
      <c r="A839" s="181">
        <v>5424</v>
      </c>
      <c r="B839" s="182" t="s">
        <v>100</v>
      </c>
    </row>
    <row r="840" spans="1:2" ht="16.5" customHeight="1">
      <c r="A840" s="181">
        <v>6324</v>
      </c>
      <c r="B840" s="183" t="s">
        <v>100</v>
      </c>
    </row>
    <row r="841" spans="1:2" ht="16.5" customHeight="1">
      <c r="A841" s="181">
        <v>6355</v>
      </c>
      <c r="B841" s="183" t="s">
        <v>94</v>
      </c>
    </row>
    <row r="842" spans="1:2" ht="16.5" customHeight="1">
      <c r="A842" s="181">
        <v>6356</v>
      </c>
      <c r="B842" s="183" t="s">
        <v>94</v>
      </c>
    </row>
    <row r="843" spans="1:2" ht="16.5" customHeight="1">
      <c r="A843" s="181">
        <v>6389</v>
      </c>
      <c r="B843" s="183" t="s">
        <v>100</v>
      </c>
    </row>
    <row r="844" spans="1:2" ht="16.5" customHeight="1">
      <c r="A844" s="181">
        <v>6390</v>
      </c>
      <c r="B844" s="181" t="s">
        <v>100</v>
      </c>
    </row>
    <row r="845" spans="1:2" ht="16.5" customHeight="1">
      <c r="A845" s="181">
        <v>7010</v>
      </c>
      <c r="B845" s="183" t="s">
        <v>96</v>
      </c>
    </row>
    <row r="846" spans="1:2" ht="16.5" customHeight="1">
      <c r="A846" s="182">
        <v>7064</v>
      </c>
      <c r="B846" s="186" t="s">
        <v>96</v>
      </c>
    </row>
    <row r="847" spans="1:2" ht="16.5" customHeight="1">
      <c r="A847" s="182">
        <v>7066</v>
      </c>
      <c r="B847" s="187" t="s">
        <v>95</v>
      </c>
    </row>
    <row r="848" spans="1:2" ht="16.5" customHeight="1">
      <c r="A848" s="182">
        <v>7067</v>
      </c>
      <c r="B848" s="182" t="s">
        <v>97</v>
      </c>
    </row>
    <row r="849" spans="1:2" ht="16.5" customHeight="1">
      <c r="A849" s="182">
        <v>7707</v>
      </c>
      <c r="B849" s="187" t="s">
        <v>96</v>
      </c>
    </row>
    <row r="850" spans="1:2" ht="16.5" customHeight="1">
      <c r="A850" s="182">
        <v>7708</v>
      </c>
      <c r="B850" s="186" t="s">
        <v>97</v>
      </c>
    </row>
    <row r="851" spans="1:2" ht="16.5" customHeight="1">
      <c r="A851" s="182">
        <v>7713</v>
      </c>
      <c r="B851" s="182" t="s">
        <v>96</v>
      </c>
    </row>
    <row r="852" spans="1:2" ht="16.5" customHeight="1">
      <c r="A852" s="182">
        <v>8020</v>
      </c>
      <c r="B852" s="182" t="s">
        <v>94</v>
      </c>
    </row>
    <row r="853" spans="1:2" ht="16.5" customHeight="1">
      <c r="A853" s="182">
        <v>8021</v>
      </c>
      <c r="B853" s="182" t="s">
        <v>94</v>
      </c>
    </row>
    <row r="854" spans="1:2" ht="16.5" customHeight="1">
      <c r="A854" s="181">
        <v>8022</v>
      </c>
      <c r="B854" s="183" t="s">
        <v>94</v>
      </c>
    </row>
    <row r="855" spans="1:2" ht="16.5" customHeight="1">
      <c r="A855" s="182">
        <v>8143</v>
      </c>
      <c r="B855" s="182" t="s">
        <v>97</v>
      </c>
    </row>
    <row r="856" spans="1:2" ht="16.5" customHeight="1">
      <c r="A856" s="182">
        <v>8149</v>
      </c>
      <c r="B856" s="182" t="s">
        <v>95</v>
      </c>
    </row>
    <row r="857" spans="1:2" ht="16.5" customHeight="1">
      <c r="A857" s="182">
        <v>8290</v>
      </c>
      <c r="B857" s="186" t="s">
        <v>94</v>
      </c>
    </row>
    <row r="858" spans="1:2" ht="16.5" customHeight="1">
      <c r="A858" s="182">
        <v>8310</v>
      </c>
      <c r="B858" s="186" t="s">
        <v>94</v>
      </c>
    </row>
    <row r="859" spans="1:2" ht="16.5" customHeight="1">
      <c r="A859" s="182">
        <v>8325</v>
      </c>
      <c r="B859" s="186" t="s">
        <v>94</v>
      </c>
    </row>
    <row r="860" spans="1:2" ht="16.5" customHeight="1">
      <c r="A860" s="182">
        <v>8340</v>
      </c>
      <c r="B860" s="186" t="s">
        <v>94</v>
      </c>
    </row>
    <row r="861" spans="1:2" ht="16.5" customHeight="1">
      <c r="A861" s="182">
        <v>8355</v>
      </c>
      <c r="B861" s="186" t="s">
        <v>94</v>
      </c>
    </row>
    <row r="862" spans="1:2" ht="16.5" customHeight="1">
      <c r="A862" s="182">
        <v>8370</v>
      </c>
      <c r="B862" s="186" t="s">
        <v>94</v>
      </c>
    </row>
    <row r="863" spans="1:2" ht="16.5" customHeight="1">
      <c r="A863" s="181">
        <v>8391</v>
      </c>
      <c r="B863" s="183" t="s">
        <v>100</v>
      </c>
    </row>
    <row r="864" spans="1:2" ht="16.5" customHeight="1">
      <c r="A864" s="181">
        <v>8400</v>
      </c>
      <c r="B864" s="183" t="s">
        <v>94</v>
      </c>
    </row>
    <row r="865" spans="1:2" ht="16.5" customHeight="1">
      <c r="A865" s="181">
        <v>8450</v>
      </c>
      <c r="B865" s="183" t="s">
        <v>100</v>
      </c>
    </row>
    <row r="866" spans="1:2" ht="16.5" customHeight="1">
      <c r="A866" s="181">
        <v>8451</v>
      </c>
      <c r="B866" s="183" t="s">
        <v>100</v>
      </c>
    </row>
    <row r="867" spans="1:2" ht="16.5" customHeight="1">
      <c r="A867" s="182">
        <v>8452</v>
      </c>
      <c r="B867" s="182" t="s">
        <v>100</v>
      </c>
    </row>
    <row r="868" spans="1:2" ht="16.5" customHeight="1">
      <c r="A868" s="182">
        <v>8526</v>
      </c>
      <c r="B868" s="186" t="s">
        <v>94</v>
      </c>
    </row>
    <row r="869" spans="1:2" ht="16.5" customHeight="1">
      <c r="A869" s="182">
        <v>8676</v>
      </c>
      <c r="B869" s="186" t="s">
        <v>96</v>
      </c>
    </row>
    <row r="870" spans="1:2" ht="16.5" customHeight="1">
      <c r="A870" s="182">
        <v>8678</v>
      </c>
      <c r="B870" s="182" t="s">
        <v>96</v>
      </c>
    </row>
    <row r="871" spans="1:2" ht="16.5" customHeight="1">
      <c r="A871" s="182">
        <v>8713</v>
      </c>
      <c r="B871" s="182" t="s">
        <v>94</v>
      </c>
    </row>
    <row r="872" spans="1:2" ht="16.5" customHeight="1">
      <c r="A872" s="182">
        <v>8714</v>
      </c>
      <c r="B872" s="186" t="s">
        <v>94</v>
      </c>
    </row>
    <row r="873" spans="1:2" ht="16.5" customHeight="1">
      <c r="A873" s="182">
        <v>8717</v>
      </c>
      <c r="B873" s="186" t="s">
        <v>94</v>
      </c>
    </row>
    <row r="874" spans="1:2" ht="16.5" customHeight="1">
      <c r="A874" s="182">
        <v>8718</v>
      </c>
      <c r="B874" s="185" t="s">
        <v>94</v>
      </c>
    </row>
    <row r="875" spans="1:2" ht="16.5" customHeight="1">
      <c r="A875" s="182">
        <v>8719</v>
      </c>
      <c r="B875" s="186" t="s">
        <v>94</v>
      </c>
    </row>
    <row r="876" spans="1:2" ht="16.5" customHeight="1">
      <c r="A876" s="182">
        <v>8760</v>
      </c>
      <c r="B876" s="186" t="s">
        <v>94</v>
      </c>
    </row>
    <row r="877" spans="1:2" ht="16.5" customHeight="1">
      <c r="A877" s="182">
        <v>8761</v>
      </c>
      <c r="B877" s="186" t="s">
        <v>94</v>
      </c>
    </row>
    <row r="878" spans="1:2" ht="16.5" customHeight="1">
      <c r="A878" s="181">
        <v>8918</v>
      </c>
      <c r="B878" s="181" t="s">
        <v>95</v>
      </c>
    </row>
    <row r="879" spans="1:2" ht="16.5" customHeight="1">
      <c r="A879" s="181">
        <v>8950</v>
      </c>
      <c r="B879" s="181" t="s">
        <v>97</v>
      </c>
    </row>
    <row r="880" spans="1:2" ht="16.5" customHeight="1">
      <c r="A880" s="181">
        <v>8951</v>
      </c>
      <c r="B880" s="181" t="s">
        <v>97</v>
      </c>
    </row>
    <row r="881" spans="1:2" ht="16.5" customHeight="1">
      <c r="A881" s="182">
        <v>8952</v>
      </c>
      <c r="B881" s="185" t="s">
        <v>97</v>
      </c>
    </row>
    <row r="882" spans="1:2" ht="16.5" customHeight="1">
      <c r="A882" s="182">
        <v>8984</v>
      </c>
      <c r="B882" s="182" t="s">
        <v>94</v>
      </c>
    </row>
    <row r="883" spans="1:2" ht="16.5" customHeight="1">
      <c r="A883" s="181">
        <v>9874</v>
      </c>
      <c r="B883" s="181" t="s">
        <v>94</v>
      </c>
    </row>
    <row r="884" spans="1:2" ht="16.5" customHeight="1">
      <c r="A884" s="182">
        <v>9878</v>
      </c>
      <c r="B884" s="182" t="s">
        <v>94</v>
      </c>
    </row>
    <row r="885" spans="1:2" ht="16.5" customHeight="1">
      <c r="A885" s="182">
        <v>9879</v>
      </c>
      <c r="B885" s="185" t="s">
        <v>94</v>
      </c>
    </row>
    <row r="886" spans="1:2" ht="16.5" customHeight="1">
      <c r="A886" s="181">
        <v>9880</v>
      </c>
      <c r="B886" s="181" t="s">
        <v>96</v>
      </c>
    </row>
    <row r="887" spans="1:2" ht="16.5" customHeight="1">
      <c r="A887" s="181">
        <v>9925</v>
      </c>
      <c r="B887" s="181" t="s">
        <v>95</v>
      </c>
    </row>
    <row r="888" spans="1:2" ht="16.5" customHeight="1">
      <c r="A888" s="181">
        <v>9928</v>
      </c>
      <c r="B888" s="183" t="s">
        <v>95</v>
      </c>
    </row>
    <row r="889" spans="1:2" ht="16.5" customHeight="1">
      <c r="A889" s="181">
        <v>280168</v>
      </c>
      <c r="B889" s="183" t="s">
        <v>100</v>
      </c>
    </row>
    <row r="890" spans="1:2" ht="16.5" customHeight="1">
      <c r="A890" s="181">
        <v>7716</v>
      </c>
      <c r="B890" s="181" t="s">
        <v>95</v>
      </c>
    </row>
    <row r="891" spans="1:2" ht="16.5" customHeight="1">
      <c r="A891" s="181">
        <v>3288</v>
      </c>
      <c r="B891" s="181" t="s">
        <v>94</v>
      </c>
    </row>
    <row r="892" spans="1:2" ht="16.5" customHeight="1">
      <c r="A892" s="181">
        <v>3289</v>
      </c>
      <c r="B892" s="181" t="s">
        <v>94</v>
      </c>
    </row>
    <row r="893" spans="1:2" ht="16.5" customHeight="1">
      <c r="A893" s="181">
        <v>57188</v>
      </c>
      <c r="B893" s="181" t="s">
        <v>98</v>
      </c>
    </row>
    <row r="894" spans="1:2" ht="16.5" customHeight="1">
      <c r="A894" s="181">
        <v>58337</v>
      </c>
      <c r="B894" s="181" t="s">
        <v>98</v>
      </c>
    </row>
    <row r="895" spans="1:2" ht="16.5" customHeight="1">
      <c r="A895" s="181">
        <v>59561</v>
      </c>
      <c r="B895" s="181" t="s">
        <v>94</v>
      </c>
    </row>
    <row r="896" spans="1:2" ht="16.5" customHeight="1">
      <c r="A896" s="181">
        <v>59603</v>
      </c>
      <c r="B896" s="181" t="s">
        <v>98</v>
      </c>
    </row>
    <row r="897" spans="1:2" ht="16.5" customHeight="1">
      <c r="A897" s="181">
        <v>59632</v>
      </c>
      <c r="B897" s="181" t="s">
        <v>94</v>
      </c>
    </row>
    <row r="898" spans="1:2" ht="16.5" customHeight="1">
      <c r="A898" s="181">
        <v>59817</v>
      </c>
      <c r="B898" s="181" t="s">
        <v>96</v>
      </c>
    </row>
    <row r="899" spans="1:2" ht="16.5" customHeight="1">
      <c r="A899" s="181">
        <v>59818</v>
      </c>
      <c r="B899" s="181" t="s">
        <v>96</v>
      </c>
    </row>
    <row r="900" spans="1:2" ht="16.5" customHeight="1">
      <c r="A900" s="181">
        <v>60073</v>
      </c>
      <c r="B900" s="181" t="s">
        <v>96</v>
      </c>
    </row>
    <row r="901" spans="1:2" ht="16.5" customHeight="1">
      <c r="A901" s="181">
        <v>60154</v>
      </c>
      <c r="B901" s="181" t="s">
        <v>95</v>
      </c>
    </row>
    <row r="902" spans="1:2" ht="16.5" customHeight="1">
      <c r="A902" s="188">
        <v>60272</v>
      </c>
      <c r="B902" s="188" t="s">
        <v>98</v>
      </c>
    </row>
    <row r="903" spans="1:2" ht="16.5" customHeight="1">
      <c r="A903" s="188">
        <v>60155</v>
      </c>
      <c r="B903" s="188" t="s">
        <v>95</v>
      </c>
    </row>
    <row r="904" spans="1:2" ht="16.5" customHeight="1">
      <c r="A904" s="188">
        <v>60491</v>
      </c>
      <c r="B904" s="188" t="s">
        <v>95</v>
      </c>
    </row>
    <row r="905" spans="1:2" ht="16.5" customHeight="1">
      <c r="A905" s="188">
        <v>169241</v>
      </c>
      <c r="B905" s="188" t="s">
        <v>98</v>
      </c>
    </row>
    <row r="906" spans="1:2" ht="16.5" customHeight="1">
      <c r="A906" s="188">
        <v>169280</v>
      </c>
      <c r="B906" s="188" t="s">
        <v>98</v>
      </c>
    </row>
    <row r="907" spans="1:2" ht="16.5" customHeight="1">
      <c r="A907" s="188">
        <v>2835</v>
      </c>
      <c r="B907" s="188" t="s">
        <v>97</v>
      </c>
    </row>
    <row r="908" spans="1:2" ht="16.5" customHeight="1">
      <c r="A908" s="188">
        <v>2834</v>
      </c>
      <c r="B908" s="188" t="s">
        <v>97</v>
      </c>
    </row>
    <row r="909" spans="1:2" ht="16.5" customHeight="1">
      <c r="A909" s="189">
        <v>2882</v>
      </c>
      <c r="B909" s="189" t="s">
        <v>94</v>
      </c>
    </row>
    <row r="910" spans="1:2" ht="16.5" customHeight="1">
      <c r="A910" s="189">
        <v>2834</v>
      </c>
      <c r="B910" s="189" t="s">
        <v>97</v>
      </c>
    </row>
    <row r="911" spans="1:2" ht="16.5" customHeight="1">
      <c r="A911" s="189">
        <v>2882</v>
      </c>
      <c r="B911" s="189" t="s">
        <v>94</v>
      </c>
    </row>
    <row r="912" spans="1:2" ht="16.5" customHeight="1">
      <c r="A912" s="189">
        <v>169240</v>
      </c>
      <c r="B912" s="189" t="s">
        <v>98</v>
      </c>
    </row>
    <row r="913" spans="1:2" ht="16.5" customHeight="1">
      <c r="A913" s="189">
        <v>113303</v>
      </c>
      <c r="B913" s="189" t="s">
        <v>95</v>
      </c>
    </row>
    <row r="914" spans="1:2" ht="16.5" customHeight="1">
      <c r="A914" s="189">
        <v>169260</v>
      </c>
      <c r="B914" s="189" t="s">
        <v>98</v>
      </c>
    </row>
    <row r="915" spans="1:2" ht="16.5" customHeight="1">
      <c r="A915" s="189">
        <v>168130</v>
      </c>
      <c r="B915" s="189" t="s">
        <v>95</v>
      </c>
    </row>
    <row r="916" spans="1:2" ht="16.5" customHeight="1">
      <c r="A916" s="189">
        <v>200320</v>
      </c>
      <c r="B916" s="189" t="s">
        <v>94</v>
      </c>
    </row>
    <row r="917" spans="1:2" ht="16.5" customHeight="1">
      <c r="A917" s="189">
        <v>200321</v>
      </c>
      <c r="B917" s="189" t="s">
        <v>94</v>
      </c>
    </row>
    <row r="918" spans="1:2" ht="16.5" customHeight="1">
      <c r="A918" s="189">
        <v>2910</v>
      </c>
      <c r="B918" s="189" t="s">
        <v>100</v>
      </c>
    </row>
    <row r="919" spans="1:2" ht="16.5" customHeight="1">
      <c r="A919" s="189">
        <v>112022</v>
      </c>
      <c r="B919" s="189" t="s">
        <v>96</v>
      </c>
    </row>
    <row r="920" spans="1:2" ht="16.5" customHeight="1">
      <c r="A920" s="189">
        <v>113304</v>
      </c>
      <c r="B920" s="189" t="s">
        <v>96</v>
      </c>
    </row>
    <row r="921" spans="1:2" ht="16.5" customHeight="1">
      <c r="A921" s="189">
        <v>114216</v>
      </c>
      <c r="B921" s="190" t="s">
        <v>97</v>
      </c>
    </row>
    <row r="922" spans="1:2" ht="16.5" customHeight="1">
      <c r="A922" s="189">
        <v>90456</v>
      </c>
      <c r="B922" s="190" t="s">
        <v>97</v>
      </c>
    </row>
    <row r="923" spans="1:2" ht="16.5" customHeight="1">
      <c r="A923" s="189">
        <v>42404</v>
      </c>
      <c r="B923" s="190" t="s">
        <v>100</v>
      </c>
    </row>
    <row r="924" spans="1:2" ht="16.5" customHeight="1">
      <c r="A924" s="189">
        <v>42422</v>
      </c>
      <c r="B924" s="189" t="s">
        <v>100</v>
      </c>
    </row>
    <row r="925" spans="1:2" ht="16.5" customHeight="1">
      <c r="A925" s="189">
        <v>94012</v>
      </c>
      <c r="B925" s="189" t="s">
        <v>94</v>
      </c>
    </row>
    <row r="926" spans="1:2" ht="16.5" customHeight="1">
      <c r="A926" s="189">
        <v>94013</v>
      </c>
      <c r="B926" s="189" t="s">
        <v>94</v>
      </c>
    </row>
    <row r="927" spans="1:2" ht="16.5" customHeight="1">
      <c r="A927" s="189">
        <v>12525</v>
      </c>
      <c r="B927" s="189" t="s">
        <v>94</v>
      </c>
    </row>
    <row r="928" spans="1:2" ht="16.5" customHeight="1">
      <c r="A928" s="189">
        <v>90481</v>
      </c>
      <c r="B928" s="189" t="s">
        <v>97</v>
      </c>
    </row>
    <row r="929" spans="1:2" ht="16.5" customHeight="1">
      <c r="A929" s="189">
        <v>90482</v>
      </c>
      <c r="B929" s="189" t="s">
        <v>97</v>
      </c>
    </row>
    <row r="930" spans="1:2" ht="16.5" customHeight="1">
      <c r="A930" s="189">
        <v>6650</v>
      </c>
      <c r="B930" s="189" t="s">
        <v>100</v>
      </c>
    </row>
    <row r="931" spans="1:2" ht="16.5" customHeight="1">
      <c r="A931" s="189">
        <v>3239</v>
      </c>
      <c r="B931" s="189" t="s">
        <v>98</v>
      </c>
    </row>
    <row r="932" spans="1:2" ht="16.5" customHeight="1">
      <c r="A932" s="189">
        <v>8047</v>
      </c>
      <c r="B932" s="189" t="s">
        <v>94</v>
      </c>
    </row>
    <row r="933" spans="1:2" ht="16.5" customHeight="1">
      <c r="A933" s="189">
        <v>8049</v>
      </c>
      <c r="B933" s="189" t="s">
        <v>94</v>
      </c>
    </row>
    <row r="934" spans="1:2" ht="16.5" customHeight="1">
      <c r="A934" s="189">
        <v>8048</v>
      </c>
      <c r="B934" s="189" t="s">
        <v>94</v>
      </c>
    </row>
    <row r="935" spans="1:2" ht="16.5" customHeight="1">
      <c r="A935" s="189">
        <v>8054</v>
      </c>
      <c r="B935" s="189" t="s">
        <v>94</v>
      </c>
    </row>
    <row r="936" spans="1:2" ht="16.5" customHeight="1">
      <c r="A936" s="191">
        <v>8052</v>
      </c>
      <c r="B936" s="189" t="s">
        <v>94</v>
      </c>
    </row>
    <row r="937" spans="1:2" ht="16.5" customHeight="1">
      <c r="A937" s="191">
        <v>9189</v>
      </c>
      <c r="B937" s="189" t="s">
        <v>100</v>
      </c>
    </row>
    <row r="938" spans="1:2" ht="16.5" customHeight="1">
      <c r="A938" s="191" t="s">
        <v>402</v>
      </c>
      <c r="B938" s="189" t="s">
        <v>403</v>
      </c>
    </row>
    <row r="939" spans="1:2" ht="16.5" customHeight="1">
      <c r="A939" s="191" t="s">
        <v>404</v>
      </c>
      <c r="B939" s="189" t="s">
        <v>93</v>
      </c>
    </row>
    <row r="940" spans="1:2" ht="16.5" customHeight="1">
      <c r="A940" s="191" t="s">
        <v>405</v>
      </c>
      <c r="B940" s="189" t="s">
        <v>95</v>
      </c>
    </row>
    <row r="941" spans="1:2" ht="16.5" customHeight="1">
      <c r="A941" s="191">
        <v>60368</v>
      </c>
      <c r="B941" s="189" t="s">
        <v>95</v>
      </c>
    </row>
    <row r="942" spans="1:2" ht="16.5" customHeight="1">
      <c r="A942" s="191">
        <v>12616</v>
      </c>
      <c r="B942" s="189" t="s">
        <v>95</v>
      </c>
    </row>
    <row r="943" spans="1:2" ht="16.5" customHeight="1">
      <c r="A943" s="191">
        <v>12503</v>
      </c>
      <c r="B943" s="189" t="s">
        <v>94</v>
      </c>
    </row>
    <row r="944" spans="1:2" ht="16.5" customHeight="1">
      <c r="A944" s="191">
        <v>12570</v>
      </c>
      <c r="B944" s="189" t="s">
        <v>95</v>
      </c>
    </row>
    <row r="945" spans="1:2" ht="16.5" customHeight="1">
      <c r="A945" s="191">
        <v>12502</v>
      </c>
      <c r="B945" s="189" t="s">
        <v>96</v>
      </c>
    </row>
    <row r="946" spans="1:2" ht="16.5" customHeight="1">
      <c r="A946" s="191">
        <v>3195</v>
      </c>
      <c r="B946" s="189" t="s">
        <v>100</v>
      </c>
    </row>
    <row r="947" spans="1:2" ht="16.5" customHeight="1">
      <c r="A947" s="191">
        <v>2799</v>
      </c>
      <c r="B947" s="189" t="s">
        <v>98</v>
      </c>
    </row>
    <row r="948" spans="1:2" ht="16.5" customHeight="1">
      <c r="A948" s="191">
        <v>12566</v>
      </c>
      <c r="B948" s="189" t="s">
        <v>96</v>
      </c>
    </row>
    <row r="949" spans="1:2" ht="16.5" customHeight="1">
      <c r="A949" s="191">
        <v>3024</v>
      </c>
      <c r="B949" s="189" t="s">
        <v>98</v>
      </c>
    </row>
    <row r="950" spans="1:2" ht="16.5" customHeight="1">
      <c r="A950" s="191">
        <v>8053</v>
      </c>
      <c r="B950" s="189" t="s">
        <v>94</v>
      </c>
    </row>
    <row r="951" spans="1:2" ht="16.5" customHeight="1">
      <c r="A951" s="191">
        <v>8054</v>
      </c>
      <c r="B951" s="189" t="s">
        <v>94</v>
      </c>
    </row>
    <row r="952" spans="1:2" ht="16.5" customHeight="1">
      <c r="A952" s="191" t="s">
        <v>406</v>
      </c>
      <c r="B952" s="189" t="s">
        <v>96</v>
      </c>
    </row>
    <row r="953" spans="1:2" ht="16.5" customHeight="1">
      <c r="A953" s="191" t="s">
        <v>407</v>
      </c>
      <c r="B953" s="189" t="s">
        <v>100</v>
      </c>
    </row>
    <row r="954" spans="1:2" ht="16.5" customHeight="1">
      <c r="A954" s="191" t="s">
        <v>408</v>
      </c>
      <c r="B954" s="189" t="s">
        <v>95</v>
      </c>
    </row>
    <row r="955" spans="1:2" ht="16.5" customHeight="1">
      <c r="A955" s="189" t="s">
        <v>409</v>
      </c>
      <c r="B955" s="189" t="s">
        <v>97</v>
      </c>
    </row>
    <row r="956" spans="1:2" ht="16.5" customHeight="1">
      <c r="A956" s="191" t="s">
        <v>410</v>
      </c>
      <c r="B956" s="189" t="s">
        <v>97</v>
      </c>
    </row>
    <row r="957" spans="1:2" ht="16.5" customHeight="1">
      <c r="A957" s="189" t="s">
        <v>411</v>
      </c>
      <c r="B957" s="189" t="s">
        <v>97</v>
      </c>
    </row>
    <row r="958" spans="1:2" ht="16.5" customHeight="1">
      <c r="A958" s="189" t="s">
        <v>412</v>
      </c>
      <c r="B958" s="189" t="s">
        <v>95</v>
      </c>
    </row>
    <row r="959" spans="1:2" ht="16.5" customHeight="1">
      <c r="A959" s="189">
        <v>8050</v>
      </c>
      <c r="B959" s="189" t="s">
        <v>94</v>
      </c>
    </row>
    <row r="960" spans="1:2" ht="16.5" customHeight="1">
      <c r="A960" s="189">
        <v>12571</v>
      </c>
      <c r="B960" s="189" t="s">
        <v>96</v>
      </c>
    </row>
    <row r="961" spans="1:2" ht="16.5" customHeight="1">
      <c r="A961" s="189" t="s">
        <v>413</v>
      </c>
      <c r="B961" s="189" t="s">
        <v>95</v>
      </c>
    </row>
    <row r="962" spans="1:2" ht="16.5" customHeight="1">
      <c r="A962" s="189">
        <v>8051</v>
      </c>
      <c r="B962" s="189" t="s">
        <v>94</v>
      </c>
    </row>
    <row r="963" spans="1:2" ht="16.5" customHeight="1">
      <c r="A963" s="189">
        <v>90461</v>
      </c>
      <c r="B963" s="189" t="s">
        <v>97</v>
      </c>
    </row>
    <row r="964" spans="1:2" ht="16.5" customHeight="1">
      <c r="A964" s="189">
        <v>3179</v>
      </c>
      <c r="B964" s="189" t="s">
        <v>100</v>
      </c>
    </row>
    <row r="965" spans="1:2" ht="16.5" customHeight="1">
      <c r="A965" s="189">
        <v>8055</v>
      </c>
      <c r="B965" s="189" t="s">
        <v>94</v>
      </c>
    </row>
    <row r="966" spans="1:2" ht="16.5" customHeight="1">
      <c r="A966" s="189">
        <v>12573</v>
      </c>
      <c r="B966" s="189" t="s">
        <v>98</v>
      </c>
    </row>
    <row r="967" spans="1:2" ht="16.5" customHeight="1">
      <c r="A967" s="189">
        <v>4326</v>
      </c>
      <c r="B967" s="189" t="s">
        <v>100</v>
      </c>
    </row>
    <row r="968" spans="1:2" ht="16.5" customHeight="1">
      <c r="A968" s="189" t="s">
        <v>414</v>
      </c>
      <c r="B968" s="189" t="s">
        <v>97</v>
      </c>
    </row>
    <row r="969" spans="1:2" ht="16.5" customHeight="1">
      <c r="A969" s="189" t="s">
        <v>415</v>
      </c>
      <c r="B969" s="189" t="s">
        <v>97</v>
      </c>
    </row>
    <row r="970" spans="1:2" ht="16.5" customHeight="1">
      <c r="A970" s="189" t="s">
        <v>416</v>
      </c>
      <c r="B970" s="189" t="s">
        <v>96</v>
      </c>
    </row>
    <row r="971" spans="1:2" ht="16.5" customHeight="1">
      <c r="A971" s="189">
        <v>5326</v>
      </c>
      <c r="B971" s="189" t="s">
        <v>100</v>
      </c>
    </row>
    <row r="972" spans="1:2" ht="16.5" customHeight="1">
      <c r="A972" s="189">
        <v>6552</v>
      </c>
      <c r="B972" s="189" t="s">
        <v>100</v>
      </c>
    </row>
    <row r="973" spans="1:2" ht="16.5" customHeight="1">
      <c r="A973" s="189">
        <v>3254</v>
      </c>
      <c r="B973" s="189" t="s">
        <v>100</v>
      </c>
    </row>
    <row r="974" spans="1:2" ht="16.5" customHeight="1">
      <c r="A974" s="189">
        <v>8174</v>
      </c>
      <c r="B974" s="189" t="s">
        <v>93</v>
      </c>
    </row>
    <row r="975" spans="1:2" ht="16.5" customHeight="1">
      <c r="A975" s="189">
        <v>50010</v>
      </c>
      <c r="B975" s="189" t="s">
        <v>94</v>
      </c>
    </row>
    <row r="976" spans="1:2" ht="16.5" customHeight="1">
      <c r="A976" s="189">
        <v>57100</v>
      </c>
      <c r="B976" s="189" t="s">
        <v>94</v>
      </c>
    </row>
    <row r="977" spans="1:2" ht="16.5" customHeight="1">
      <c r="A977" s="192">
        <v>96600</v>
      </c>
      <c r="B977" s="189" t="s">
        <v>94</v>
      </c>
    </row>
    <row r="978" spans="1:2" ht="16.5" customHeight="1">
      <c r="A978" s="189">
        <v>96604</v>
      </c>
      <c r="B978" s="189" t="s">
        <v>94</v>
      </c>
    </row>
    <row r="979" spans="1:2" ht="16.5" customHeight="1">
      <c r="A979" s="189">
        <v>90452</v>
      </c>
      <c r="B979" s="189" t="s">
        <v>97</v>
      </c>
    </row>
    <row r="980" spans="1:2" ht="16.5" customHeight="1">
      <c r="A980" s="192">
        <v>90457</v>
      </c>
      <c r="B980" s="189" t="s">
        <v>97</v>
      </c>
    </row>
    <row r="981" spans="1:2" ht="16.5" customHeight="1">
      <c r="A981" s="189">
        <v>90463</v>
      </c>
      <c r="B981" s="189" t="s">
        <v>97</v>
      </c>
    </row>
    <row r="982" spans="1:2" ht="16.5" customHeight="1">
      <c r="A982" s="189">
        <v>90466</v>
      </c>
      <c r="B982" s="189" t="s">
        <v>97</v>
      </c>
    </row>
    <row r="983" spans="1:2" ht="16.5" customHeight="1">
      <c r="A983" s="182">
        <v>90469</v>
      </c>
      <c r="B983" s="181" t="s">
        <v>97</v>
      </c>
    </row>
    <row r="984" spans="1:2" ht="16.5" customHeight="1">
      <c r="A984" s="182">
        <v>90470</v>
      </c>
      <c r="B984" s="181" t="s">
        <v>97</v>
      </c>
    </row>
    <row r="985" spans="1:2" ht="16.5" customHeight="1">
      <c r="A985" s="182">
        <v>90473</v>
      </c>
      <c r="B985" s="181" t="s">
        <v>97</v>
      </c>
    </row>
    <row r="986" spans="1:2" ht="16.5" customHeight="1">
      <c r="A986" s="182">
        <v>90476</v>
      </c>
      <c r="B986" s="181" t="s">
        <v>97</v>
      </c>
    </row>
    <row r="987" spans="1:2" ht="16.5" customHeight="1">
      <c r="A987" s="191">
        <v>8020</v>
      </c>
      <c r="B987" s="189" t="s">
        <v>94</v>
      </c>
    </row>
    <row r="988" spans="1:2" ht="16.5" customHeight="1">
      <c r="A988" s="191" t="s">
        <v>417</v>
      </c>
      <c r="B988" s="189" t="s">
        <v>97</v>
      </c>
    </row>
    <row r="989" spans="1:2" ht="16.5" customHeight="1">
      <c r="A989" s="181" t="s">
        <v>418</v>
      </c>
      <c r="B989" s="183" t="s">
        <v>97</v>
      </c>
    </row>
    <row r="990" spans="1:2" ht="16.5" customHeight="1">
      <c r="A990" s="181" t="s">
        <v>419</v>
      </c>
      <c r="B990" s="181" t="s">
        <v>97</v>
      </c>
    </row>
    <row r="991" spans="1:2" ht="16.5" customHeight="1">
      <c r="A991" s="181" t="s">
        <v>420</v>
      </c>
      <c r="B991" s="181" t="s">
        <v>94</v>
      </c>
    </row>
    <row r="992" spans="1:2" ht="16.5" customHeight="1">
      <c r="A992" s="181" t="s">
        <v>421</v>
      </c>
      <c r="B992" s="181" t="s">
        <v>95</v>
      </c>
    </row>
    <row r="993" spans="1:2" ht="16.5" customHeight="1">
      <c r="A993" s="181">
        <v>90453</v>
      </c>
      <c r="B993" s="181" t="s">
        <v>97</v>
      </c>
    </row>
    <row r="994" spans="1:2" ht="16.5" customHeight="1">
      <c r="A994" s="182">
        <v>60310</v>
      </c>
      <c r="B994" s="185" t="s">
        <v>98</v>
      </c>
    </row>
    <row r="995" spans="1:2" ht="16.5" customHeight="1">
      <c r="A995" s="182" t="s">
        <v>422</v>
      </c>
      <c r="B995" s="185" t="s">
        <v>98</v>
      </c>
    </row>
    <row r="996" spans="1:2" ht="16.5" customHeight="1">
      <c r="A996" s="191" t="s">
        <v>423</v>
      </c>
      <c r="B996" s="189" t="s">
        <v>98</v>
      </c>
    </row>
    <row r="997" spans="1:2" ht="16.5" customHeight="1">
      <c r="A997" s="189" t="s">
        <v>424</v>
      </c>
      <c r="B997" s="189" t="s">
        <v>98</v>
      </c>
    </row>
    <row r="998" spans="1:2" ht="16.5" customHeight="1">
      <c r="A998" s="189" t="s">
        <v>425</v>
      </c>
      <c r="B998" s="189" t="s">
        <v>94</v>
      </c>
    </row>
    <row r="999" spans="1:2" ht="16.5" customHeight="1">
      <c r="A999" s="189" t="s">
        <v>426</v>
      </c>
      <c r="B999" s="189" t="s">
        <v>98</v>
      </c>
    </row>
    <row r="1000" spans="1:2" ht="16.5" customHeight="1">
      <c r="A1000" s="189" t="s">
        <v>427</v>
      </c>
      <c r="B1000" s="189" t="s">
        <v>100</v>
      </c>
    </row>
    <row r="1001" spans="1:2" ht="16.5" customHeight="1">
      <c r="A1001" s="189">
        <v>2797</v>
      </c>
      <c r="B1001" s="189" t="s">
        <v>100</v>
      </c>
    </row>
    <row r="1002" spans="1:2" ht="16.5" customHeight="1">
      <c r="A1002" s="189" t="s">
        <v>428</v>
      </c>
      <c r="B1002" s="189" t="s">
        <v>100</v>
      </c>
    </row>
    <row r="1003" spans="1:2" ht="16.5" customHeight="1">
      <c r="A1003" s="193" t="s">
        <v>429</v>
      </c>
      <c r="B1003" s="193" t="s">
        <v>96</v>
      </c>
    </row>
    <row r="1004" spans="1:2" ht="16.5" customHeight="1">
      <c r="A1004" s="193" t="s">
        <v>430</v>
      </c>
      <c r="B1004" s="193" t="s">
        <v>96</v>
      </c>
    </row>
    <row r="1005" spans="1:2" ht="16.5" customHeight="1">
      <c r="A1005" s="193" t="s">
        <v>431</v>
      </c>
      <c r="B1005" s="193" t="s">
        <v>96</v>
      </c>
    </row>
    <row r="1006" spans="1:2" ht="16.5" customHeight="1">
      <c r="A1006" s="193">
        <v>161112</v>
      </c>
      <c r="B1006" s="193" t="s">
        <v>96</v>
      </c>
    </row>
    <row r="1007" spans="1:2" ht="16.5" customHeight="1">
      <c r="A1007" s="193">
        <v>402027</v>
      </c>
      <c r="B1007" s="193" t="s">
        <v>102</v>
      </c>
    </row>
    <row r="1008" spans="1:2" ht="16.5" customHeight="1">
      <c r="A1008" s="191" t="s">
        <v>432</v>
      </c>
      <c r="B1008" s="189" t="s">
        <v>98</v>
      </c>
    </row>
    <row r="1009" spans="1:2" ht="16.5" customHeight="1">
      <c r="A1009" s="191" t="s">
        <v>433</v>
      </c>
      <c r="B1009" s="189" t="s">
        <v>94</v>
      </c>
    </row>
    <row r="1010" spans="1:2" ht="16.5" customHeight="1">
      <c r="A1010" s="191" t="s">
        <v>434</v>
      </c>
      <c r="B1010" s="189" t="s">
        <v>94</v>
      </c>
    </row>
    <row r="1011" spans="1:2" ht="16.5" customHeight="1">
      <c r="A1011" s="191">
        <v>13508</v>
      </c>
      <c r="B1011" s="189" t="s">
        <v>96</v>
      </c>
    </row>
    <row r="1012" spans="1:2" ht="16.5" customHeight="1">
      <c r="A1012" s="191">
        <v>8755</v>
      </c>
      <c r="B1012" s="189" t="s">
        <v>94</v>
      </c>
    </row>
    <row r="1013" spans="1:2" ht="16.5" customHeight="1">
      <c r="A1013" s="191">
        <v>3138</v>
      </c>
      <c r="B1013" s="189" t="s">
        <v>100</v>
      </c>
    </row>
    <row r="1014" spans="1:2" ht="16.5" customHeight="1">
      <c r="A1014" s="191">
        <v>3139</v>
      </c>
      <c r="B1014" s="189" t="s">
        <v>100</v>
      </c>
    </row>
    <row r="1015" spans="1:2" ht="16.5" customHeight="1">
      <c r="A1015" s="191">
        <v>75000</v>
      </c>
      <c r="B1015" s="189" t="s">
        <v>94</v>
      </c>
    </row>
    <row r="1016" spans="1:2" ht="16.5" customHeight="1">
      <c r="A1016" s="193">
        <v>73000</v>
      </c>
      <c r="B1016" s="193" t="s">
        <v>94</v>
      </c>
    </row>
    <row r="1017" spans="1:2" ht="16.5" customHeight="1">
      <c r="A1017" s="193">
        <v>58328</v>
      </c>
      <c r="B1017" s="193" t="s">
        <v>98</v>
      </c>
    </row>
    <row r="1018" spans="1:2" ht="16.5" customHeight="1">
      <c r="A1018" s="181">
        <v>58319</v>
      </c>
      <c r="B1018" s="181" t="s">
        <v>98</v>
      </c>
    </row>
    <row r="1019" spans="1:2" ht="16.5" customHeight="1">
      <c r="A1019" s="182">
        <v>4329</v>
      </c>
      <c r="B1019" s="182" t="s">
        <v>100</v>
      </c>
    </row>
    <row r="1020" spans="1:2" ht="16.5" customHeight="1">
      <c r="A1020" s="182" t="s">
        <v>435</v>
      </c>
      <c r="B1020" s="182" t="s">
        <v>100</v>
      </c>
    </row>
    <row r="1021" spans="1:2" ht="16.5" customHeight="1">
      <c r="A1021" s="191">
        <v>2954</v>
      </c>
      <c r="B1021" s="189" t="s">
        <v>98</v>
      </c>
    </row>
    <row r="1022" spans="1:2" ht="16.5" customHeight="1">
      <c r="A1022" s="191">
        <v>8911</v>
      </c>
      <c r="B1022" s="189" t="s">
        <v>94</v>
      </c>
    </row>
    <row r="1023" spans="1:2" ht="16.5" customHeight="1">
      <c r="A1023" s="191">
        <v>8913</v>
      </c>
      <c r="B1023" s="189" t="s">
        <v>94</v>
      </c>
    </row>
    <row r="1024" spans="1:2" ht="16.5" customHeight="1">
      <c r="A1024" s="191">
        <v>7069</v>
      </c>
      <c r="B1024" s="189" t="s">
        <v>95</v>
      </c>
    </row>
    <row r="1025" spans="1:2" ht="16.5" customHeight="1">
      <c r="A1025" s="191">
        <v>35105</v>
      </c>
      <c r="B1025" s="189" t="s">
        <v>95</v>
      </c>
    </row>
    <row r="1026" spans="1:2" ht="16.5" customHeight="1">
      <c r="A1026" s="191">
        <v>37002</v>
      </c>
      <c r="B1026" s="189" t="s">
        <v>97</v>
      </c>
    </row>
    <row r="1027" spans="1:2" ht="16.5" customHeight="1">
      <c r="A1027" s="191">
        <v>37003</v>
      </c>
      <c r="B1027" s="189" t="s">
        <v>97</v>
      </c>
    </row>
    <row r="1028" spans="1:2" ht="16.5" customHeight="1">
      <c r="A1028" s="191">
        <v>37004</v>
      </c>
      <c r="B1028" s="189" t="s">
        <v>97</v>
      </c>
    </row>
    <row r="1029" spans="1:2" ht="16.5" customHeight="1">
      <c r="A1029" s="191">
        <v>37005</v>
      </c>
      <c r="B1029" s="189" t="s">
        <v>97</v>
      </c>
    </row>
    <row r="1030" spans="1:2" ht="16.5" customHeight="1">
      <c r="A1030" s="191">
        <v>37008</v>
      </c>
      <c r="B1030" s="189" t="s">
        <v>97</v>
      </c>
    </row>
    <row r="1031" spans="1:2" ht="16.5" customHeight="1">
      <c r="A1031" s="191" t="s">
        <v>436</v>
      </c>
      <c r="B1031" s="189" t="s">
        <v>98</v>
      </c>
    </row>
    <row r="1032" spans="1:2" ht="16.5" customHeight="1">
      <c r="A1032" s="191" t="s">
        <v>437</v>
      </c>
      <c r="B1032" s="194" t="s">
        <v>438</v>
      </c>
    </row>
    <row r="1033" spans="1:2" ht="16.5" customHeight="1">
      <c r="A1033" s="182" t="s">
        <v>439</v>
      </c>
      <c r="B1033" s="185" t="s">
        <v>98</v>
      </c>
    </row>
    <row r="1034" spans="1:2" ht="16.5" customHeight="1">
      <c r="A1034" s="191" t="s">
        <v>440</v>
      </c>
      <c r="B1034" s="189" t="s">
        <v>97</v>
      </c>
    </row>
    <row r="1035" spans="1:2" ht="16.5" customHeight="1">
      <c r="A1035" s="191" t="s">
        <v>441</v>
      </c>
      <c r="B1035" s="189" t="s">
        <v>97</v>
      </c>
    </row>
    <row r="1036" spans="1:2" ht="16.5" customHeight="1">
      <c r="A1036" s="181" t="s">
        <v>442</v>
      </c>
      <c r="B1036" s="181" t="s">
        <v>97</v>
      </c>
    </row>
    <row r="1037" spans="1:2" ht="16.5" customHeight="1">
      <c r="A1037" s="191" t="s">
        <v>443</v>
      </c>
      <c r="B1037" s="189" t="s">
        <v>100</v>
      </c>
    </row>
    <row r="1038" spans="1:2" ht="16.5" customHeight="1">
      <c r="A1038" s="191" t="s">
        <v>444</v>
      </c>
      <c r="B1038" s="189" t="s">
        <v>94</v>
      </c>
    </row>
    <row r="1039" spans="1:2" ht="16.5" customHeight="1">
      <c r="A1039" s="195" t="s">
        <v>445</v>
      </c>
      <c r="B1039" s="196" t="s">
        <v>94</v>
      </c>
    </row>
    <row r="1040" spans="1:2" ht="16.5" customHeight="1">
      <c r="A1040" s="191">
        <v>3206</v>
      </c>
      <c r="B1040" s="189" t="s">
        <v>96</v>
      </c>
    </row>
    <row r="1041" spans="1:2" ht="16.5" customHeight="1">
      <c r="A1041" s="191">
        <v>17800</v>
      </c>
      <c r="B1041" s="189" t="s">
        <v>97</v>
      </c>
    </row>
    <row r="1042" spans="1:2" ht="16.5" customHeight="1">
      <c r="A1042" s="191">
        <v>17809</v>
      </c>
      <c r="B1042" s="189" t="s">
        <v>96</v>
      </c>
    </row>
    <row r="1043" spans="1:2" ht="16.5" customHeight="1">
      <c r="A1043" s="181">
        <v>17859</v>
      </c>
      <c r="B1043" s="181" t="s">
        <v>97</v>
      </c>
    </row>
    <row r="1044" spans="1:2" ht="16.5" customHeight="1">
      <c r="A1044" s="191">
        <v>17862</v>
      </c>
      <c r="B1044" s="189" t="s">
        <v>96</v>
      </c>
    </row>
    <row r="1045" spans="1:2" ht="16.5" customHeight="1">
      <c r="A1045" s="182">
        <v>45306</v>
      </c>
      <c r="B1045" s="185" t="s">
        <v>97</v>
      </c>
    </row>
    <row r="1046" spans="1:2" ht="16.5" customHeight="1">
      <c r="A1046" s="182">
        <v>55880</v>
      </c>
      <c r="B1046" s="182" t="s">
        <v>96</v>
      </c>
    </row>
    <row r="1047" spans="1:2" ht="16.5" customHeight="1">
      <c r="A1047" s="182">
        <v>2884</v>
      </c>
      <c r="B1047" s="182" t="s">
        <v>98</v>
      </c>
    </row>
    <row r="1048" spans="1:2" ht="16.5" customHeight="1">
      <c r="A1048" s="182">
        <v>93031</v>
      </c>
      <c r="B1048" s="182" t="s">
        <v>98</v>
      </c>
    </row>
    <row r="1049" spans="1:2" ht="16.5" customHeight="1">
      <c r="A1049" s="182" t="s">
        <v>446</v>
      </c>
      <c r="B1049" s="182" t="s">
        <v>96</v>
      </c>
    </row>
    <row r="1050" spans="1:2" ht="16.5" customHeight="1">
      <c r="A1050" s="182">
        <v>8400</v>
      </c>
      <c r="B1050" s="182" t="s">
        <v>94</v>
      </c>
    </row>
    <row r="1051" spans="1:2" ht="16.5" customHeight="1">
      <c r="A1051" s="191">
        <v>3986</v>
      </c>
      <c r="B1051" s="189" t="s">
        <v>94</v>
      </c>
    </row>
    <row r="1052" spans="1:2" ht="16.5" customHeight="1">
      <c r="A1052" s="197">
        <v>3987</v>
      </c>
      <c r="B1052" s="182" t="s">
        <v>94</v>
      </c>
    </row>
    <row r="1053" spans="1:2" ht="16.5" customHeight="1">
      <c r="A1053" s="182">
        <v>3988</v>
      </c>
      <c r="B1053" s="182" t="s">
        <v>94</v>
      </c>
    </row>
    <row r="1054" spans="1:2" ht="16.5" customHeight="1">
      <c r="A1054" s="182">
        <v>3989</v>
      </c>
      <c r="B1054" s="182" t="s">
        <v>94</v>
      </c>
    </row>
    <row r="1055" spans="1:2" ht="16.5" customHeight="1">
      <c r="A1055" s="182">
        <v>17700</v>
      </c>
      <c r="B1055" s="182" t="s">
        <v>96</v>
      </c>
    </row>
    <row r="1056" spans="1:2" ht="16.5" customHeight="1">
      <c r="A1056" s="182" t="s">
        <v>447</v>
      </c>
      <c r="B1056" s="182" t="s">
        <v>95</v>
      </c>
    </row>
    <row r="1057" spans="1:2" ht="16.5" customHeight="1">
      <c r="A1057" s="182">
        <v>86030</v>
      </c>
      <c r="B1057" s="182" t="s">
        <v>98</v>
      </c>
    </row>
    <row r="1058" spans="1:2" ht="16.5" customHeight="1">
      <c r="A1058" s="191" t="s">
        <v>448</v>
      </c>
      <c r="B1058" s="182" t="s">
        <v>95</v>
      </c>
    </row>
    <row r="1059" spans="1:2" ht="16.5" customHeight="1">
      <c r="A1059" s="182">
        <v>233975</v>
      </c>
      <c r="B1059" s="182" t="s">
        <v>93</v>
      </c>
    </row>
    <row r="1060" spans="1:2" ht="16.5" customHeight="1">
      <c r="A1060" s="182">
        <v>12617</v>
      </c>
      <c r="B1060" s="182" t="s">
        <v>97</v>
      </c>
    </row>
    <row r="1061" spans="1:2" ht="16.5" customHeight="1">
      <c r="A1061" s="182">
        <v>3026</v>
      </c>
      <c r="B1061" s="182" t="s">
        <v>98</v>
      </c>
    </row>
    <row r="1062" spans="1:2" ht="16.5" customHeight="1">
      <c r="A1062" s="191" t="s">
        <v>449</v>
      </c>
      <c r="B1062" s="189" t="s">
        <v>450</v>
      </c>
    </row>
    <row r="1063" spans="1:2" ht="16.5" customHeight="1">
      <c r="A1063" s="182">
        <v>5529</v>
      </c>
      <c r="B1063" s="182" t="s">
        <v>94</v>
      </c>
    </row>
    <row r="1064" spans="1:2" ht="16.5" customHeight="1">
      <c r="A1064" s="182" t="s">
        <v>451</v>
      </c>
      <c r="B1064" s="182" t="s">
        <v>98</v>
      </c>
    </row>
    <row r="1065" spans="1:2" ht="16.5" customHeight="1">
      <c r="A1065" s="191" t="s">
        <v>452</v>
      </c>
      <c r="B1065" s="189" t="s">
        <v>93</v>
      </c>
    </row>
    <row r="1066" spans="1:2" ht="16.5" customHeight="1">
      <c r="A1066" s="191" t="s">
        <v>453</v>
      </c>
      <c r="B1066" s="182" t="s">
        <v>98</v>
      </c>
    </row>
    <row r="1067" spans="1:2" ht="16.5" customHeight="1">
      <c r="A1067" s="182">
        <v>2953</v>
      </c>
      <c r="B1067" s="182" t="s">
        <v>101</v>
      </c>
    </row>
    <row r="1068" spans="1:2" ht="16.5" customHeight="1">
      <c r="A1068" s="191" t="s">
        <v>454</v>
      </c>
      <c r="B1068" s="189" t="s">
        <v>98</v>
      </c>
    </row>
    <row r="1069" spans="1:2" ht="16.5" customHeight="1">
      <c r="A1069" s="182" t="s">
        <v>455</v>
      </c>
      <c r="B1069" s="182" t="s">
        <v>98</v>
      </c>
    </row>
    <row r="1070" spans="1:2" ht="16.5" customHeight="1">
      <c r="A1070" s="182">
        <v>12618</v>
      </c>
      <c r="B1070" s="182" t="s">
        <v>97</v>
      </c>
    </row>
    <row r="1071" spans="1:2" ht="16.5" customHeight="1">
      <c r="A1071" s="182" t="s">
        <v>456</v>
      </c>
      <c r="B1071" s="182" t="s">
        <v>95</v>
      </c>
    </row>
    <row r="1072" spans="1:2" ht="16.5" customHeight="1">
      <c r="A1072" s="182" t="s">
        <v>457</v>
      </c>
      <c r="B1072" s="182" t="s">
        <v>96</v>
      </c>
    </row>
    <row r="1073" spans="1:2" ht="16.5" customHeight="1">
      <c r="A1073" s="182" t="s">
        <v>458</v>
      </c>
      <c r="B1073" s="182" t="s">
        <v>98</v>
      </c>
    </row>
    <row r="1074" spans="1:2" ht="16.5" customHeight="1">
      <c r="A1074" s="191">
        <v>3027</v>
      </c>
      <c r="B1074" s="182" t="s">
        <v>98</v>
      </c>
    </row>
    <row r="1075" spans="1:2" ht="16.5" customHeight="1">
      <c r="A1075" s="181">
        <v>3276</v>
      </c>
      <c r="B1075" s="181" t="s">
        <v>98</v>
      </c>
    </row>
    <row r="1076" spans="1:2" ht="16.5" customHeight="1">
      <c r="A1076" s="182">
        <v>3277</v>
      </c>
      <c r="B1076" s="182" t="s">
        <v>98</v>
      </c>
    </row>
    <row r="1077" spans="1:2" ht="16.5" customHeight="1">
      <c r="A1077" s="182">
        <v>57776</v>
      </c>
      <c r="B1077" s="182" t="s">
        <v>97</v>
      </c>
    </row>
    <row r="1078" spans="1:2" ht="16.5" customHeight="1">
      <c r="A1078" s="182" t="s">
        <v>459</v>
      </c>
      <c r="B1078" s="182" t="s">
        <v>450</v>
      </c>
    </row>
    <row r="1079" spans="1:2" ht="16.5" customHeight="1">
      <c r="A1079" s="191">
        <v>302047</v>
      </c>
      <c r="B1079" s="182" t="s">
        <v>102</v>
      </c>
    </row>
    <row r="1080" spans="1:2" ht="16.5" customHeight="1">
      <c r="A1080" s="182">
        <v>99820</v>
      </c>
      <c r="B1080" s="182" t="s">
        <v>94</v>
      </c>
    </row>
    <row r="1081" spans="1:2" ht="16.5" customHeight="1">
      <c r="A1081" s="191" t="s">
        <v>460</v>
      </c>
      <c r="B1081" s="182" t="s">
        <v>98</v>
      </c>
    </row>
    <row r="1082" spans="1:2" ht="16.5" customHeight="1">
      <c r="A1082" s="182" t="s">
        <v>461</v>
      </c>
      <c r="B1082" s="182" t="s">
        <v>450</v>
      </c>
    </row>
    <row r="1083" spans="1:2" ht="16.5" customHeight="1">
      <c r="A1083" s="182">
        <v>45600</v>
      </c>
      <c r="B1083" s="182" t="s">
        <v>98</v>
      </c>
    </row>
    <row r="1084" spans="1:2" ht="16.5" customHeight="1">
      <c r="A1084" s="198">
        <v>2967</v>
      </c>
      <c r="B1084" s="198" t="s">
        <v>98</v>
      </c>
    </row>
    <row r="1085" spans="1:2" ht="16.5" customHeight="1">
      <c r="A1085" s="182">
        <v>69000</v>
      </c>
      <c r="B1085" s="182" t="s">
        <v>98</v>
      </c>
    </row>
    <row r="1086" spans="1:2" ht="16.5" customHeight="1">
      <c r="A1086" s="182" t="s">
        <v>462</v>
      </c>
      <c r="B1086" s="182" t="s">
        <v>100</v>
      </c>
    </row>
    <row r="1087" spans="1:2" ht="16.5" customHeight="1">
      <c r="A1087" s="191">
        <v>2949</v>
      </c>
      <c r="B1087" s="182" t="s">
        <v>100</v>
      </c>
    </row>
    <row r="1088" spans="1:2" ht="16.5" customHeight="1">
      <c r="A1088" s="182">
        <v>13520</v>
      </c>
      <c r="B1088" s="182" t="s">
        <v>97</v>
      </c>
    </row>
    <row r="1089" spans="1:2" ht="16.5" customHeight="1">
      <c r="A1089" s="191">
        <v>12618</v>
      </c>
      <c r="B1089" s="182" t="s">
        <v>97</v>
      </c>
    </row>
    <row r="1090" spans="1:2" ht="16.5" customHeight="1">
      <c r="A1090" s="191">
        <v>2966</v>
      </c>
      <c r="B1090" s="182" t="s">
        <v>98</v>
      </c>
    </row>
    <row r="1091" spans="1:2" ht="16.5" customHeight="1">
      <c r="A1091" s="182">
        <v>46500</v>
      </c>
      <c r="B1091" s="182" t="s">
        <v>98</v>
      </c>
    </row>
    <row r="1092" spans="1:2" ht="16.5" customHeight="1">
      <c r="A1092" s="182">
        <v>80062</v>
      </c>
      <c r="B1092" s="182" t="s">
        <v>96</v>
      </c>
    </row>
    <row r="1093" spans="1:2" ht="16.5" customHeight="1">
      <c r="A1093" s="191" t="s">
        <v>463</v>
      </c>
      <c r="B1093" s="189" t="s">
        <v>98</v>
      </c>
    </row>
    <row r="1094" spans="1:2" ht="16.5" customHeight="1">
      <c r="A1094" s="182">
        <v>13519</v>
      </c>
      <c r="B1094" s="182" t="s">
        <v>96</v>
      </c>
    </row>
    <row r="1095" spans="1:2" ht="16.5" customHeight="1">
      <c r="A1095" s="182" t="s">
        <v>464</v>
      </c>
      <c r="B1095" s="182" t="s">
        <v>97</v>
      </c>
    </row>
    <row r="1096" spans="1:2" ht="16.5" customHeight="1">
      <c r="A1096" s="182" t="s">
        <v>465</v>
      </c>
      <c r="B1096" s="182" t="s">
        <v>96</v>
      </c>
    </row>
    <row r="1097" spans="1:2" ht="16.5" customHeight="1">
      <c r="A1097" s="191" t="s">
        <v>466</v>
      </c>
      <c r="B1097" s="182" t="s">
        <v>467</v>
      </c>
    </row>
    <row r="1098" spans="1:2" ht="16.5" customHeight="1">
      <c r="A1098" s="182">
        <v>5611</v>
      </c>
      <c r="B1098" s="182" t="s">
        <v>94</v>
      </c>
    </row>
    <row r="1099" spans="1:2" ht="16.5" customHeight="1">
      <c r="A1099" s="182">
        <v>3048</v>
      </c>
      <c r="B1099" s="182" t="s">
        <v>97</v>
      </c>
    </row>
    <row r="1100" spans="1:2" ht="16.5" customHeight="1">
      <c r="A1100" s="182">
        <v>7073</v>
      </c>
      <c r="B1100" s="182" t="s">
        <v>96</v>
      </c>
    </row>
    <row r="1101" spans="1:2" ht="16.5" customHeight="1">
      <c r="A1101" s="191">
        <v>65101</v>
      </c>
      <c r="B1101" s="182" t="s">
        <v>98</v>
      </c>
    </row>
    <row r="1102" spans="1:2" ht="16.5" customHeight="1">
      <c r="A1102" s="191" t="s">
        <v>468</v>
      </c>
      <c r="B1102" s="182" t="s">
        <v>100</v>
      </c>
    </row>
    <row r="1103" spans="1:2" ht="16.5" customHeight="1">
      <c r="A1103" s="191">
        <v>3027</v>
      </c>
      <c r="B1103" s="182" t="s">
        <v>98</v>
      </c>
    </row>
    <row r="1104" spans="1:2" ht="16.5" customHeight="1">
      <c r="A1104" s="191">
        <v>3188</v>
      </c>
      <c r="B1104" s="182" t="s">
        <v>100</v>
      </c>
    </row>
    <row r="1105" spans="1:2" ht="16.5" customHeight="1">
      <c r="A1105" s="182">
        <v>45400</v>
      </c>
      <c r="B1105" s="182" t="s">
        <v>98</v>
      </c>
    </row>
    <row r="1106" spans="1:2" ht="16.5" customHeight="1">
      <c r="A1106" s="191">
        <v>45365</v>
      </c>
      <c r="B1106" s="182" t="s">
        <v>98</v>
      </c>
    </row>
    <row r="1107" spans="1:2" ht="16.5" customHeight="1">
      <c r="A1107" s="191">
        <v>45390</v>
      </c>
      <c r="B1107" s="182" t="s">
        <v>98</v>
      </c>
    </row>
    <row r="1108" spans="1:2" ht="16.5" customHeight="1">
      <c r="A1108" s="191">
        <v>92302</v>
      </c>
      <c r="B1108" s="182" t="s">
        <v>94</v>
      </c>
    </row>
    <row r="1109" spans="1:2" ht="16.5" customHeight="1">
      <c r="A1109" s="191">
        <v>3229</v>
      </c>
      <c r="B1109" s="182" t="s">
        <v>100</v>
      </c>
    </row>
    <row r="1110" spans="1:2" ht="16.5" customHeight="1">
      <c r="A1110" s="191">
        <v>231968</v>
      </c>
      <c r="B1110" s="182" t="s">
        <v>94</v>
      </c>
    </row>
    <row r="1111" spans="1:2" ht="16.5" customHeight="1">
      <c r="A1111" s="191">
        <v>91388</v>
      </c>
      <c r="B1111" s="182" t="s">
        <v>96</v>
      </c>
    </row>
    <row r="1112" spans="1:2" ht="16.5" customHeight="1">
      <c r="A1112" s="191">
        <v>91305</v>
      </c>
      <c r="B1112" s="182" t="s">
        <v>96</v>
      </c>
    </row>
    <row r="1113" spans="1:2" ht="16.5" customHeight="1">
      <c r="A1113" s="191">
        <v>91392</v>
      </c>
      <c r="B1113" s="182" t="s">
        <v>96</v>
      </c>
    </row>
    <row r="1114" spans="1:2" ht="16.5" customHeight="1">
      <c r="A1114" s="191">
        <v>91393</v>
      </c>
      <c r="B1114" s="182" t="s">
        <v>96</v>
      </c>
    </row>
    <row r="1115" spans="1:2" ht="16.5" customHeight="1">
      <c r="A1115" s="191">
        <v>91394</v>
      </c>
      <c r="B1115" s="182" t="s">
        <v>96</v>
      </c>
    </row>
    <row r="1116" spans="1:2" ht="16.5" customHeight="1">
      <c r="A1116" s="191">
        <v>91395</v>
      </c>
      <c r="B1116" s="182" t="s">
        <v>96</v>
      </c>
    </row>
    <row r="1117" spans="1:2" ht="16.5" customHeight="1">
      <c r="A1117" s="182">
        <v>91396</v>
      </c>
      <c r="B1117" s="182" t="s">
        <v>96</v>
      </c>
    </row>
    <row r="1118" spans="1:2" ht="16.5" customHeight="1">
      <c r="A1118" s="182">
        <v>91397</v>
      </c>
      <c r="B1118" s="182" t="s">
        <v>96</v>
      </c>
    </row>
    <row r="1119" spans="1:2" ht="16.5" customHeight="1">
      <c r="A1119" s="191">
        <v>91398</v>
      </c>
      <c r="B1119" s="182" t="s">
        <v>96</v>
      </c>
    </row>
    <row r="1120" spans="1:2" ht="16.5" customHeight="1">
      <c r="A1120" s="191">
        <v>12624</v>
      </c>
      <c r="B1120" s="182" t="s">
        <v>94</v>
      </c>
    </row>
    <row r="1121" spans="1:2" ht="16.5" customHeight="1">
      <c r="A1121" s="191">
        <v>5569</v>
      </c>
      <c r="B1121" s="182" t="s">
        <v>98</v>
      </c>
    </row>
    <row r="1122" spans="1:2" ht="16.5" customHeight="1">
      <c r="A1122" s="191">
        <v>5590</v>
      </c>
      <c r="B1122" s="182" t="s">
        <v>98</v>
      </c>
    </row>
    <row r="1123" spans="1:2" ht="16.5" customHeight="1">
      <c r="A1123" s="191" t="s">
        <v>469</v>
      </c>
      <c r="B1123" s="182" t="s">
        <v>95</v>
      </c>
    </row>
    <row r="1124" spans="1:2" ht="16.5" customHeight="1">
      <c r="A1124" s="191" t="s">
        <v>470</v>
      </c>
      <c r="B1124" s="182" t="s">
        <v>95</v>
      </c>
    </row>
    <row r="1125" spans="1:2" ht="16.5" customHeight="1">
      <c r="A1125" s="191">
        <v>45490</v>
      </c>
      <c r="B1125" s="182" t="s">
        <v>98</v>
      </c>
    </row>
    <row r="1126" spans="1:2" ht="16.5" customHeight="1">
      <c r="A1126" s="191">
        <v>8148</v>
      </c>
      <c r="B1126" s="182" t="s">
        <v>95</v>
      </c>
    </row>
    <row r="1127" spans="1:2" ht="16.5" customHeight="1">
      <c r="A1127" s="191">
        <v>2979</v>
      </c>
      <c r="B1127" s="182" t="s">
        <v>94</v>
      </c>
    </row>
    <row r="1128" spans="1:2" ht="16.5" customHeight="1">
      <c r="A1128" s="191">
        <v>5649</v>
      </c>
      <c r="B1128" s="182" t="s">
        <v>94</v>
      </c>
    </row>
    <row r="1129" spans="1:2" ht="16.5" customHeight="1">
      <c r="A1129" s="199">
        <v>5689</v>
      </c>
      <c r="B1129" s="182" t="s">
        <v>94</v>
      </c>
    </row>
    <row r="1130" spans="1:2" ht="16.5" customHeight="1">
      <c r="A1130" s="182">
        <v>5729</v>
      </c>
      <c r="B1130" s="182" t="s">
        <v>94</v>
      </c>
    </row>
    <row r="1131" spans="1:2" ht="16.5" customHeight="1">
      <c r="A1131" s="191">
        <v>8146</v>
      </c>
      <c r="B1131" s="182" t="s">
        <v>95</v>
      </c>
    </row>
    <row r="1132" spans="1:2" ht="16.5" customHeight="1">
      <c r="A1132" s="191">
        <v>8147</v>
      </c>
      <c r="B1132" s="182" t="s">
        <v>95</v>
      </c>
    </row>
    <row r="1133" spans="1:2" ht="16.5" customHeight="1">
      <c r="A1133" s="191">
        <v>2509</v>
      </c>
      <c r="B1133" s="182" t="s">
        <v>94</v>
      </c>
    </row>
    <row r="1134" spans="1:2" ht="16.5" customHeight="1">
      <c r="A1134" s="191" t="s">
        <v>471</v>
      </c>
      <c r="B1134" s="182" t="s">
        <v>98</v>
      </c>
    </row>
    <row r="1135" spans="1:2" ht="16.5" customHeight="1">
      <c r="A1135" s="191">
        <v>91306</v>
      </c>
      <c r="B1135" s="182" t="s">
        <v>96</v>
      </c>
    </row>
    <row r="1136" spans="1:2" ht="16.5" customHeight="1">
      <c r="A1136" s="191" t="s">
        <v>472</v>
      </c>
      <c r="B1136" s="182" t="s">
        <v>95</v>
      </c>
    </row>
    <row r="1137" spans="1:2" ht="16.5" customHeight="1">
      <c r="A1137" s="191" t="s">
        <v>473</v>
      </c>
      <c r="B1137" s="182" t="s">
        <v>96</v>
      </c>
    </row>
    <row r="1138" spans="1:2" ht="16.5" customHeight="1">
      <c r="A1138" s="191" t="s">
        <v>474</v>
      </c>
      <c r="B1138" s="182" t="s">
        <v>96</v>
      </c>
    </row>
    <row r="1139" spans="1:2" ht="16.5" customHeight="1">
      <c r="A1139" s="191">
        <v>57788</v>
      </c>
      <c r="B1139" s="182" t="s">
        <v>94</v>
      </c>
    </row>
    <row r="1140" spans="1:2" ht="16.5" customHeight="1">
      <c r="A1140" s="191" t="s">
        <v>475</v>
      </c>
      <c r="B1140" s="182" t="s">
        <v>95</v>
      </c>
    </row>
    <row r="1141" spans="1:2" ht="16.5" customHeight="1">
      <c r="A1141" s="191">
        <v>45420</v>
      </c>
      <c r="B1141" s="182" t="s">
        <v>98</v>
      </c>
    </row>
    <row r="1142" spans="1:2" ht="16.5" customHeight="1">
      <c r="A1142" s="181">
        <v>45308</v>
      </c>
      <c r="B1142" s="181" t="s">
        <v>98</v>
      </c>
    </row>
    <row r="1143" spans="1:2" ht="16.5" customHeight="1">
      <c r="A1143" s="191">
        <v>2983</v>
      </c>
      <c r="B1143" s="182" t="s">
        <v>98</v>
      </c>
    </row>
    <row r="1144" spans="1:2" ht="16.5" customHeight="1">
      <c r="A1144" s="182" t="s">
        <v>476</v>
      </c>
      <c r="B1144" s="182" t="s">
        <v>98</v>
      </c>
    </row>
    <row r="1145" spans="1:2" ht="16.5" customHeight="1">
      <c r="A1145" s="191">
        <v>14959</v>
      </c>
      <c r="B1145" s="182" t="s">
        <v>96</v>
      </c>
    </row>
    <row r="1146" spans="1:2" ht="16.5" customHeight="1">
      <c r="A1146" s="191">
        <v>8454</v>
      </c>
      <c r="B1146" s="182" t="s">
        <v>98</v>
      </c>
    </row>
    <row r="1147" spans="1:2" ht="16.5" customHeight="1">
      <c r="A1147" s="191">
        <v>63250</v>
      </c>
      <c r="B1147" s="182" t="s">
        <v>94</v>
      </c>
    </row>
    <row r="1148" spans="1:2" ht="16.5" customHeight="1">
      <c r="A1148" s="191">
        <v>8453</v>
      </c>
      <c r="B1148" s="182" t="s">
        <v>98</v>
      </c>
    </row>
    <row r="1149" spans="1:2" ht="16.5" customHeight="1">
      <c r="A1149" s="181" t="s">
        <v>477</v>
      </c>
      <c r="B1149" s="181" t="s">
        <v>96</v>
      </c>
    </row>
    <row r="1150" spans="1:2" ht="16.5" customHeight="1">
      <c r="A1150" s="182">
        <v>90670</v>
      </c>
      <c r="B1150" s="182" t="s">
        <v>94</v>
      </c>
    </row>
    <row r="1151" spans="1:2" ht="16.5" customHeight="1">
      <c r="A1151" s="182">
        <v>2987</v>
      </c>
      <c r="B1151" s="182" t="s">
        <v>96</v>
      </c>
    </row>
    <row r="1152" spans="1:2" ht="16.5" customHeight="1">
      <c r="A1152" s="182">
        <v>2988</v>
      </c>
      <c r="B1152" s="182" t="s">
        <v>96</v>
      </c>
    </row>
    <row r="1153" spans="1:2" ht="16.5" customHeight="1">
      <c r="A1153" s="182">
        <v>45310</v>
      </c>
      <c r="B1153" s="182" t="s">
        <v>98</v>
      </c>
    </row>
    <row r="1154" spans="1:2" ht="16.5" customHeight="1">
      <c r="A1154" s="191" t="s">
        <v>478</v>
      </c>
      <c r="B1154" s="189" t="s">
        <v>96</v>
      </c>
    </row>
    <row r="1155" spans="1:2" ht="16.5" customHeight="1">
      <c r="A1155" s="191" t="s">
        <v>479</v>
      </c>
      <c r="B1155" s="189" t="s">
        <v>100</v>
      </c>
    </row>
    <row r="1156" spans="1:2" ht="16.5" customHeight="1">
      <c r="A1156" s="191" t="s">
        <v>480</v>
      </c>
      <c r="B1156" s="189" t="s">
        <v>98</v>
      </c>
    </row>
    <row r="1157" spans="1:2" ht="16.5" customHeight="1">
      <c r="A1157" s="191" t="s">
        <v>481</v>
      </c>
      <c r="B1157" s="189" t="s">
        <v>96</v>
      </c>
    </row>
    <row r="1158" spans="1:2" ht="16.5" customHeight="1">
      <c r="A1158" s="182" t="s">
        <v>482</v>
      </c>
      <c r="B1158" s="182" t="s">
        <v>98</v>
      </c>
    </row>
    <row r="1159" spans="1:2" ht="16.5" customHeight="1">
      <c r="A1159" s="182" t="s">
        <v>483</v>
      </c>
      <c r="B1159" s="182" t="s">
        <v>467</v>
      </c>
    </row>
    <row r="1160" spans="1:2" ht="16.5" customHeight="1">
      <c r="A1160" s="182" t="s">
        <v>484</v>
      </c>
      <c r="B1160" s="181" t="s">
        <v>467</v>
      </c>
    </row>
    <row r="1161" spans="1:2" ht="16.5" customHeight="1">
      <c r="A1161" s="182" t="s">
        <v>485</v>
      </c>
      <c r="B1161" s="181" t="s">
        <v>98</v>
      </c>
    </row>
    <row r="1162" spans="1:2" ht="16.5" customHeight="1">
      <c r="A1162" s="182" t="s">
        <v>486</v>
      </c>
      <c r="B1162" s="181" t="s">
        <v>98</v>
      </c>
    </row>
    <row r="1163" spans="1:2" ht="16.5" customHeight="1">
      <c r="A1163" s="182" t="s">
        <v>487</v>
      </c>
      <c r="B1163" s="181" t="s">
        <v>98</v>
      </c>
    </row>
    <row r="1164" spans="1:2" ht="16.5" customHeight="1">
      <c r="A1164" s="191" t="s">
        <v>488</v>
      </c>
      <c r="B1164" s="182" t="s">
        <v>94</v>
      </c>
    </row>
    <row r="1165" spans="1:2" ht="16.5" customHeight="1">
      <c r="A1165" s="191" t="s">
        <v>489</v>
      </c>
      <c r="B1165" s="182" t="s">
        <v>96</v>
      </c>
    </row>
    <row r="1166" spans="1:2" ht="16.5" customHeight="1">
      <c r="A1166" s="182" t="s">
        <v>490</v>
      </c>
      <c r="B1166" s="181" t="s">
        <v>122</v>
      </c>
    </row>
    <row r="1167" spans="1:2" ht="16.5" customHeight="1">
      <c r="A1167" s="182" t="s">
        <v>491</v>
      </c>
      <c r="B1167" s="182" t="s">
        <v>94</v>
      </c>
    </row>
    <row r="1168" spans="1:2" ht="16.5" customHeight="1">
      <c r="A1168" s="191" t="s">
        <v>492</v>
      </c>
      <c r="B1168" s="182" t="s">
        <v>100</v>
      </c>
    </row>
    <row r="1169" spans="1:2" ht="16.5" customHeight="1">
      <c r="A1169" s="191">
        <v>3007</v>
      </c>
      <c r="B1169" s="182" t="s">
        <v>100</v>
      </c>
    </row>
    <row r="1170" spans="1:2" ht="16.5" customHeight="1">
      <c r="A1170" s="191">
        <v>3006</v>
      </c>
      <c r="B1170" s="182" t="s">
        <v>100</v>
      </c>
    </row>
    <row r="1171" spans="1:2" ht="16.5" customHeight="1">
      <c r="A1171" s="191" t="s">
        <v>493</v>
      </c>
      <c r="B1171" s="182" t="s">
        <v>98</v>
      </c>
    </row>
    <row r="1172" spans="1:2" ht="16.5" customHeight="1">
      <c r="A1172" s="182" t="s">
        <v>494</v>
      </c>
      <c r="B1172" s="182" t="s">
        <v>98</v>
      </c>
    </row>
    <row r="1173" spans="1:2" ht="16.5" customHeight="1">
      <c r="A1173" s="182" t="s">
        <v>495</v>
      </c>
      <c r="B1173" s="182" t="s">
        <v>450</v>
      </c>
    </row>
    <row r="1174" spans="1:2" ht="16.5" customHeight="1">
      <c r="A1174" s="182" t="s">
        <v>496</v>
      </c>
      <c r="B1174" s="182" t="s">
        <v>450</v>
      </c>
    </row>
    <row r="1175" spans="1:2" ht="16.5" customHeight="1">
      <c r="A1175" s="182">
        <v>1532</v>
      </c>
      <c r="B1175" s="182" t="s">
        <v>98</v>
      </c>
    </row>
    <row r="1176" spans="1:2" ht="16.5" customHeight="1">
      <c r="A1176" s="189">
        <v>57859</v>
      </c>
      <c r="B1176" s="182" t="s">
        <v>94</v>
      </c>
    </row>
    <row r="1177" spans="1:2" ht="16.5" customHeight="1">
      <c r="A1177" s="189" t="s">
        <v>497</v>
      </c>
      <c r="B1177" s="182" t="s">
        <v>102</v>
      </c>
    </row>
    <row r="1178" spans="1:2" ht="16.5" customHeight="1">
      <c r="A1178" s="189" t="s">
        <v>498</v>
      </c>
      <c r="B1178" s="182" t="s">
        <v>98</v>
      </c>
    </row>
    <row r="1179" spans="1:2" ht="16.5" customHeight="1">
      <c r="A1179" s="189" t="s">
        <v>499</v>
      </c>
      <c r="B1179" s="182" t="s">
        <v>96</v>
      </c>
    </row>
    <row r="1180" spans="1:2" ht="16.5" customHeight="1">
      <c r="A1180" s="189" t="s">
        <v>500</v>
      </c>
      <c r="B1180" s="182" t="s">
        <v>93</v>
      </c>
    </row>
    <row r="1181" spans="1:2" ht="16.5" customHeight="1">
      <c r="A1181" s="189" t="s">
        <v>501</v>
      </c>
      <c r="B1181" s="182" t="s">
        <v>502</v>
      </c>
    </row>
    <row r="1182" spans="1:2" ht="16.5" customHeight="1">
      <c r="A1182" s="189">
        <v>45430</v>
      </c>
      <c r="B1182" s="182" t="s">
        <v>96</v>
      </c>
    </row>
    <row r="1183" spans="1:2" ht="16.5" customHeight="1">
      <c r="A1183" s="189" t="s">
        <v>503</v>
      </c>
      <c r="B1183" s="182" t="s">
        <v>100</v>
      </c>
    </row>
    <row r="1184" spans="1:2" ht="16.5" customHeight="1">
      <c r="A1184" s="189" t="s">
        <v>504</v>
      </c>
      <c r="B1184" s="182" t="s">
        <v>95</v>
      </c>
    </row>
    <row r="1185" spans="1:2" ht="16.5" customHeight="1">
      <c r="A1185" s="189">
        <v>2989</v>
      </c>
      <c r="B1185" s="182" t="s">
        <v>98</v>
      </c>
    </row>
    <row r="1186" spans="1:2" ht="16.5" customHeight="1">
      <c r="A1186" s="189">
        <v>57803</v>
      </c>
      <c r="B1186" s="182" t="s">
        <v>94</v>
      </c>
    </row>
    <row r="1187" spans="1:2" ht="16.5" customHeight="1">
      <c r="A1187" s="189">
        <v>57470</v>
      </c>
      <c r="B1187" s="182" t="s">
        <v>97</v>
      </c>
    </row>
    <row r="1188" spans="1:2" ht="16.5" customHeight="1">
      <c r="A1188" s="189" t="s">
        <v>505</v>
      </c>
      <c r="B1188" s="182" t="s">
        <v>98</v>
      </c>
    </row>
    <row r="1189" spans="1:2" ht="16.5" customHeight="1">
      <c r="A1189" s="189">
        <v>2167</v>
      </c>
      <c r="B1189" s="182" t="s">
        <v>94</v>
      </c>
    </row>
    <row r="1190" spans="1:2" ht="16.5" customHeight="1">
      <c r="A1190" s="190">
        <v>59608</v>
      </c>
      <c r="B1190" s="182" t="s">
        <v>94</v>
      </c>
    </row>
    <row r="1191" spans="1:2" ht="16.5">
      <c r="A1191" s="190" t="s">
        <v>3194</v>
      </c>
      <c r="B1191" s="182" t="s">
        <v>96</v>
      </c>
    </row>
  </sheetData>
  <phoneticPr fontId="10" type="noConversion"/>
  <pageMargins left="0.7" right="0.7" top="0.75" bottom="0.75" header="0.511811023622047" footer="0.511811023622047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J1217"/>
  <sheetViews>
    <sheetView topLeftCell="A1183" zoomScaleNormal="100" workbookViewId="0">
      <selection activeCell="C1217" sqref="C1217"/>
    </sheetView>
  </sheetViews>
  <sheetFormatPr defaultColWidth="8.5546875" defaultRowHeight="13.5"/>
  <sheetData>
    <row r="1" spans="1:3" ht="15" customHeight="1">
      <c r="A1" s="200" t="s">
        <v>506</v>
      </c>
      <c r="B1" s="200" t="s">
        <v>38</v>
      </c>
      <c r="C1" s="200" t="s">
        <v>42</v>
      </c>
    </row>
    <row r="2" spans="1:3" ht="15" customHeight="1">
      <c r="A2" s="98" t="s">
        <v>507</v>
      </c>
      <c r="B2" s="98">
        <v>28019</v>
      </c>
      <c r="C2" s="98" t="s">
        <v>93</v>
      </c>
    </row>
    <row r="3" spans="1:3" ht="15" customHeight="1">
      <c r="A3" s="98" t="s">
        <v>507</v>
      </c>
      <c r="B3" s="98">
        <v>28024</v>
      </c>
      <c r="C3" s="98" t="s">
        <v>94</v>
      </c>
    </row>
    <row r="4" spans="1:3" ht="15" customHeight="1">
      <c r="A4" s="98" t="s">
        <v>507</v>
      </c>
      <c r="B4" s="98">
        <v>28025</v>
      </c>
      <c r="C4" s="98" t="s">
        <v>94</v>
      </c>
    </row>
    <row r="5" spans="1:3" ht="15" customHeight="1">
      <c r="A5" s="98" t="s">
        <v>507</v>
      </c>
      <c r="B5" s="98">
        <v>28032</v>
      </c>
      <c r="C5" s="98" t="s">
        <v>94</v>
      </c>
    </row>
    <row r="6" spans="1:3" ht="15" customHeight="1">
      <c r="A6" s="98" t="s">
        <v>507</v>
      </c>
      <c r="B6" s="98">
        <v>28036</v>
      </c>
      <c r="C6" s="98" t="s">
        <v>94</v>
      </c>
    </row>
    <row r="7" spans="1:3" ht="15" customHeight="1">
      <c r="A7" s="98" t="s">
        <v>507</v>
      </c>
      <c r="B7" s="98">
        <v>28041</v>
      </c>
      <c r="C7" s="98" t="s">
        <v>94</v>
      </c>
    </row>
    <row r="8" spans="1:3" ht="15" customHeight="1">
      <c r="A8" s="98" t="s">
        <v>507</v>
      </c>
      <c r="B8" s="98">
        <v>66301</v>
      </c>
      <c r="C8" s="98" t="s">
        <v>94</v>
      </c>
    </row>
    <row r="9" spans="1:3" ht="15" customHeight="1">
      <c r="A9" s="98" t="s">
        <v>507</v>
      </c>
      <c r="B9" s="98">
        <v>66361</v>
      </c>
      <c r="C9" s="98" t="s">
        <v>93</v>
      </c>
    </row>
    <row r="10" spans="1:3" ht="15" customHeight="1">
      <c r="A10" s="98" t="s">
        <v>507</v>
      </c>
      <c r="B10" s="98">
        <v>66381</v>
      </c>
      <c r="C10" s="98" t="s">
        <v>94</v>
      </c>
    </row>
    <row r="11" spans="1:3" ht="15" customHeight="1">
      <c r="A11" s="98" t="s">
        <v>507</v>
      </c>
      <c r="B11" s="98">
        <v>66391</v>
      </c>
      <c r="C11" s="98" t="s">
        <v>94</v>
      </c>
    </row>
    <row r="12" spans="1:3" ht="15" customHeight="1">
      <c r="A12" s="98" t="s">
        <v>507</v>
      </c>
      <c r="B12" s="98">
        <v>66431</v>
      </c>
      <c r="C12" s="98" t="s">
        <v>94</v>
      </c>
    </row>
    <row r="13" spans="1:3" ht="15" customHeight="1">
      <c r="A13" s="98" t="s">
        <v>507</v>
      </c>
      <c r="B13" s="98">
        <v>66441</v>
      </c>
      <c r="C13" s="98" t="s">
        <v>94</v>
      </c>
    </row>
    <row r="14" spans="1:3" ht="15" customHeight="1">
      <c r="A14" s="98" t="s">
        <v>507</v>
      </c>
      <c r="B14" s="98">
        <v>66461</v>
      </c>
      <c r="C14" s="98" t="s">
        <v>95</v>
      </c>
    </row>
    <row r="15" spans="1:3" ht="15" customHeight="1">
      <c r="A15" s="98" t="s">
        <v>507</v>
      </c>
      <c r="B15" s="98">
        <v>66471</v>
      </c>
      <c r="C15" s="98" t="s">
        <v>95</v>
      </c>
    </row>
    <row r="16" spans="1:3" ht="15" customHeight="1">
      <c r="A16" s="98" t="s">
        <v>507</v>
      </c>
      <c r="B16" s="98">
        <v>66481</v>
      </c>
      <c r="C16" s="98" t="s">
        <v>95</v>
      </c>
    </row>
    <row r="17" spans="1:3" ht="15" customHeight="1">
      <c r="A17" s="98" t="s">
        <v>507</v>
      </c>
      <c r="B17" s="98">
        <v>66482</v>
      </c>
      <c r="C17" s="98" t="s">
        <v>95</v>
      </c>
    </row>
    <row r="18" spans="1:3" ht="15" customHeight="1">
      <c r="A18" s="98" t="s">
        <v>507</v>
      </c>
      <c r="B18" s="98">
        <v>66492</v>
      </c>
      <c r="C18" s="98" t="s">
        <v>96</v>
      </c>
    </row>
    <row r="19" spans="1:3" ht="15" customHeight="1">
      <c r="A19" s="98" t="s">
        <v>508</v>
      </c>
      <c r="B19" s="98">
        <v>17900</v>
      </c>
      <c r="C19" s="98" t="s">
        <v>96</v>
      </c>
    </row>
    <row r="20" spans="1:3" ht="15" customHeight="1">
      <c r="A20" s="98" t="s">
        <v>508</v>
      </c>
      <c r="B20" s="98">
        <v>18000</v>
      </c>
      <c r="C20" s="98" t="s">
        <v>96</v>
      </c>
    </row>
    <row r="21" spans="1:3" ht="15" customHeight="1">
      <c r="A21" s="98" t="s">
        <v>508</v>
      </c>
      <c r="B21" s="98">
        <v>67900</v>
      </c>
      <c r="C21" s="98" t="s">
        <v>97</v>
      </c>
    </row>
    <row r="22" spans="1:3" ht="15" customHeight="1">
      <c r="A22" s="98" t="s">
        <v>508</v>
      </c>
      <c r="B22" s="98">
        <v>67000</v>
      </c>
      <c r="C22" s="98" t="s">
        <v>96</v>
      </c>
    </row>
    <row r="23" spans="1:3" ht="15" customHeight="1">
      <c r="A23" s="98" t="s">
        <v>508</v>
      </c>
      <c r="B23" s="98">
        <v>15623</v>
      </c>
      <c r="C23" s="98" t="s">
        <v>96</v>
      </c>
    </row>
    <row r="24" spans="1:3" ht="15" customHeight="1">
      <c r="A24" s="98" t="s">
        <v>508</v>
      </c>
      <c r="B24" s="98">
        <v>55914</v>
      </c>
      <c r="C24" s="98" t="s">
        <v>96</v>
      </c>
    </row>
    <row r="25" spans="1:3" ht="15" customHeight="1">
      <c r="A25" s="98" t="s">
        <v>508</v>
      </c>
      <c r="B25" s="98">
        <v>63141</v>
      </c>
      <c r="C25" s="98" t="s">
        <v>97</v>
      </c>
    </row>
    <row r="26" spans="1:3" ht="15" customHeight="1">
      <c r="A26" s="98" t="s">
        <v>508</v>
      </c>
      <c r="B26" s="98">
        <v>63331</v>
      </c>
      <c r="C26" s="98" t="s">
        <v>94</v>
      </c>
    </row>
    <row r="27" spans="1:3" ht="15" customHeight="1">
      <c r="A27" s="98" t="s">
        <v>508</v>
      </c>
      <c r="B27" s="98">
        <v>63380</v>
      </c>
      <c r="C27" s="98" t="s">
        <v>98</v>
      </c>
    </row>
    <row r="28" spans="1:3" ht="15" customHeight="1">
      <c r="A28" s="98" t="s">
        <v>508</v>
      </c>
      <c r="B28" s="98">
        <v>65211</v>
      </c>
      <c r="C28" s="98" t="s">
        <v>98</v>
      </c>
    </row>
    <row r="29" spans="1:3" ht="15" customHeight="1">
      <c r="A29" s="98" t="s">
        <v>508</v>
      </c>
      <c r="B29" s="98">
        <v>65311</v>
      </c>
      <c r="C29" s="98" t="s">
        <v>98</v>
      </c>
    </row>
    <row r="30" spans="1:3" ht="15" customHeight="1">
      <c r="A30" s="98" t="s">
        <v>508</v>
      </c>
      <c r="B30" s="98">
        <v>65650</v>
      </c>
      <c r="C30" s="98" t="s">
        <v>96</v>
      </c>
    </row>
    <row r="31" spans="1:3" ht="15" customHeight="1">
      <c r="A31" s="98" t="s">
        <v>508</v>
      </c>
      <c r="B31" s="98">
        <v>65680</v>
      </c>
      <c r="C31" s="98" t="s">
        <v>96</v>
      </c>
    </row>
    <row r="32" spans="1:3" ht="15" customHeight="1">
      <c r="A32" s="98" t="s">
        <v>508</v>
      </c>
      <c r="B32" s="98">
        <v>65681</v>
      </c>
      <c r="C32" s="98" t="s">
        <v>96</v>
      </c>
    </row>
    <row r="33" spans="1:3" ht="15" customHeight="1">
      <c r="A33" s="98" t="s">
        <v>508</v>
      </c>
      <c r="B33" s="98">
        <v>66100</v>
      </c>
      <c r="C33" s="98" t="s">
        <v>96</v>
      </c>
    </row>
    <row r="34" spans="1:3" ht="15" customHeight="1">
      <c r="A34" s="98" t="s">
        <v>508</v>
      </c>
      <c r="B34" s="98">
        <v>66101</v>
      </c>
      <c r="C34" s="98" t="s">
        <v>96</v>
      </c>
    </row>
    <row r="35" spans="1:3" ht="15" customHeight="1">
      <c r="A35" s="98" t="s">
        <v>508</v>
      </c>
      <c r="B35" s="98">
        <v>66400</v>
      </c>
      <c r="C35" s="98" t="s">
        <v>96</v>
      </c>
    </row>
    <row r="36" spans="1:3" ht="15" customHeight="1">
      <c r="A36" s="98" t="s">
        <v>508</v>
      </c>
      <c r="B36" s="98" t="s">
        <v>99</v>
      </c>
      <c r="C36" s="98" t="s">
        <v>100</v>
      </c>
    </row>
    <row r="37" spans="1:3" ht="15" customHeight="1">
      <c r="A37" s="98" t="s">
        <v>509</v>
      </c>
      <c r="B37" s="98">
        <v>1217</v>
      </c>
      <c r="C37" s="98" t="s">
        <v>95</v>
      </c>
    </row>
    <row r="38" spans="1:3" ht="15" customHeight="1">
      <c r="A38" s="98" t="s">
        <v>509</v>
      </c>
      <c r="B38" s="98">
        <v>1512</v>
      </c>
      <c r="C38" s="98" t="s">
        <v>96</v>
      </c>
    </row>
    <row r="39" spans="1:3" ht="15" customHeight="1">
      <c r="A39" s="98" t="s">
        <v>509</v>
      </c>
      <c r="B39" s="98">
        <v>1513</v>
      </c>
      <c r="C39" s="98" t="s">
        <v>96</v>
      </c>
    </row>
    <row r="40" spans="1:3" ht="15" customHeight="1">
      <c r="A40" s="98" t="s">
        <v>509</v>
      </c>
      <c r="B40" s="98">
        <v>1711</v>
      </c>
      <c r="C40" s="98" t="s">
        <v>95</v>
      </c>
    </row>
    <row r="41" spans="1:3" ht="15" customHeight="1">
      <c r="A41" s="98" t="s">
        <v>509</v>
      </c>
      <c r="B41" s="98">
        <v>1731</v>
      </c>
      <c r="C41" s="98" t="s">
        <v>101</v>
      </c>
    </row>
    <row r="42" spans="1:3" ht="15" customHeight="1">
      <c r="A42" s="98" t="s">
        <v>509</v>
      </c>
      <c r="B42" s="98">
        <v>1800</v>
      </c>
      <c r="C42" s="98" t="s">
        <v>95</v>
      </c>
    </row>
    <row r="43" spans="1:3" ht="15" customHeight="1">
      <c r="A43" s="98" t="s">
        <v>509</v>
      </c>
      <c r="B43" s="98">
        <v>1804</v>
      </c>
      <c r="C43" s="98" t="s">
        <v>96</v>
      </c>
    </row>
    <row r="44" spans="1:3" ht="15" customHeight="1">
      <c r="A44" s="98" t="s">
        <v>509</v>
      </c>
      <c r="B44" s="98">
        <v>1805</v>
      </c>
      <c r="C44" s="98" t="s">
        <v>96</v>
      </c>
    </row>
    <row r="45" spans="1:3" ht="15" customHeight="1">
      <c r="A45" s="98" t="s">
        <v>509</v>
      </c>
      <c r="B45" s="98">
        <v>1810</v>
      </c>
      <c r="C45" s="98" t="s">
        <v>101</v>
      </c>
    </row>
    <row r="46" spans="1:3" ht="15" customHeight="1">
      <c r="A46" s="98" t="s">
        <v>509</v>
      </c>
      <c r="B46" s="98">
        <v>1820</v>
      </c>
      <c r="C46" s="98" t="s">
        <v>101</v>
      </c>
    </row>
    <row r="47" spans="1:3" ht="15" customHeight="1">
      <c r="A47" s="98" t="s">
        <v>509</v>
      </c>
      <c r="B47" s="98">
        <v>1830</v>
      </c>
      <c r="C47" s="98" t="s">
        <v>96</v>
      </c>
    </row>
    <row r="48" spans="1:3" ht="15" customHeight="1">
      <c r="A48" s="98" t="s">
        <v>509</v>
      </c>
      <c r="B48" s="98">
        <v>1831</v>
      </c>
      <c r="C48" s="98" t="s">
        <v>96</v>
      </c>
    </row>
    <row r="49" spans="1:3" ht="15" customHeight="1">
      <c r="A49" s="98" t="s">
        <v>509</v>
      </c>
      <c r="B49" s="98">
        <v>8150</v>
      </c>
      <c r="C49" s="98" t="s">
        <v>101</v>
      </c>
    </row>
    <row r="50" spans="1:3" ht="15" customHeight="1">
      <c r="A50" s="98" t="s">
        <v>509</v>
      </c>
      <c r="B50" s="98">
        <v>8155</v>
      </c>
      <c r="C50" s="98" t="s">
        <v>101</v>
      </c>
    </row>
    <row r="51" spans="1:3" ht="15" customHeight="1">
      <c r="A51" s="98" t="s">
        <v>509</v>
      </c>
      <c r="B51" s="98">
        <v>8164</v>
      </c>
      <c r="C51" s="98" t="s">
        <v>101</v>
      </c>
    </row>
    <row r="52" spans="1:3" ht="15" customHeight="1">
      <c r="A52" s="98" t="s">
        <v>509</v>
      </c>
      <c r="B52" s="98">
        <v>8169</v>
      </c>
      <c r="C52" s="98" t="s">
        <v>102</v>
      </c>
    </row>
    <row r="53" spans="1:3" ht="15" customHeight="1">
      <c r="A53" s="98" t="s">
        <v>509</v>
      </c>
      <c r="B53" s="98">
        <v>73070</v>
      </c>
      <c r="C53" s="98" t="s">
        <v>101</v>
      </c>
    </row>
    <row r="54" spans="1:3" ht="15" customHeight="1">
      <c r="A54" s="98" t="s">
        <v>509</v>
      </c>
      <c r="B54" s="98">
        <v>99800</v>
      </c>
      <c r="C54" s="98" t="s">
        <v>94</v>
      </c>
    </row>
    <row r="55" spans="1:3" ht="15" customHeight="1">
      <c r="A55" s="98" t="s">
        <v>509</v>
      </c>
      <c r="B55" s="98">
        <v>97000</v>
      </c>
      <c r="C55" s="98" t="s">
        <v>95</v>
      </c>
    </row>
    <row r="56" spans="1:3" ht="15" customHeight="1">
      <c r="A56" s="98" t="s">
        <v>510</v>
      </c>
      <c r="B56" s="98">
        <v>1621</v>
      </c>
      <c r="C56" s="98" t="s">
        <v>95</v>
      </c>
    </row>
    <row r="57" spans="1:3" ht="15" customHeight="1">
      <c r="A57" s="98" t="s">
        <v>510</v>
      </c>
      <c r="B57" s="98">
        <v>1900</v>
      </c>
      <c r="C57" s="98" t="s">
        <v>94</v>
      </c>
    </row>
    <row r="58" spans="1:3" ht="15" customHeight="1">
      <c r="A58" s="98" t="s">
        <v>510</v>
      </c>
      <c r="B58" s="98">
        <v>2834</v>
      </c>
      <c r="C58" s="98" t="s">
        <v>97</v>
      </c>
    </row>
    <row r="59" spans="1:3" ht="15" customHeight="1">
      <c r="A59" s="98" t="s">
        <v>510</v>
      </c>
      <c r="B59" s="98">
        <v>2835</v>
      </c>
      <c r="C59" s="98" t="s">
        <v>97</v>
      </c>
    </row>
    <row r="60" spans="1:3" ht="15" customHeight="1">
      <c r="A60" s="98" t="s">
        <v>510</v>
      </c>
      <c r="B60" s="98">
        <v>2881</v>
      </c>
      <c r="C60" s="98" t="s">
        <v>94</v>
      </c>
    </row>
    <row r="61" spans="1:3" ht="15" customHeight="1">
      <c r="A61" s="98" t="s">
        <v>510</v>
      </c>
      <c r="B61" s="98">
        <v>2882</v>
      </c>
      <c r="C61" s="98" t="s">
        <v>94</v>
      </c>
    </row>
    <row r="62" spans="1:3" ht="15" customHeight="1">
      <c r="A62" s="98" t="s">
        <v>510</v>
      </c>
      <c r="B62" s="98">
        <v>2883</v>
      </c>
      <c r="C62" s="98" t="s">
        <v>95</v>
      </c>
    </row>
    <row r="63" spans="1:3" ht="15" customHeight="1">
      <c r="A63" s="98" t="s">
        <v>510</v>
      </c>
      <c r="B63" s="98">
        <v>2900</v>
      </c>
      <c r="C63" s="98" t="s">
        <v>93</v>
      </c>
    </row>
    <row r="64" spans="1:3" ht="15" customHeight="1">
      <c r="A64" s="98" t="s">
        <v>510</v>
      </c>
      <c r="B64" s="98">
        <v>8010</v>
      </c>
      <c r="C64" s="98" t="s">
        <v>98</v>
      </c>
    </row>
    <row r="65" spans="1:3" ht="15" customHeight="1">
      <c r="A65" s="98" t="s">
        <v>510</v>
      </c>
      <c r="B65" s="98">
        <v>8011</v>
      </c>
      <c r="C65" s="98" t="s">
        <v>98</v>
      </c>
    </row>
    <row r="66" spans="1:3" ht="15" customHeight="1">
      <c r="A66" s="98" t="s">
        <v>510</v>
      </c>
      <c r="B66" s="98">
        <v>8031</v>
      </c>
      <c r="C66" s="98" t="s">
        <v>98</v>
      </c>
    </row>
    <row r="67" spans="1:3" ht="15" customHeight="1">
      <c r="A67" s="98" t="s">
        <v>510</v>
      </c>
      <c r="B67" s="98">
        <v>8300</v>
      </c>
      <c r="C67" s="98" t="s">
        <v>98</v>
      </c>
    </row>
    <row r="68" spans="1:3" ht="15" customHeight="1">
      <c r="A68" s="98" t="s">
        <v>510</v>
      </c>
      <c r="B68" s="98">
        <v>8785</v>
      </c>
      <c r="C68" s="98" t="s">
        <v>95</v>
      </c>
    </row>
    <row r="69" spans="1:3" ht="15" customHeight="1">
      <c r="A69" s="98" t="s">
        <v>510</v>
      </c>
      <c r="B69" s="98">
        <v>114861</v>
      </c>
      <c r="C69" s="98" t="s">
        <v>97</v>
      </c>
    </row>
    <row r="70" spans="1:3" ht="15" customHeight="1">
      <c r="A70" s="98" t="s">
        <v>510</v>
      </c>
      <c r="B70" s="98">
        <v>116810</v>
      </c>
      <c r="C70" s="98" t="s">
        <v>95</v>
      </c>
    </row>
    <row r="71" spans="1:3" ht="15" customHeight="1">
      <c r="A71" s="98" t="s">
        <v>510</v>
      </c>
      <c r="B71" s="98">
        <v>140800</v>
      </c>
      <c r="C71" s="98" t="s">
        <v>94</v>
      </c>
    </row>
    <row r="72" spans="1:3" ht="15" customHeight="1">
      <c r="A72" s="98" t="s">
        <v>510</v>
      </c>
      <c r="B72" s="98">
        <v>169448</v>
      </c>
      <c r="C72" s="98" t="s">
        <v>98</v>
      </c>
    </row>
    <row r="73" spans="1:3" ht="15" customHeight="1">
      <c r="A73" s="98" t="s">
        <v>510</v>
      </c>
      <c r="B73" s="98">
        <v>157020</v>
      </c>
      <c r="C73" s="98" t="s">
        <v>94</v>
      </c>
    </row>
    <row r="74" spans="1:3" ht="15" customHeight="1">
      <c r="A74" s="98" t="s">
        <v>510</v>
      </c>
      <c r="B74" s="98">
        <v>165109</v>
      </c>
      <c r="C74" s="98" t="s">
        <v>98</v>
      </c>
    </row>
    <row r="75" spans="1:3" ht="15" customHeight="1">
      <c r="A75" s="98" t="s">
        <v>510</v>
      </c>
      <c r="B75" s="98">
        <v>168130</v>
      </c>
      <c r="C75" s="98" t="s">
        <v>95</v>
      </c>
    </row>
    <row r="76" spans="1:3" ht="15" customHeight="1">
      <c r="A76" s="98" t="s">
        <v>510</v>
      </c>
      <c r="B76" s="98">
        <v>169240</v>
      </c>
      <c r="C76" s="98" t="s">
        <v>98</v>
      </c>
    </row>
    <row r="77" spans="1:3" ht="15" customHeight="1">
      <c r="A77" s="98" t="s">
        <v>510</v>
      </c>
      <c r="B77" s="98">
        <v>169241</v>
      </c>
      <c r="C77" s="98" t="s">
        <v>98</v>
      </c>
    </row>
    <row r="78" spans="1:3" ht="15" customHeight="1">
      <c r="A78" s="98" t="s">
        <v>510</v>
      </c>
      <c r="B78" s="98">
        <v>169260</v>
      </c>
      <c r="C78" s="98" t="s">
        <v>98</v>
      </c>
    </row>
    <row r="79" spans="1:3" ht="15" customHeight="1">
      <c r="A79" s="98" t="s">
        <v>510</v>
      </c>
      <c r="B79" s="98">
        <v>169280</v>
      </c>
      <c r="C79" s="98" t="s">
        <v>98</v>
      </c>
    </row>
    <row r="80" spans="1:3" ht="15" customHeight="1">
      <c r="A80" s="98" t="s">
        <v>510</v>
      </c>
      <c r="B80" s="98">
        <v>200000</v>
      </c>
      <c r="C80" s="98" t="s">
        <v>100</v>
      </c>
    </row>
    <row r="81" spans="1:3" ht="15" customHeight="1">
      <c r="A81" s="98" t="s">
        <v>510</v>
      </c>
      <c r="B81" s="98">
        <v>200020</v>
      </c>
      <c r="C81" s="98" t="s">
        <v>100</v>
      </c>
    </row>
    <row r="82" spans="1:3" ht="15" customHeight="1">
      <c r="A82" s="98" t="s">
        <v>510</v>
      </c>
      <c r="B82" s="98">
        <v>200070</v>
      </c>
      <c r="C82" s="98" t="s">
        <v>100</v>
      </c>
    </row>
    <row r="83" spans="1:3" ht="15" customHeight="1">
      <c r="A83" s="98" t="s">
        <v>510</v>
      </c>
      <c r="B83" s="98">
        <v>200130</v>
      </c>
      <c r="C83" s="98" t="s">
        <v>94</v>
      </c>
    </row>
    <row r="84" spans="1:3" ht="15" customHeight="1">
      <c r="A84" s="98" t="s">
        <v>510</v>
      </c>
      <c r="B84" s="98">
        <v>200170</v>
      </c>
      <c r="C84" s="98" t="s">
        <v>94</v>
      </c>
    </row>
    <row r="85" spans="1:3" ht="15" customHeight="1">
      <c r="A85" s="98" t="s">
        <v>510</v>
      </c>
      <c r="B85" s="98">
        <v>200200</v>
      </c>
      <c r="C85" s="98" t="s">
        <v>94</v>
      </c>
    </row>
    <row r="86" spans="1:3" ht="15" customHeight="1">
      <c r="A86" s="98" t="s">
        <v>510</v>
      </c>
      <c r="B86" s="98">
        <v>200260</v>
      </c>
      <c r="C86" s="98" t="s">
        <v>100</v>
      </c>
    </row>
    <row r="87" spans="1:3" ht="15" customHeight="1">
      <c r="A87" s="98" t="s">
        <v>510</v>
      </c>
      <c r="B87" s="98">
        <v>200290</v>
      </c>
      <c r="C87" s="98" t="s">
        <v>94</v>
      </c>
    </row>
    <row r="88" spans="1:3" ht="15" customHeight="1">
      <c r="A88" s="98" t="s">
        <v>510</v>
      </c>
      <c r="B88" s="98">
        <v>200350</v>
      </c>
      <c r="C88" s="98" t="s">
        <v>94</v>
      </c>
    </row>
    <row r="89" spans="1:3" ht="15" customHeight="1">
      <c r="A89" s="98" t="s">
        <v>510</v>
      </c>
      <c r="B89" s="98">
        <v>200370</v>
      </c>
      <c r="C89" s="98" t="s">
        <v>100</v>
      </c>
    </row>
    <row r="90" spans="1:3" ht="15" customHeight="1">
      <c r="A90" s="98" t="s">
        <v>510</v>
      </c>
      <c r="B90" s="98">
        <v>200371</v>
      </c>
      <c r="C90" s="98" t="s">
        <v>100</v>
      </c>
    </row>
    <row r="91" spans="1:3" ht="15" customHeight="1">
      <c r="A91" s="98" t="s">
        <v>510</v>
      </c>
      <c r="B91" s="98">
        <v>200411</v>
      </c>
      <c r="C91" s="98" t="s">
        <v>100</v>
      </c>
    </row>
    <row r="92" spans="1:3" ht="15" customHeight="1">
      <c r="A92" s="98" t="s">
        <v>511</v>
      </c>
      <c r="B92" s="98" t="s">
        <v>103</v>
      </c>
      <c r="C92" s="98" t="s">
        <v>95</v>
      </c>
    </row>
    <row r="93" spans="1:3" ht="15" customHeight="1">
      <c r="A93" s="98" t="s">
        <v>511</v>
      </c>
      <c r="B93" s="98" t="s">
        <v>104</v>
      </c>
      <c r="C93" s="98" t="s">
        <v>94</v>
      </c>
    </row>
    <row r="94" spans="1:3" ht="15" customHeight="1">
      <c r="A94" s="98" t="s">
        <v>511</v>
      </c>
      <c r="B94" s="98" t="s">
        <v>105</v>
      </c>
      <c r="C94" s="98" t="s">
        <v>94</v>
      </c>
    </row>
    <row r="95" spans="1:3" ht="15" customHeight="1">
      <c r="A95" s="98" t="s">
        <v>511</v>
      </c>
      <c r="B95" s="98" t="s">
        <v>106</v>
      </c>
      <c r="C95" s="98" t="s">
        <v>94</v>
      </c>
    </row>
    <row r="96" spans="1:3" ht="15" customHeight="1">
      <c r="A96" s="98" t="s">
        <v>511</v>
      </c>
      <c r="B96" s="98" t="s">
        <v>107</v>
      </c>
      <c r="C96" s="98" t="s">
        <v>94</v>
      </c>
    </row>
    <row r="97" spans="1:3" ht="15" customHeight="1">
      <c r="A97" s="98" t="s">
        <v>511</v>
      </c>
      <c r="B97" s="98" t="s">
        <v>108</v>
      </c>
      <c r="C97" s="98" t="s">
        <v>94</v>
      </c>
    </row>
    <row r="98" spans="1:3" ht="15" customHeight="1">
      <c r="A98" s="98" t="s">
        <v>511</v>
      </c>
      <c r="B98" s="98" t="s">
        <v>109</v>
      </c>
      <c r="C98" s="98" t="s">
        <v>96</v>
      </c>
    </row>
    <row r="99" spans="1:3" ht="15" customHeight="1">
      <c r="A99" s="98" t="s">
        <v>511</v>
      </c>
      <c r="B99" s="98" t="s">
        <v>110</v>
      </c>
      <c r="C99" s="98" t="s">
        <v>94</v>
      </c>
    </row>
    <row r="100" spans="1:3" ht="15" customHeight="1">
      <c r="A100" s="98" t="s">
        <v>511</v>
      </c>
      <c r="B100" s="98" t="s">
        <v>111</v>
      </c>
      <c r="C100" s="98" t="s">
        <v>94</v>
      </c>
    </row>
    <row r="101" spans="1:3" ht="15" customHeight="1">
      <c r="A101" s="98" t="s">
        <v>511</v>
      </c>
      <c r="B101" s="98" t="s">
        <v>112</v>
      </c>
      <c r="C101" s="98" t="s">
        <v>100</v>
      </c>
    </row>
    <row r="102" spans="1:3" ht="15" customHeight="1">
      <c r="A102" s="98" t="s">
        <v>511</v>
      </c>
      <c r="B102" s="98" t="s">
        <v>113</v>
      </c>
      <c r="C102" s="98" t="s">
        <v>100</v>
      </c>
    </row>
    <row r="103" spans="1:3" ht="15" customHeight="1">
      <c r="A103" s="98" t="s">
        <v>511</v>
      </c>
      <c r="B103" s="98" t="s">
        <v>114</v>
      </c>
      <c r="C103" s="98" t="s">
        <v>100</v>
      </c>
    </row>
    <row r="104" spans="1:3" ht="15" customHeight="1">
      <c r="A104" s="98" t="s">
        <v>511</v>
      </c>
      <c r="B104" s="98" t="s">
        <v>115</v>
      </c>
      <c r="C104" s="98" t="s">
        <v>100</v>
      </c>
    </row>
    <row r="105" spans="1:3" ht="15" customHeight="1">
      <c r="A105" s="98" t="s">
        <v>511</v>
      </c>
      <c r="B105" s="98" t="s">
        <v>116</v>
      </c>
      <c r="C105" s="98" t="s">
        <v>100</v>
      </c>
    </row>
    <row r="106" spans="1:3" ht="15" customHeight="1">
      <c r="A106" s="98" t="s">
        <v>511</v>
      </c>
      <c r="B106" s="98" t="s">
        <v>117</v>
      </c>
      <c r="C106" s="98" t="s">
        <v>96</v>
      </c>
    </row>
    <row r="107" spans="1:3" ht="15" customHeight="1">
      <c r="A107" s="98" t="s">
        <v>511</v>
      </c>
      <c r="B107" s="98" t="s">
        <v>118</v>
      </c>
      <c r="C107" s="98" t="s">
        <v>94</v>
      </c>
    </row>
    <row r="108" spans="1:3" ht="15" customHeight="1">
      <c r="A108" s="98" t="s">
        <v>511</v>
      </c>
      <c r="B108" s="98" t="s">
        <v>119</v>
      </c>
      <c r="C108" s="98" t="s">
        <v>94</v>
      </c>
    </row>
    <row r="109" spans="1:3" ht="15" customHeight="1">
      <c r="A109" s="98" t="s">
        <v>511</v>
      </c>
      <c r="B109" s="98" t="s">
        <v>120</v>
      </c>
      <c r="C109" s="98" t="s">
        <v>94</v>
      </c>
    </row>
    <row r="110" spans="1:3" ht="15" customHeight="1">
      <c r="A110" s="98" t="s">
        <v>511</v>
      </c>
      <c r="B110" s="98" t="s">
        <v>121</v>
      </c>
      <c r="C110" s="98" t="s">
        <v>94</v>
      </c>
    </row>
    <row r="111" spans="1:3" ht="15" customHeight="1">
      <c r="A111" s="98" t="s">
        <v>512</v>
      </c>
      <c r="B111" s="98">
        <v>122020</v>
      </c>
      <c r="C111" s="98" t="s">
        <v>93</v>
      </c>
    </row>
    <row r="112" spans="1:3" ht="15" customHeight="1">
      <c r="A112" s="98" t="s">
        <v>512</v>
      </c>
      <c r="B112" s="98">
        <v>131023</v>
      </c>
      <c r="C112" s="98" t="s">
        <v>100</v>
      </c>
    </row>
    <row r="113" spans="1:3" ht="15" customHeight="1">
      <c r="A113" s="98" t="s">
        <v>512</v>
      </c>
      <c r="B113" s="98">
        <v>152029</v>
      </c>
      <c r="C113" s="98" t="s">
        <v>94</v>
      </c>
    </row>
    <row r="114" spans="1:3" ht="15" customHeight="1">
      <c r="A114" s="98" t="s">
        <v>512</v>
      </c>
      <c r="B114" s="98">
        <v>161024</v>
      </c>
      <c r="C114" s="98" t="s">
        <v>100</v>
      </c>
    </row>
    <row r="115" spans="1:3" ht="15" customHeight="1">
      <c r="A115" s="98" t="s">
        <v>512</v>
      </c>
      <c r="B115" s="98">
        <v>161061</v>
      </c>
      <c r="C115" s="98" t="s">
        <v>93</v>
      </c>
    </row>
    <row r="116" spans="1:3" ht="15" customHeight="1">
      <c r="A116" s="98" t="s">
        <v>512</v>
      </c>
      <c r="B116" s="98">
        <v>161074</v>
      </c>
      <c r="C116" s="98" t="s">
        <v>94</v>
      </c>
    </row>
    <row r="117" spans="1:3" ht="15" customHeight="1">
      <c r="A117" s="98" t="s">
        <v>512</v>
      </c>
      <c r="B117" s="98">
        <v>161089</v>
      </c>
      <c r="C117" s="98" t="s">
        <v>94</v>
      </c>
    </row>
    <row r="118" spans="1:3" ht="15" customHeight="1">
      <c r="A118" s="98" t="s">
        <v>512</v>
      </c>
      <c r="B118" s="98">
        <v>162006</v>
      </c>
      <c r="C118" s="98" t="s">
        <v>93</v>
      </c>
    </row>
    <row r="119" spans="1:3" ht="15" customHeight="1">
      <c r="A119" s="98" t="s">
        <v>512</v>
      </c>
      <c r="B119" s="98">
        <v>162007</v>
      </c>
      <c r="C119" s="98" t="s">
        <v>93</v>
      </c>
    </row>
    <row r="120" spans="1:3" ht="15" customHeight="1">
      <c r="A120" s="98" t="s">
        <v>512</v>
      </c>
      <c r="B120" s="98">
        <v>162010</v>
      </c>
      <c r="C120" s="98" t="s">
        <v>93</v>
      </c>
    </row>
    <row r="121" spans="1:3" ht="15" customHeight="1">
      <c r="A121" s="98" t="s">
        <v>512</v>
      </c>
      <c r="B121" s="98">
        <v>162012</v>
      </c>
      <c r="C121" s="98" t="s">
        <v>93</v>
      </c>
    </row>
    <row r="122" spans="1:3" ht="15" customHeight="1">
      <c r="A122" s="98" t="s">
        <v>512</v>
      </c>
      <c r="B122" s="98">
        <v>162013</v>
      </c>
      <c r="C122" s="98" t="s">
        <v>93</v>
      </c>
    </row>
    <row r="123" spans="1:3" ht="15" customHeight="1">
      <c r="A123" s="98" t="s">
        <v>512</v>
      </c>
      <c r="B123" s="98">
        <v>162014</v>
      </c>
      <c r="C123" s="98" t="s">
        <v>93</v>
      </c>
    </row>
    <row r="124" spans="1:3" ht="15" customHeight="1">
      <c r="A124" s="98" t="s">
        <v>512</v>
      </c>
      <c r="B124" s="98">
        <v>162015</v>
      </c>
      <c r="C124" s="98" t="s">
        <v>93</v>
      </c>
    </row>
    <row r="125" spans="1:3" ht="15" customHeight="1">
      <c r="A125" s="98" t="s">
        <v>512</v>
      </c>
      <c r="B125" s="98">
        <v>162016</v>
      </c>
      <c r="C125" s="98" t="s">
        <v>93</v>
      </c>
    </row>
    <row r="126" spans="1:3" ht="15" customHeight="1">
      <c r="A126" s="98" t="s">
        <v>512</v>
      </c>
      <c r="B126" s="98">
        <v>162017</v>
      </c>
      <c r="C126" s="98" t="s">
        <v>93</v>
      </c>
    </row>
    <row r="127" spans="1:3" ht="15" customHeight="1">
      <c r="A127" s="98" t="s">
        <v>512</v>
      </c>
      <c r="B127" s="98">
        <v>162018</v>
      </c>
      <c r="C127" s="98" t="s">
        <v>93</v>
      </c>
    </row>
    <row r="128" spans="1:3" ht="15" customHeight="1">
      <c r="A128" s="98" t="s">
        <v>512</v>
      </c>
      <c r="B128" s="98">
        <v>162020</v>
      </c>
      <c r="C128" s="98" t="s">
        <v>93</v>
      </c>
    </row>
    <row r="129" spans="1:3" ht="15" customHeight="1">
      <c r="A129" s="98" t="s">
        <v>512</v>
      </c>
      <c r="B129" s="98">
        <v>162021</v>
      </c>
      <c r="C129" s="98" t="s">
        <v>93</v>
      </c>
    </row>
    <row r="130" spans="1:3" ht="15" customHeight="1">
      <c r="A130" s="98" t="s">
        <v>512</v>
      </c>
      <c r="B130" s="98">
        <v>162022</v>
      </c>
      <c r="C130" s="98" t="s">
        <v>96</v>
      </c>
    </row>
    <row r="131" spans="1:3" ht="15" customHeight="1">
      <c r="A131" s="98" t="s">
        <v>512</v>
      </c>
      <c r="B131" s="98">
        <v>162023</v>
      </c>
      <c r="C131" s="98" t="s">
        <v>96</v>
      </c>
    </row>
    <row r="132" spans="1:3" ht="15" customHeight="1">
      <c r="A132" s="98" t="s">
        <v>512</v>
      </c>
      <c r="B132" s="98">
        <v>162024</v>
      </c>
      <c r="C132" s="98" t="s">
        <v>96</v>
      </c>
    </row>
    <row r="133" spans="1:3" ht="15" customHeight="1">
      <c r="A133" s="98" t="s">
        <v>512</v>
      </c>
      <c r="B133" s="98">
        <v>162025</v>
      </c>
      <c r="C133" s="98" t="s">
        <v>96</v>
      </c>
    </row>
    <row r="134" spans="1:3" ht="15" customHeight="1">
      <c r="A134" s="98" t="s">
        <v>512</v>
      </c>
      <c r="B134" s="98">
        <v>162026</v>
      </c>
      <c r="C134" s="98" t="s">
        <v>96</v>
      </c>
    </row>
    <row r="135" spans="1:3" ht="15" customHeight="1">
      <c r="A135" s="98" t="s">
        <v>512</v>
      </c>
      <c r="B135" s="98">
        <v>162041</v>
      </c>
      <c r="C135" s="98" t="s">
        <v>97</v>
      </c>
    </row>
    <row r="136" spans="1:3" ht="15" customHeight="1">
      <c r="A136" s="98" t="s">
        <v>512</v>
      </c>
      <c r="B136" s="98">
        <v>202018</v>
      </c>
      <c r="C136" s="98" t="s">
        <v>93</v>
      </c>
    </row>
    <row r="137" spans="1:3" ht="15" customHeight="1">
      <c r="A137" s="98" t="s">
        <v>512</v>
      </c>
      <c r="B137" s="98">
        <v>302012</v>
      </c>
      <c r="C137" s="98" t="s">
        <v>93</v>
      </c>
    </row>
    <row r="138" spans="1:3" ht="15" customHeight="1">
      <c r="A138" s="98" t="s">
        <v>512</v>
      </c>
      <c r="B138" s="98">
        <v>302020</v>
      </c>
      <c r="C138" s="98" t="s">
        <v>102</v>
      </c>
    </row>
    <row r="139" spans="1:3" ht="15" customHeight="1">
      <c r="A139" s="98" t="s">
        <v>512</v>
      </c>
      <c r="B139" s="98">
        <v>302033</v>
      </c>
      <c r="C139" s="98" t="s">
        <v>102</v>
      </c>
    </row>
    <row r="140" spans="1:3" ht="15" customHeight="1">
      <c r="A140" s="98" t="s">
        <v>512</v>
      </c>
      <c r="B140" s="98">
        <v>302034</v>
      </c>
      <c r="C140" s="98" t="s">
        <v>102</v>
      </c>
    </row>
    <row r="141" spans="1:3" ht="15" customHeight="1">
      <c r="A141" s="98" t="s">
        <v>512</v>
      </c>
      <c r="B141" s="98">
        <v>302038</v>
      </c>
      <c r="C141" s="98" t="s">
        <v>102</v>
      </c>
    </row>
    <row r="142" spans="1:3" ht="15" customHeight="1">
      <c r="A142" s="98" t="s">
        <v>512</v>
      </c>
      <c r="B142" s="98">
        <v>302040</v>
      </c>
      <c r="C142" s="98" t="s">
        <v>102</v>
      </c>
    </row>
    <row r="143" spans="1:3" ht="15" customHeight="1">
      <c r="A143" s="98" t="s">
        <v>512</v>
      </c>
      <c r="B143" s="98">
        <v>302045</v>
      </c>
      <c r="C143" s="98" t="s">
        <v>102</v>
      </c>
    </row>
    <row r="144" spans="1:3" ht="15" customHeight="1">
      <c r="A144" s="98" t="s">
        <v>512</v>
      </c>
      <c r="B144" s="98">
        <v>302059</v>
      </c>
      <c r="C144" s="98" t="s">
        <v>102</v>
      </c>
    </row>
    <row r="145" spans="1:3" ht="15" customHeight="1">
      <c r="A145" s="98" t="s">
        <v>512</v>
      </c>
      <c r="B145" s="98">
        <v>402006</v>
      </c>
      <c r="C145" s="98" t="s">
        <v>95</v>
      </c>
    </row>
    <row r="146" spans="1:3" ht="15" customHeight="1">
      <c r="A146" s="98" t="s">
        <v>512</v>
      </c>
      <c r="B146" s="98">
        <v>402007</v>
      </c>
      <c r="C146" s="98" t="s">
        <v>101</v>
      </c>
    </row>
    <row r="147" spans="1:3" ht="15" customHeight="1">
      <c r="A147" s="98" t="s">
        <v>512</v>
      </c>
      <c r="B147" s="98">
        <v>402012</v>
      </c>
      <c r="C147" s="98" t="s">
        <v>93</v>
      </c>
    </row>
    <row r="148" spans="1:3" ht="15" customHeight="1">
      <c r="A148" s="98" t="s">
        <v>512</v>
      </c>
      <c r="B148" s="98">
        <v>402015</v>
      </c>
      <c r="C148" s="98" t="s">
        <v>101</v>
      </c>
    </row>
    <row r="149" spans="1:3" ht="15" customHeight="1">
      <c r="A149" s="98" t="s">
        <v>512</v>
      </c>
      <c r="B149" s="98">
        <v>402019</v>
      </c>
      <c r="C149" s="98" t="s">
        <v>102</v>
      </c>
    </row>
    <row r="150" spans="1:3" ht="15" customHeight="1">
      <c r="A150" s="98" t="s">
        <v>512</v>
      </c>
      <c r="B150" s="98">
        <v>402021</v>
      </c>
      <c r="C150" s="98" t="s">
        <v>101</v>
      </c>
    </row>
    <row r="151" spans="1:3" ht="15" customHeight="1">
      <c r="A151" s="98" t="s">
        <v>512</v>
      </c>
      <c r="B151" s="98">
        <v>402022</v>
      </c>
      <c r="C151" s="98" t="s">
        <v>102</v>
      </c>
    </row>
    <row r="152" spans="1:3" ht="15" customHeight="1">
      <c r="A152" s="98" t="s">
        <v>512</v>
      </c>
      <c r="B152" s="98">
        <v>402023</v>
      </c>
      <c r="C152" s="98" t="s">
        <v>102</v>
      </c>
    </row>
    <row r="153" spans="1:3" ht="15" customHeight="1">
      <c r="A153" s="98" t="s">
        <v>512</v>
      </c>
      <c r="B153" s="98">
        <v>402024</v>
      </c>
      <c r="C153" s="98" t="s">
        <v>102</v>
      </c>
    </row>
    <row r="154" spans="1:3" ht="15" customHeight="1">
      <c r="A154" s="98" t="s">
        <v>512</v>
      </c>
      <c r="B154" s="98">
        <v>402028</v>
      </c>
      <c r="C154" s="98" t="s">
        <v>102</v>
      </c>
    </row>
    <row r="155" spans="1:3" ht="15" customHeight="1">
      <c r="A155" s="98" t="s">
        <v>512</v>
      </c>
      <c r="B155" s="98">
        <v>402029</v>
      </c>
      <c r="C155" s="98" t="s">
        <v>102</v>
      </c>
    </row>
    <row r="156" spans="1:3" ht="15" customHeight="1">
      <c r="A156" s="98" t="s">
        <v>512</v>
      </c>
      <c r="B156" s="98">
        <v>402030</v>
      </c>
      <c r="C156" s="98" t="s">
        <v>102</v>
      </c>
    </row>
    <row r="157" spans="1:3" ht="15" customHeight="1">
      <c r="A157" s="98" t="s">
        <v>512</v>
      </c>
      <c r="B157" s="98">
        <v>402032</v>
      </c>
      <c r="C157" s="98" t="s">
        <v>102</v>
      </c>
    </row>
    <row r="158" spans="1:3" ht="15" customHeight="1">
      <c r="A158" s="98" t="s">
        <v>512</v>
      </c>
      <c r="B158" s="98">
        <v>402033</v>
      </c>
      <c r="C158" s="98" t="s">
        <v>101</v>
      </c>
    </row>
    <row r="159" spans="1:3" ht="15" customHeight="1">
      <c r="A159" s="98" t="s">
        <v>512</v>
      </c>
      <c r="B159" s="98">
        <v>402035</v>
      </c>
      <c r="C159" s="98" t="s">
        <v>102</v>
      </c>
    </row>
    <row r="160" spans="1:3" ht="15" customHeight="1">
      <c r="A160" s="98" t="s">
        <v>512</v>
      </c>
      <c r="B160" s="98">
        <v>402036</v>
      </c>
      <c r="C160" s="98" t="s">
        <v>102</v>
      </c>
    </row>
    <row r="161" spans="1:3" ht="15" customHeight="1">
      <c r="A161" s="98" t="s">
        <v>512</v>
      </c>
      <c r="B161" s="98">
        <v>402037</v>
      </c>
      <c r="C161" s="98" t="s">
        <v>102</v>
      </c>
    </row>
    <row r="162" spans="1:3" ht="15" customHeight="1">
      <c r="A162" s="98" t="s">
        <v>512</v>
      </c>
      <c r="B162" s="98">
        <v>402038</v>
      </c>
      <c r="C162" s="98" t="s">
        <v>101</v>
      </c>
    </row>
    <row r="163" spans="1:3" ht="15" customHeight="1">
      <c r="A163" s="98" t="s">
        <v>512</v>
      </c>
      <c r="B163" s="98">
        <v>402039</v>
      </c>
      <c r="C163" s="98" t="s">
        <v>102</v>
      </c>
    </row>
    <row r="164" spans="1:3" ht="15" customHeight="1">
      <c r="A164" s="98" t="s">
        <v>512</v>
      </c>
      <c r="B164" s="98">
        <v>402045</v>
      </c>
      <c r="C164" s="98" t="s">
        <v>102</v>
      </c>
    </row>
    <row r="165" spans="1:3" ht="15" customHeight="1">
      <c r="A165" s="98" t="s">
        <v>512</v>
      </c>
      <c r="B165" s="98">
        <v>402046</v>
      </c>
      <c r="C165" s="98" t="s">
        <v>102</v>
      </c>
    </row>
    <row r="166" spans="1:3" ht="15" customHeight="1">
      <c r="A166" s="98" t="s">
        <v>512</v>
      </c>
      <c r="B166" s="98">
        <v>402048</v>
      </c>
      <c r="C166" s="98" t="s">
        <v>102</v>
      </c>
    </row>
    <row r="167" spans="1:3" ht="15" customHeight="1">
      <c r="A167" s="98" t="s">
        <v>512</v>
      </c>
      <c r="B167" s="98">
        <v>402054</v>
      </c>
      <c r="C167" s="98" t="s">
        <v>102</v>
      </c>
    </row>
    <row r="168" spans="1:3" ht="15" customHeight="1">
      <c r="A168" s="98" t="s">
        <v>512</v>
      </c>
      <c r="B168" s="98">
        <v>402055</v>
      </c>
      <c r="C168" s="98" t="s">
        <v>94</v>
      </c>
    </row>
    <row r="169" spans="1:3" ht="15" customHeight="1">
      <c r="A169" s="98" t="s">
        <v>512</v>
      </c>
      <c r="B169" s="98">
        <v>402060</v>
      </c>
      <c r="C169" s="98" t="s">
        <v>94</v>
      </c>
    </row>
    <row r="170" spans="1:3" ht="15" customHeight="1">
      <c r="A170" s="98" t="s">
        <v>512</v>
      </c>
      <c r="B170" s="98">
        <v>402061</v>
      </c>
      <c r="C170" s="98" t="s">
        <v>94</v>
      </c>
    </row>
    <row r="171" spans="1:3" ht="15" customHeight="1">
      <c r="A171" s="98" t="s">
        <v>513</v>
      </c>
      <c r="B171" s="98">
        <v>10513</v>
      </c>
      <c r="C171" s="98" t="s">
        <v>95</v>
      </c>
    </row>
    <row r="172" spans="1:3" ht="15" customHeight="1">
      <c r="A172" s="98" t="s">
        <v>513</v>
      </c>
      <c r="B172" s="98">
        <v>10515</v>
      </c>
      <c r="C172" s="98" t="s">
        <v>95</v>
      </c>
    </row>
    <row r="173" spans="1:3" ht="15" customHeight="1">
      <c r="A173" s="98" t="s">
        <v>513</v>
      </c>
      <c r="B173" s="98">
        <v>19127</v>
      </c>
      <c r="C173" s="98" t="s">
        <v>95</v>
      </c>
    </row>
    <row r="174" spans="1:3" ht="15" customHeight="1">
      <c r="A174" s="98" t="s">
        <v>513</v>
      </c>
      <c r="B174" s="98">
        <v>50133</v>
      </c>
      <c r="C174" s="98" t="s">
        <v>94</v>
      </c>
    </row>
    <row r="175" spans="1:3" ht="15" customHeight="1">
      <c r="A175" s="98" t="s">
        <v>513</v>
      </c>
      <c r="B175" s="98">
        <v>50140</v>
      </c>
      <c r="C175" s="98" t="s">
        <v>94</v>
      </c>
    </row>
    <row r="176" spans="1:3" ht="15" customHeight="1">
      <c r="A176" s="98" t="s">
        <v>513</v>
      </c>
      <c r="B176" s="98">
        <v>50145</v>
      </c>
      <c r="C176" s="98" t="s">
        <v>94</v>
      </c>
    </row>
    <row r="177" spans="1:3" ht="15" customHeight="1">
      <c r="A177" s="98" t="s">
        <v>513</v>
      </c>
      <c r="B177" s="98">
        <v>74067</v>
      </c>
      <c r="C177" s="98" t="s">
        <v>96</v>
      </c>
    </row>
    <row r="178" spans="1:3" ht="15" customHeight="1">
      <c r="A178" s="98" t="s">
        <v>513</v>
      </c>
      <c r="B178" s="98">
        <v>74069</v>
      </c>
      <c r="C178" s="98" t="s">
        <v>101</v>
      </c>
    </row>
    <row r="179" spans="1:3" ht="15" customHeight="1">
      <c r="A179" s="98" t="s">
        <v>514</v>
      </c>
      <c r="B179" s="98">
        <v>265044</v>
      </c>
      <c r="C179" s="98" t="s">
        <v>93</v>
      </c>
    </row>
    <row r="180" spans="1:3" ht="15" customHeight="1">
      <c r="A180" s="98" t="s">
        <v>514</v>
      </c>
      <c r="B180" s="98">
        <v>220004</v>
      </c>
      <c r="C180" s="98" t="s">
        <v>100</v>
      </c>
    </row>
    <row r="181" spans="1:3" ht="15" customHeight="1">
      <c r="A181" s="98" t="s">
        <v>514</v>
      </c>
      <c r="B181" s="98">
        <v>221081</v>
      </c>
      <c r="C181" s="98" t="s">
        <v>122</v>
      </c>
    </row>
    <row r="182" spans="1:3" ht="15" customHeight="1">
      <c r="A182" s="98" t="s">
        <v>514</v>
      </c>
      <c r="B182" s="98">
        <v>228002</v>
      </c>
      <c r="C182" s="98" t="s">
        <v>101</v>
      </c>
    </row>
    <row r="183" spans="1:3" ht="15" customHeight="1">
      <c r="A183" s="98" t="s">
        <v>514</v>
      </c>
      <c r="B183" s="98">
        <v>235301</v>
      </c>
      <c r="C183" s="98" t="s">
        <v>95</v>
      </c>
    </row>
    <row r="184" spans="1:3" ht="15" customHeight="1">
      <c r="A184" s="98" t="s">
        <v>514</v>
      </c>
      <c r="B184" s="98">
        <v>247005</v>
      </c>
      <c r="C184" s="98" t="s">
        <v>95</v>
      </c>
    </row>
    <row r="185" spans="1:3" ht="15" customHeight="1">
      <c r="A185" s="98" t="s">
        <v>514</v>
      </c>
      <c r="B185" s="98">
        <v>260012</v>
      </c>
      <c r="C185" s="98" t="s">
        <v>94</v>
      </c>
    </row>
    <row r="186" spans="1:3" ht="15" customHeight="1">
      <c r="A186" s="98" t="s">
        <v>514</v>
      </c>
      <c r="B186" s="98">
        <v>260021</v>
      </c>
      <c r="C186" s="98" t="s">
        <v>94</v>
      </c>
    </row>
    <row r="187" spans="1:3" ht="15" customHeight="1">
      <c r="A187" s="98" t="s">
        <v>514</v>
      </c>
      <c r="B187" s="98">
        <v>260061</v>
      </c>
      <c r="C187" s="98" t="s">
        <v>123</v>
      </c>
    </row>
    <row r="188" spans="1:3" ht="15" customHeight="1">
      <c r="A188" s="98" t="s">
        <v>514</v>
      </c>
      <c r="B188" s="98">
        <v>260101</v>
      </c>
      <c r="C188" s="98" t="s">
        <v>94</v>
      </c>
    </row>
    <row r="189" spans="1:3" ht="15" customHeight="1">
      <c r="A189" s="98" t="s">
        <v>514</v>
      </c>
      <c r="B189" s="98">
        <v>260150</v>
      </c>
      <c r="C189" s="98" t="s">
        <v>100</v>
      </c>
    </row>
    <row r="190" spans="1:3" ht="15" customHeight="1">
      <c r="A190" s="98" t="s">
        <v>514</v>
      </c>
      <c r="B190" s="98">
        <v>260151</v>
      </c>
      <c r="C190" s="98" t="s">
        <v>100</v>
      </c>
    </row>
    <row r="191" spans="1:3" ht="15" customHeight="1">
      <c r="A191" s="98" t="s">
        <v>514</v>
      </c>
      <c r="B191" s="98">
        <v>260201</v>
      </c>
      <c r="C191" s="98" t="s">
        <v>94</v>
      </c>
    </row>
    <row r="192" spans="1:3" ht="15" customHeight="1">
      <c r="A192" s="98" t="s">
        <v>514</v>
      </c>
      <c r="B192" s="98">
        <v>260351</v>
      </c>
      <c r="C192" s="98" t="s">
        <v>94</v>
      </c>
    </row>
    <row r="193" spans="1:3" ht="15" customHeight="1">
      <c r="A193" s="98" t="s">
        <v>514</v>
      </c>
      <c r="B193" s="98">
        <v>260451</v>
      </c>
      <c r="C193" s="98" t="s">
        <v>94</v>
      </c>
    </row>
    <row r="194" spans="1:3" ht="15" customHeight="1">
      <c r="A194" s="98" t="s">
        <v>514</v>
      </c>
      <c r="B194" s="98">
        <v>262101</v>
      </c>
      <c r="C194" s="98" t="s">
        <v>94</v>
      </c>
    </row>
    <row r="195" spans="1:3" ht="15" customHeight="1">
      <c r="A195" s="98" t="s">
        <v>514</v>
      </c>
      <c r="B195" s="98">
        <v>262401</v>
      </c>
      <c r="C195" s="98" t="s">
        <v>94</v>
      </c>
    </row>
    <row r="196" spans="1:3" ht="15" customHeight="1">
      <c r="A196" s="98" t="s">
        <v>514</v>
      </c>
      <c r="B196" s="98">
        <v>262501</v>
      </c>
      <c r="C196" s="98" t="s">
        <v>93</v>
      </c>
    </row>
    <row r="197" spans="1:3" ht="15" customHeight="1">
      <c r="A197" s="98" t="s">
        <v>514</v>
      </c>
      <c r="B197" s="98">
        <v>262502</v>
      </c>
      <c r="C197" s="98" t="s">
        <v>93</v>
      </c>
    </row>
    <row r="198" spans="1:3" ht="15" customHeight="1">
      <c r="A198" s="98" t="s">
        <v>514</v>
      </c>
      <c r="B198" s="98">
        <v>262503</v>
      </c>
      <c r="C198" s="98" t="s">
        <v>93</v>
      </c>
    </row>
    <row r="199" spans="1:3" ht="15" customHeight="1">
      <c r="A199" s="98" t="s">
        <v>514</v>
      </c>
      <c r="B199" s="98">
        <v>262505</v>
      </c>
      <c r="C199" s="98" t="s">
        <v>93</v>
      </c>
    </row>
    <row r="200" spans="1:3" ht="15" customHeight="1">
      <c r="A200" s="98" t="s">
        <v>514</v>
      </c>
      <c r="B200" s="98">
        <v>262506</v>
      </c>
      <c r="C200" s="98" t="s">
        <v>93</v>
      </c>
    </row>
    <row r="201" spans="1:3" ht="15" customHeight="1">
      <c r="A201" s="98" t="s">
        <v>514</v>
      </c>
      <c r="B201" s="98">
        <v>263011</v>
      </c>
      <c r="C201" s="98" t="s">
        <v>95</v>
      </c>
    </row>
    <row r="202" spans="1:3" ht="15" customHeight="1">
      <c r="A202" s="98" t="s">
        <v>514</v>
      </c>
      <c r="B202" s="98">
        <v>270100</v>
      </c>
      <c r="C202" s="98" t="s">
        <v>94</v>
      </c>
    </row>
    <row r="203" spans="1:3" ht="15" customHeight="1">
      <c r="A203" s="98" t="s">
        <v>514</v>
      </c>
      <c r="B203" s="98">
        <v>270126</v>
      </c>
      <c r="C203" s="98" t="s">
        <v>94</v>
      </c>
    </row>
    <row r="204" spans="1:3" ht="15" customHeight="1">
      <c r="A204" s="98" t="s">
        <v>514</v>
      </c>
      <c r="B204" s="98">
        <v>270210</v>
      </c>
      <c r="C204" s="98" t="s">
        <v>96</v>
      </c>
    </row>
    <row r="205" spans="1:3" ht="15" customHeight="1">
      <c r="A205" s="98" t="s">
        <v>514</v>
      </c>
      <c r="B205" s="98">
        <v>280031</v>
      </c>
      <c r="C205" s="98" t="s">
        <v>96</v>
      </c>
    </row>
    <row r="206" spans="1:3" ht="15" customHeight="1">
      <c r="A206" s="98" t="s">
        <v>514</v>
      </c>
      <c r="B206" s="98">
        <v>280031</v>
      </c>
      <c r="C206" s="98" t="s">
        <v>94</v>
      </c>
    </row>
    <row r="207" spans="1:3" ht="15" customHeight="1">
      <c r="A207" s="98" t="s">
        <v>514</v>
      </c>
      <c r="B207" s="98">
        <v>280051</v>
      </c>
      <c r="C207" s="98" t="s">
        <v>96</v>
      </c>
    </row>
    <row r="208" spans="1:3" ht="15" customHeight="1">
      <c r="A208" s="98" t="s">
        <v>514</v>
      </c>
      <c r="B208" s="98">
        <v>280071</v>
      </c>
      <c r="C208" s="98" t="s">
        <v>96</v>
      </c>
    </row>
    <row r="209" spans="1:3" ht="15" customHeight="1">
      <c r="A209" s="98" t="s">
        <v>514</v>
      </c>
      <c r="B209" s="98">
        <v>280096</v>
      </c>
      <c r="C209" s="98" t="s">
        <v>96</v>
      </c>
    </row>
    <row r="210" spans="1:3" ht="15" customHeight="1">
      <c r="A210" s="98" t="s">
        <v>514</v>
      </c>
      <c r="B210" s="98">
        <v>280100</v>
      </c>
      <c r="C210" s="98" t="s">
        <v>96</v>
      </c>
    </row>
    <row r="211" spans="1:3" ht="15" customHeight="1">
      <c r="A211" s="98" t="s">
        <v>514</v>
      </c>
      <c r="B211" s="98">
        <v>280106</v>
      </c>
      <c r="C211" s="98" t="s">
        <v>94</v>
      </c>
    </row>
    <row r="212" spans="1:3" ht="15" customHeight="1">
      <c r="A212" s="98" t="s">
        <v>514</v>
      </c>
      <c r="B212" s="98">
        <v>280110</v>
      </c>
      <c r="C212" s="98" t="s">
        <v>96</v>
      </c>
    </row>
    <row r="213" spans="1:3" ht="15" customHeight="1">
      <c r="A213" s="98" t="s">
        <v>514</v>
      </c>
      <c r="B213" s="98">
        <v>280120</v>
      </c>
      <c r="C213" s="98" t="s">
        <v>96</v>
      </c>
    </row>
    <row r="214" spans="1:3" ht="15" customHeight="1">
      <c r="A214" s="98" t="s">
        <v>514</v>
      </c>
      <c r="B214" s="98">
        <v>280126</v>
      </c>
      <c r="C214" s="98" t="s">
        <v>94</v>
      </c>
    </row>
    <row r="215" spans="1:3" ht="15" customHeight="1">
      <c r="A215" s="98" t="s">
        <v>514</v>
      </c>
      <c r="B215" s="98">
        <v>280130</v>
      </c>
      <c r="C215" s="98" t="s">
        <v>94</v>
      </c>
    </row>
    <row r="216" spans="1:3" ht="15" customHeight="1">
      <c r="A216" s="98" t="s">
        <v>514</v>
      </c>
      <c r="B216" s="98">
        <v>280141</v>
      </c>
      <c r="C216" s="98" t="s">
        <v>96</v>
      </c>
    </row>
    <row r="217" spans="1:3" ht="15" customHeight="1">
      <c r="A217" s="98" t="s">
        <v>514</v>
      </c>
      <c r="B217" s="98">
        <v>280150</v>
      </c>
      <c r="C217" s="98" t="s">
        <v>96</v>
      </c>
    </row>
    <row r="218" spans="1:3" ht="15" customHeight="1">
      <c r="A218" s="98" t="s">
        <v>514</v>
      </c>
      <c r="B218" s="98">
        <v>280151</v>
      </c>
      <c r="C218" s="98" t="s">
        <v>96</v>
      </c>
    </row>
    <row r="219" spans="1:3" ht="15" customHeight="1">
      <c r="A219" s="98" t="s">
        <v>514</v>
      </c>
      <c r="B219" s="98">
        <v>280165</v>
      </c>
      <c r="C219" s="98" t="s">
        <v>96</v>
      </c>
    </row>
    <row r="220" spans="1:3" ht="15" customHeight="1">
      <c r="A220" s="98" t="s">
        <v>514</v>
      </c>
      <c r="B220" s="98">
        <v>280300</v>
      </c>
      <c r="C220" s="98" t="s">
        <v>94</v>
      </c>
    </row>
    <row r="221" spans="1:3" ht="15" customHeight="1">
      <c r="A221" s="98" t="s">
        <v>514</v>
      </c>
      <c r="B221" s="98">
        <v>280301</v>
      </c>
      <c r="C221" s="98" t="s">
        <v>94</v>
      </c>
    </row>
    <row r="222" spans="1:3" ht="15" customHeight="1">
      <c r="A222" s="98" t="s">
        <v>514</v>
      </c>
      <c r="B222" s="98">
        <v>296004</v>
      </c>
      <c r="C222" s="98" t="s">
        <v>94</v>
      </c>
    </row>
    <row r="223" spans="1:3" ht="15" customHeight="1">
      <c r="A223" s="98" t="s">
        <v>514</v>
      </c>
      <c r="B223" s="98" t="s">
        <v>124</v>
      </c>
      <c r="C223" s="98" t="s">
        <v>94</v>
      </c>
    </row>
    <row r="224" spans="1:3" ht="15" customHeight="1">
      <c r="A224" s="98" t="s">
        <v>514</v>
      </c>
      <c r="B224" s="98" t="s">
        <v>125</v>
      </c>
      <c r="C224" s="98" t="s">
        <v>94</v>
      </c>
    </row>
    <row r="225" spans="1:3" ht="15" customHeight="1">
      <c r="A225" s="98" t="s">
        <v>514</v>
      </c>
      <c r="B225" s="98" t="s">
        <v>126</v>
      </c>
      <c r="C225" s="98" t="s">
        <v>95</v>
      </c>
    </row>
    <row r="226" spans="1:3" ht="15" customHeight="1">
      <c r="A226" s="98" t="s">
        <v>514</v>
      </c>
      <c r="B226" s="98" t="s">
        <v>127</v>
      </c>
      <c r="C226" s="98" t="s">
        <v>95</v>
      </c>
    </row>
    <row r="227" spans="1:3" ht="15" customHeight="1">
      <c r="A227" s="98" t="s">
        <v>514</v>
      </c>
      <c r="B227" s="98" t="s">
        <v>128</v>
      </c>
      <c r="C227" s="98" t="s">
        <v>95</v>
      </c>
    </row>
    <row r="228" spans="1:3" ht="15" customHeight="1">
      <c r="A228" s="98" t="s">
        <v>514</v>
      </c>
      <c r="B228" s="98" t="s">
        <v>129</v>
      </c>
      <c r="C228" s="98" t="s">
        <v>95</v>
      </c>
    </row>
    <row r="229" spans="1:3" ht="15" customHeight="1">
      <c r="A229" s="98" t="s">
        <v>514</v>
      </c>
      <c r="B229" s="98" t="s">
        <v>130</v>
      </c>
      <c r="C229" s="98" t="s">
        <v>95</v>
      </c>
    </row>
    <row r="230" spans="1:3" ht="15" customHeight="1">
      <c r="A230" s="98" t="s">
        <v>514</v>
      </c>
      <c r="B230" s="98" t="s">
        <v>131</v>
      </c>
    </row>
    <row r="231" spans="1:3" ht="15" customHeight="1">
      <c r="A231" s="98" t="s">
        <v>515</v>
      </c>
      <c r="B231" s="98" t="s">
        <v>132</v>
      </c>
      <c r="C231" s="98" t="s">
        <v>100</v>
      </c>
    </row>
    <row r="232" spans="1:3" ht="15" customHeight="1">
      <c r="A232" s="98" t="s">
        <v>515</v>
      </c>
      <c r="B232" s="98" t="s">
        <v>133</v>
      </c>
      <c r="C232" s="98" t="s">
        <v>98</v>
      </c>
    </row>
    <row r="233" spans="1:3" ht="15" customHeight="1">
      <c r="A233" s="98" t="s">
        <v>515</v>
      </c>
      <c r="B233" s="98" t="s">
        <v>134</v>
      </c>
      <c r="C233" s="98" t="s">
        <v>98</v>
      </c>
    </row>
    <row r="234" spans="1:3" ht="15" customHeight="1">
      <c r="A234" s="98" t="s">
        <v>515</v>
      </c>
      <c r="B234" s="98" t="s">
        <v>135</v>
      </c>
      <c r="C234" s="98" t="s">
        <v>100</v>
      </c>
    </row>
    <row r="235" spans="1:3" ht="15" customHeight="1">
      <c r="A235" s="98" t="s">
        <v>515</v>
      </c>
      <c r="B235" s="98">
        <v>6554</v>
      </c>
      <c r="C235" s="98" t="s">
        <v>94</v>
      </c>
    </row>
    <row r="236" spans="1:3" ht="15" customHeight="1">
      <c r="A236" s="98" t="s">
        <v>515</v>
      </c>
      <c r="B236" s="98">
        <v>10152</v>
      </c>
      <c r="C236" s="98" t="s">
        <v>122</v>
      </c>
    </row>
    <row r="237" spans="1:3" ht="15" customHeight="1">
      <c r="A237" s="98" t="s">
        <v>515</v>
      </c>
      <c r="B237" s="98">
        <v>70004</v>
      </c>
      <c r="C237" s="98" t="s">
        <v>100</v>
      </c>
    </row>
    <row r="238" spans="1:3" ht="15" customHeight="1">
      <c r="A238" s="98" t="s">
        <v>515</v>
      </c>
      <c r="B238" s="98">
        <v>70011</v>
      </c>
      <c r="C238" s="98" t="s">
        <v>100</v>
      </c>
    </row>
    <row r="239" spans="1:3" ht="15" customHeight="1">
      <c r="A239" s="98" t="s">
        <v>515</v>
      </c>
      <c r="B239" s="98">
        <v>70012</v>
      </c>
      <c r="C239" s="98" t="s">
        <v>123</v>
      </c>
    </row>
    <row r="240" spans="1:3" ht="15" customHeight="1">
      <c r="A240" s="98" t="s">
        <v>515</v>
      </c>
      <c r="B240" s="98">
        <v>70015</v>
      </c>
      <c r="C240" s="98" t="s">
        <v>100</v>
      </c>
    </row>
    <row r="241" spans="1:3" ht="15" customHeight="1">
      <c r="A241" s="98" t="s">
        <v>515</v>
      </c>
      <c r="B241" s="98" t="s">
        <v>57</v>
      </c>
      <c r="C241" s="98" t="s">
        <v>94</v>
      </c>
    </row>
    <row r="242" spans="1:3" ht="15" customHeight="1">
      <c r="A242" s="98" t="s">
        <v>515</v>
      </c>
      <c r="B242" s="98" t="s">
        <v>136</v>
      </c>
      <c r="C242" s="98" t="s">
        <v>95</v>
      </c>
    </row>
    <row r="243" spans="1:3" ht="15" customHeight="1">
      <c r="A243" s="98" t="s">
        <v>515</v>
      </c>
      <c r="B243" s="98" t="s">
        <v>137</v>
      </c>
      <c r="C243" s="98" t="s">
        <v>94</v>
      </c>
    </row>
    <row r="244" spans="1:3" ht="15" customHeight="1">
      <c r="A244" s="98" t="s">
        <v>515</v>
      </c>
      <c r="B244" s="98" t="s">
        <v>138</v>
      </c>
      <c r="C244" s="98" t="s">
        <v>94</v>
      </c>
    </row>
    <row r="245" spans="1:3" ht="15" customHeight="1">
      <c r="A245" s="98" t="s">
        <v>515</v>
      </c>
      <c r="B245" s="98" t="s">
        <v>139</v>
      </c>
      <c r="C245" s="98" t="s">
        <v>94</v>
      </c>
    </row>
    <row r="246" spans="1:3" ht="15" customHeight="1">
      <c r="A246" s="98" t="s">
        <v>515</v>
      </c>
      <c r="B246" s="98" t="s">
        <v>140</v>
      </c>
      <c r="C246" s="98" t="s">
        <v>94</v>
      </c>
    </row>
    <row r="247" spans="1:3" ht="15" customHeight="1">
      <c r="A247" s="98" t="s">
        <v>515</v>
      </c>
      <c r="B247" s="98" t="s">
        <v>141</v>
      </c>
      <c r="C247" s="98" t="s">
        <v>94</v>
      </c>
    </row>
    <row r="248" spans="1:3" ht="15" customHeight="1">
      <c r="A248" s="98" t="s">
        <v>515</v>
      </c>
      <c r="B248" s="98" t="s">
        <v>142</v>
      </c>
      <c r="C248" s="98" t="s">
        <v>95</v>
      </c>
    </row>
    <row r="249" spans="1:3" ht="15" customHeight="1">
      <c r="A249" s="98" t="s">
        <v>515</v>
      </c>
      <c r="B249" s="98" t="s">
        <v>143</v>
      </c>
      <c r="C249" s="98" t="s">
        <v>94</v>
      </c>
    </row>
    <row r="250" spans="1:3" ht="15" customHeight="1">
      <c r="A250" s="98" t="s">
        <v>515</v>
      </c>
      <c r="B250" s="98" t="s">
        <v>144</v>
      </c>
      <c r="C250" s="98" t="s">
        <v>94</v>
      </c>
    </row>
    <row r="251" spans="1:3" ht="15" customHeight="1">
      <c r="A251" s="98" t="s">
        <v>515</v>
      </c>
      <c r="B251" s="98" t="s">
        <v>145</v>
      </c>
      <c r="C251" s="98" t="s">
        <v>94</v>
      </c>
    </row>
    <row r="252" spans="1:3" ht="15" customHeight="1">
      <c r="A252" s="98" t="s">
        <v>515</v>
      </c>
      <c r="B252" s="98" t="s">
        <v>146</v>
      </c>
      <c r="C252" s="98" t="s">
        <v>94</v>
      </c>
    </row>
    <row r="253" spans="1:3" ht="15" customHeight="1">
      <c r="A253" s="98" t="s">
        <v>515</v>
      </c>
      <c r="B253" s="98" t="s">
        <v>147</v>
      </c>
      <c r="C253" s="98" t="s">
        <v>94</v>
      </c>
    </row>
    <row r="254" spans="1:3" ht="15" customHeight="1">
      <c r="A254" s="98" t="s">
        <v>515</v>
      </c>
      <c r="B254" s="98" t="s">
        <v>148</v>
      </c>
      <c r="C254" s="98" t="s">
        <v>94</v>
      </c>
    </row>
    <row r="255" spans="1:3" ht="15" customHeight="1">
      <c r="A255" s="98" t="s">
        <v>515</v>
      </c>
      <c r="B255" s="98" t="s">
        <v>149</v>
      </c>
      <c r="C255" s="98" t="s">
        <v>98</v>
      </c>
    </row>
    <row r="256" spans="1:3" ht="15" customHeight="1">
      <c r="A256" s="98" t="s">
        <v>515</v>
      </c>
      <c r="B256" s="98" t="s">
        <v>150</v>
      </c>
      <c r="C256" s="98" t="s">
        <v>98</v>
      </c>
    </row>
    <row r="257" spans="1:3" ht="15" customHeight="1">
      <c r="A257" s="98" t="s">
        <v>515</v>
      </c>
      <c r="B257" s="98" t="s">
        <v>151</v>
      </c>
      <c r="C257" s="98" t="s">
        <v>122</v>
      </c>
    </row>
    <row r="258" spans="1:3" ht="15" customHeight="1">
      <c r="A258" s="98" t="s">
        <v>515</v>
      </c>
      <c r="B258" s="98" t="s">
        <v>152</v>
      </c>
      <c r="C258" s="98" t="s">
        <v>96</v>
      </c>
    </row>
    <row r="259" spans="1:3" ht="15" customHeight="1">
      <c r="A259" s="98" t="s">
        <v>515</v>
      </c>
      <c r="B259" s="98" t="s">
        <v>153</v>
      </c>
      <c r="C259" s="98" t="s">
        <v>96</v>
      </c>
    </row>
    <row r="260" spans="1:3" ht="15" customHeight="1">
      <c r="A260" s="98" t="s">
        <v>515</v>
      </c>
      <c r="B260" s="98" t="s">
        <v>154</v>
      </c>
      <c r="C260" s="98" t="s">
        <v>98</v>
      </c>
    </row>
    <row r="261" spans="1:3" ht="15" customHeight="1">
      <c r="A261" s="98" t="s">
        <v>515</v>
      </c>
      <c r="B261" s="98" t="s">
        <v>155</v>
      </c>
      <c r="C261" s="98" t="s">
        <v>95</v>
      </c>
    </row>
    <row r="262" spans="1:3" ht="15" customHeight="1">
      <c r="A262" s="98" t="s">
        <v>515</v>
      </c>
      <c r="B262" s="98" t="s">
        <v>156</v>
      </c>
      <c r="C262" s="98" t="s">
        <v>96</v>
      </c>
    </row>
    <row r="263" spans="1:3" ht="15" customHeight="1">
      <c r="A263" s="98" t="s">
        <v>515</v>
      </c>
      <c r="B263" s="98" t="s">
        <v>157</v>
      </c>
      <c r="C263" s="98" t="s">
        <v>96</v>
      </c>
    </row>
    <row r="264" spans="1:3" ht="15" customHeight="1">
      <c r="A264" s="98" t="s">
        <v>515</v>
      </c>
      <c r="B264" s="98" t="s">
        <v>158</v>
      </c>
      <c r="C264" s="98" t="s">
        <v>96</v>
      </c>
    </row>
    <row r="265" spans="1:3" ht="15" customHeight="1">
      <c r="A265" s="98" t="s">
        <v>515</v>
      </c>
      <c r="B265" s="98" t="s">
        <v>159</v>
      </c>
      <c r="C265" s="98" t="s">
        <v>96</v>
      </c>
    </row>
    <row r="266" spans="1:3" ht="15" customHeight="1">
      <c r="A266" s="98" t="s">
        <v>515</v>
      </c>
      <c r="B266" s="98" t="s">
        <v>160</v>
      </c>
      <c r="C266" s="98" t="s">
        <v>101</v>
      </c>
    </row>
    <row r="267" spans="1:3" ht="15" customHeight="1">
      <c r="A267" s="98" t="s">
        <v>515</v>
      </c>
      <c r="B267" s="98" t="s">
        <v>161</v>
      </c>
      <c r="C267" s="98" t="s">
        <v>95</v>
      </c>
    </row>
    <row r="268" spans="1:3" ht="15" customHeight="1">
      <c r="A268" s="98" t="s">
        <v>515</v>
      </c>
      <c r="B268" s="98" t="s">
        <v>162</v>
      </c>
      <c r="C268" s="98" t="s">
        <v>93</v>
      </c>
    </row>
    <row r="269" spans="1:3" ht="15" customHeight="1">
      <c r="A269" s="98" t="s">
        <v>515</v>
      </c>
      <c r="B269" s="98" t="s">
        <v>163</v>
      </c>
      <c r="C269" s="98" t="s">
        <v>94</v>
      </c>
    </row>
    <row r="270" spans="1:3" ht="15" customHeight="1">
      <c r="A270" s="98" t="s">
        <v>515</v>
      </c>
      <c r="B270" s="98" t="s">
        <v>164</v>
      </c>
      <c r="C270" s="98" t="s">
        <v>97</v>
      </c>
    </row>
    <row r="271" spans="1:3" ht="15" customHeight="1">
      <c r="A271" s="98" t="s">
        <v>515</v>
      </c>
      <c r="B271" s="98" t="s">
        <v>165</v>
      </c>
      <c r="C271" s="98" t="s">
        <v>97</v>
      </c>
    </row>
    <row r="272" spans="1:3" ht="15" customHeight="1">
      <c r="A272" s="98" t="s">
        <v>515</v>
      </c>
      <c r="B272" s="98" t="s">
        <v>166</v>
      </c>
      <c r="C272" s="98" t="s">
        <v>95</v>
      </c>
    </row>
    <row r="273" spans="1:3" ht="15" customHeight="1">
      <c r="A273" s="98" t="s">
        <v>515</v>
      </c>
      <c r="B273" s="98" t="s">
        <v>167</v>
      </c>
      <c r="C273" s="98" t="s">
        <v>94</v>
      </c>
    </row>
    <row r="274" spans="1:3" ht="15" customHeight="1">
      <c r="A274" s="98" t="s">
        <v>515</v>
      </c>
      <c r="B274" s="98" t="s">
        <v>168</v>
      </c>
      <c r="C274" s="98" t="s">
        <v>94</v>
      </c>
    </row>
    <row r="275" spans="1:3" ht="15" customHeight="1">
      <c r="A275" s="98" t="s">
        <v>515</v>
      </c>
      <c r="B275" s="98" t="s">
        <v>169</v>
      </c>
      <c r="C275" s="98" t="s">
        <v>95</v>
      </c>
    </row>
    <row r="276" spans="1:3" ht="15" customHeight="1">
      <c r="A276" s="98" t="s">
        <v>515</v>
      </c>
      <c r="B276" s="98" t="s">
        <v>170</v>
      </c>
      <c r="C276" s="98" t="s">
        <v>95</v>
      </c>
    </row>
    <row r="277" spans="1:3" ht="15" customHeight="1">
      <c r="A277" s="98" t="s">
        <v>515</v>
      </c>
      <c r="B277" s="98" t="s">
        <v>171</v>
      </c>
      <c r="C277" s="98" t="s">
        <v>95</v>
      </c>
    </row>
    <row r="278" spans="1:3" ht="15" customHeight="1">
      <c r="A278" s="98" t="s">
        <v>515</v>
      </c>
      <c r="B278" s="98" t="s">
        <v>172</v>
      </c>
      <c r="C278" s="98" t="s">
        <v>95</v>
      </c>
    </row>
    <row r="279" spans="1:3" ht="15" customHeight="1">
      <c r="A279" s="98" t="s">
        <v>515</v>
      </c>
      <c r="B279" s="98" t="s">
        <v>173</v>
      </c>
      <c r="C279" s="98" t="s">
        <v>93</v>
      </c>
    </row>
    <row r="280" spans="1:3" ht="15" customHeight="1">
      <c r="A280" s="98" t="s">
        <v>515</v>
      </c>
      <c r="B280" s="98" t="s">
        <v>174</v>
      </c>
      <c r="C280" s="98" t="s">
        <v>95</v>
      </c>
    </row>
    <row r="281" spans="1:3" ht="15" customHeight="1">
      <c r="A281" s="98" t="s">
        <v>515</v>
      </c>
      <c r="B281" s="98" t="s">
        <v>175</v>
      </c>
      <c r="C281" s="98" t="s">
        <v>95</v>
      </c>
    </row>
    <row r="282" spans="1:3" ht="15" customHeight="1">
      <c r="A282" s="98" t="s">
        <v>515</v>
      </c>
      <c r="B282" s="98" t="s">
        <v>176</v>
      </c>
      <c r="C282" s="98" t="s">
        <v>95</v>
      </c>
    </row>
    <row r="283" spans="1:3" ht="15" customHeight="1">
      <c r="A283" s="98" t="s">
        <v>515</v>
      </c>
      <c r="B283" s="98" t="s">
        <v>177</v>
      </c>
      <c r="C283" s="98" t="s">
        <v>95</v>
      </c>
    </row>
    <row r="284" spans="1:3" ht="15" customHeight="1">
      <c r="A284" s="98" t="s">
        <v>515</v>
      </c>
      <c r="B284" s="98" t="s">
        <v>178</v>
      </c>
      <c r="C284" s="98" t="s">
        <v>95</v>
      </c>
    </row>
    <row r="285" spans="1:3" ht="15" customHeight="1">
      <c r="A285" s="98" t="s">
        <v>515</v>
      </c>
      <c r="B285" s="98" t="s">
        <v>179</v>
      </c>
      <c r="C285" s="98" t="s">
        <v>95</v>
      </c>
    </row>
    <row r="286" spans="1:3" ht="15" customHeight="1">
      <c r="A286" s="98" t="s">
        <v>515</v>
      </c>
      <c r="B286" s="98" t="s">
        <v>180</v>
      </c>
      <c r="C286" s="98" t="s">
        <v>95</v>
      </c>
    </row>
    <row r="287" spans="1:3" ht="15" customHeight="1">
      <c r="A287" s="98" t="s">
        <v>515</v>
      </c>
      <c r="B287" s="98" t="s">
        <v>181</v>
      </c>
      <c r="C287" s="98" t="s">
        <v>95</v>
      </c>
    </row>
    <row r="288" spans="1:3" ht="15" customHeight="1">
      <c r="A288" s="98" t="s">
        <v>515</v>
      </c>
      <c r="B288" s="98" t="s">
        <v>182</v>
      </c>
      <c r="C288" s="98" t="s">
        <v>95</v>
      </c>
    </row>
    <row r="289" spans="1:3" ht="15" customHeight="1">
      <c r="A289" s="98" t="s">
        <v>515</v>
      </c>
      <c r="B289" s="98" t="s">
        <v>183</v>
      </c>
      <c r="C289" s="98" t="s">
        <v>93</v>
      </c>
    </row>
    <row r="290" spans="1:3" ht="15" customHeight="1">
      <c r="A290" s="98" t="s">
        <v>515</v>
      </c>
      <c r="B290" s="98" t="s">
        <v>184</v>
      </c>
      <c r="C290" s="98" t="s">
        <v>95</v>
      </c>
    </row>
    <row r="291" spans="1:3" ht="15" customHeight="1">
      <c r="A291" s="98" t="s">
        <v>515</v>
      </c>
      <c r="B291" s="98" t="s">
        <v>185</v>
      </c>
      <c r="C291" s="98" t="s">
        <v>95</v>
      </c>
    </row>
    <row r="292" spans="1:3" ht="15" customHeight="1">
      <c r="A292" s="98" t="s">
        <v>515</v>
      </c>
      <c r="B292" s="98" t="s">
        <v>186</v>
      </c>
      <c r="C292" s="98" t="s">
        <v>123</v>
      </c>
    </row>
    <row r="293" spans="1:3" ht="15" customHeight="1">
      <c r="A293" s="98" t="s">
        <v>515</v>
      </c>
      <c r="B293" s="98" t="s">
        <v>187</v>
      </c>
      <c r="C293" s="98" t="s">
        <v>93</v>
      </c>
    </row>
    <row r="294" spans="1:3" ht="15" customHeight="1">
      <c r="A294" s="98" t="s">
        <v>515</v>
      </c>
      <c r="B294" s="98" t="s">
        <v>188</v>
      </c>
      <c r="C294" s="98" t="s">
        <v>93</v>
      </c>
    </row>
    <row r="295" spans="1:3" ht="15" customHeight="1">
      <c r="A295" s="98" t="s">
        <v>515</v>
      </c>
      <c r="B295" s="98" t="s">
        <v>189</v>
      </c>
      <c r="C295" s="98" t="s">
        <v>93</v>
      </c>
    </row>
    <row r="296" spans="1:3" ht="15" customHeight="1">
      <c r="A296" s="98" t="s">
        <v>515</v>
      </c>
      <c r="B296" s="98" t="s">
        <v>190</v>
      </c>
      <c r="C296" s="98" t="s">
        <v>94</v>
      </c>
    </row>
    <row r="297" spans="1:3" ht="15" customHeight="1">
      <c r="A297" s="98" t="s">
        <v>515</v>
      </c>
      <c r="B297" s="98" t="s">
        <v>191</v>
      </c>
      <c r="C297" s="98" t="s">
        <v>100</v>
      </c>
    </row>
    <row r="298" spans="1:3" ht="15" customHeight="1">
      <c r="A298" s="98" t="s">
        <v>515</v>
      </c>
      <c r="B298" s="98" t="s">
        <v>192</v>
      </c>
      <c r="C298" s="98" t="s">
        <v>95</v>
      </c>
    </row>
    <row r="299" spans="1:3" ht="15" customHeight="1">
      <c r="A299" s="98" t="s">
        <v>515</v>
      </c>
      <c r="B299" s="98" t="s">
        <v>193</v>
      </c>
      <c r="C299" s="98" t="s">
        <v>94</v>
      </c>
    </row>
    <row r="300" spans="1:3" ht="15" customHeight="1">
      <c r="A300" s="98" t="s">
        <v>515</v>
      </c>
      <c r="B300" s="98" t="s">
        <v>194</v>
      </c>
      <c r="C300" s="98" t="s">
        <v>95</v>
      </c>
    </row>
    <row r="301" spans="1:3" ht="15" customHeight="1">
      <c r="A301" s="98" t="s">
        <v>515</v>
      </c>
      <c r="B301" s="98" t="s">
        <v>195</v>
      </c>
      <c r="C301" s="98" t="s">
        <v>95</v>
      </c>
    </row>
    <row r="302" spans="1:3" ht="15" customHeight="1">
      <c r="A302" s="98" t="s">
        <v>515</v>
      </c>
      <c r="B302" s="98" t="s">
        <v>196</v>
      </c>
      <c r="C302" s="98" t="s">
        <v>95</v>
      </c>
    </row>
    <row r="303" spans="1:3" ht="15" customHeight="1">
      <c r="A303" s="98" t="s">
        <v>515</v>
      </c>
      <c r="B303" s="98" t="s">
        <v>197</v>
      </c>
      <c r="C303" s="98" t="s">
        <v>101</v>
      </c>
    </row>
    <row r="304" spans="1:3" ht="15" customHeight="1">
      <c r="A304" s="98" t="s">
        <v>515</v>
      </c>
      <c r="B304" s="98" t="s">
        <v>198</v>
      </c>
      <c r="C304" s="98" t="s">
        <v>97</v>
      </c>
    </row>
    <row r="305" spans="1:3" ht="15" customHeight="1">
      <c r="A305" s="98" t="s">
        <v>515</v>
      </c>
      <c r="B305" s="98" t="s">
        <v>199</v>
      </c>
      <c r="C305" s="98" t="s">
        <v>97</v>
      </c>
    </row>
    <row r="306" spans="1:3" ht="15" customHeight="1">
      <c r="A306" s="98" t="s">
        <v>515</v>
      </c>
      <c r="B306" s="98" t="s">
        <v>200</v>
      </c>
      <c r="C306" s="98" t="s">
        <v>96</v>
      </c>
    </row>
    <row r="307" spans="1:3" ht="15" customHeight="1">
      <c r="A307" s="98" t="s">
        <v>515</v>
      </c>
      <c r="B307" s="98" t="s">
        <v>201</v>
      </c>
      <c r="C307" s="98" t="s">
        <v>96</v>
      </c>
    </row>
    <row r="308" spans="1:3" ht="15" customHeight="1">
      <c r="A308" s="98" t="s">
        <v>515</v>
      </c>
      <c r="B308" s="98" t="s">
        <v>202</v>
      </c>
      <c r="C308" s="98" t="s">
        <v>94</v>
      </c>
    </row>
    <row r="309" spans="1:3" ht="15" customHeight="1">
      <c r="A309" s="98" t="s">
        <v>515</v>
      </c>
      <c r="B309" s="98" t="s">
        <v>203</v>
      </c>
      <c r="C309" s="98" t="s">
        <v>93</v>
      </c>
    </row>
    <row r="310" spans="1:3" ht="15" customHeight="1">
      <c r="A310" s="98" t="s">
        <v>515</v>
      </c>
      <c r="B310" s="98" t="s">
        <v>204</v>
      </c>
      <c r="C310" s="98" t="s">
        <v>96</v>
      </c>
    </row>
    <row r="311" spans="1:3" ht="15" customHeight="1">
      <c r="A311" s="98" t="s">
        <v>515</v>
      </c>
      <c r="B311" s="98" t="s">
        <v>205</v>
      </c>
      <c r="C311" s="98" t="s">
        <v>96</v>
      </c>
    </row>
    <row r="312" spans="1:3" ht="15" customHeight="1">
      <c r="A312" s="98" t="s">
        <v>515</v>
      </c>
      <c r="B312" s="98" t="s">
        <v>206</v>
      </c>
      <c r="C312" s="98" t="s">
        <v>96</v>
      </c>
    </row>
    <row r="313" spans="1:3" ht="15" customHeight="1">
      <c r="A313" s="98" t="s">
        <v>515</v>
      </c>
      <c r="B313" s="98" t="s">
        <v>207</v>
      </c>
      <c r="C313" s="98" t="s">
        <v>95</v>
      </c>
    </row>
    <row r="314" spans="1:3" ht="15" customHeight="1">
      <c r="A314" s="98" t="s">
        <v>515</v>
      </c>
      <c r="B314" s="98" t="s">
        <v>208</v>
      </c>
      <c r="C314" s="98" t="s">
        <v>95</v>
      </c>
    </row>
    <row r="315" spans="1:3" ht="15" customHeight="1">
      <c r="A315" s="98" t="s">
        <v>515</v>
      </c>
      <c r="B315" s="98" t="s">
        <v>209</v>
      </c>
      <c r="C315" s="98" t="s">
        <v>95</v>
      </c>
    </row>
    <row r="316" spans="1:3" ht="15" customHeight="1">
      <c r="A316" s="98" t="s">
        <v>515</v>
      </c>
      <c r="B316" s="98" t="s">
        <v>210</v>
      </c>
      <c r="C316" s="98" t="s">
        <v>95</v>
      </c>
    </row>
    <row r="317" spans="1:3" ht="15" customHeight="1">
      <c r="A317" s="98" t="s">
        <v>515</v>
      </c>
      <c r="B317" s="98" t="s">
        <v>211</v>
      </c>
      <c r="C317" s="98" t="s">
        <v>95</v>
      </c>
    </row>
    <row r="318" spans="1:3" ht="15" customHeight="1">
      <c r="A318" s="98" t="s">
        <v>515</v>
      </c>
      <c r="B318" s="98" t="s">
        <v>212</v>
      </c>
      <c r="C318" s="98" t="s">
        <v>95</v>
      </c>
    </row>
    <row r="319" spans="1:3" ht="15" customHeight="1">
      <c r="A319" s="98" t="s">
        <v>515</v>
      </c>
      <c r="B319" s="98" t="s">
        <v>213</v>
      </c>
      <c r="C319" s="98" t="s">
        <v>96</v>
      </c>
    </row>
    <row r="320" spans="1:3" ht="15" customHeight="1">
      <c r="A320" s="98" t="s">
        <v>515</v>
      </c>
      <c r="B320" s="98" t="s">
        <v>214</v>
      </c>
      <c r="C320" s="98" t="s">
        <v>95</v>
      </c>
    </row>
    <row r="321" spans="1:3" ht="15" customHeight="1">
      <c r="A321" s="98" t="s">
        <v>515</v>
      </c>
      <c r="B321" s="98" t="s">
        <v>215</v>
      </c>
      <c r="C321" s="98" t="s">
        <v>96</v>
      </c>
    </row>
    <row r="322" spans="1:3" ht="15" customHeight="1">
      <c r="A322" s="98" t="s">
        <v>515</v>
      </c>
      <c r="B322" s="98" t="s">
        <v>216</v>
      </c>
      <c r="C322" s="98" t="s">
        <v>101</v>
      </c>
    </row>
    <row r="323" spans="1:3" ht="15" customHeight="1">
      <c r="A323" s="98" t="s">
        <v>515</v>
      </c>
      <c r="B323" s="98" t="s">
        <v>217</v>
      </c>
      <c r="C323" s="98" t="s">
        <v>96</v>
      </c>
    </row>
    <row r="324" spans="1:3" ht="15" customHeight="1">
      <c r="A324" s="98" t="s">
        <v>515</v>
      </c>
      <c r="B324" s="98" t="s">
        <v>218</v>
      </c>
      <c r="C324" s="98" t="s">
        <v>95</v>
      </c>
    </row>
    <row r="325" spans="1:3" ht="15" customHeight="1">
      <c r="A325" s="98" t="s">
        <v>515</v>
      </c>
      <c r="B325" s="98" t="s">
        <v>219</v>
      </c>
      <c r="C325" s="98" t="s">
        <v>93</v>
      </c>
    </row>
    <row r="326" spans="1:3" ht="15" customHeight="1">
      <c r="A326" s="98" t="s">
        <v>515</v>
      </c>
      <c r="B326" s="98" t="s">
        <v>220</v>
      </c>
      <c r="C326" s="98" t="s">
        <v>93</v>
      </c>
    </row>
    <row r="327" spans="1:3" ht="15" customHeight="1">
      <c r="A327" s="98" t="s">
        <v>515</v>
      </c>
      <c r="B327" s="98" t="s">
        <v>221</v>
      </c>
      <c r="C327" s="98" t="s">
        <v>96</v>
      </c>
    </row>
    <row r="328" spans="1:3" ht="15" customHeight="1">
      <c r="A328" s="98" t="s">
        <v>515</v>
      </c>
      <c r="B328" s="98" t="s">
        <v>222</v>
      </c>
      <c r="C328" s="98" t="s">
        <v>96</v>
      </c>
    </row>
    <row r="329" spans="1:3" ht="15" customHeight="1">
      <c r="A329" s="98" t="s">
        <v>515</v>
      </c>
      <c r="B329" s="98" t="s">
        <v>223</v>
      </c>
      <c r="C329" s="98" t="s">
        <v>93</v>
      </c>
    </row>
    <row r="330" spans="1:3" ht="15" customHeight="1">
      <c r="A330" s="98" t="s">
        <v>515</v>
      </c>
      <c r="B330" s="98" t="s">
        <v>224</v>
      </c>
      <c r="C330" s="98" t="s">
        <v>93</v>
      </c>
    </row>
    <row r="331" spans="1:3" ht="15" customHeight="1">
      <c r="A331" s="98" t="s">
        <v>515</v>
      </c>
      <c r="B331" s="98" t="s">
        <v>225</v>
      </c>
      <c r="C331" s="98" t="s">
        <v>94</v>
      </c>
    </row>
    <row r="332" spans="1:3" ht="15" customHeight="1">
      <c r="A332" s="98" t="s">
        <v>515</v>
      </c>
      <c r="B332" s="98" t="s">
        <v>226</v>
      </c>
      <c r="C332" s="98" t="s">
        <v>94</v>
      </c>
    </row>
    <row r="333" spans="1:3" ht="15" customHeight="1">
      <c r="A333" s="98" t="s">
        <v>515</v>
      </c>
      <c r="B333" s="98" t="s">
        <v>227</v>
      </c>
      <c r="C333" s="98" t="s">
        <v>95</v>
      </c>
    </row>
    <row r="334" spans="1:3" ht="15" customHeight="1">
      <c r="A334" s="98" t="s">
        <v>515</v>
      </c>
      <c r="B334" s="98" t="s">
        <v>228</v>
      </c>
      <c r="C334" s="98" t="s">
        <v>95</v>
      </c>
    </row>
    <row r="335" spans="1:3" ht="15" customHeight="1">
      <c r="A335" s="98" t="s">
        <v>515</v>
      </c>
      <c r="B335" s="98" t="s">
        <v>229</v>
      </c>
      <c r="C335" s="98" t="s">
        <v>97</v>
      </c>
    </row>
    <row r="336" spans="1:3" ht="15" customHeight="1">
      <c r="A336" s="98" t="s">
        <v>515</v>
      </c>
      <c r="B336" s="98" t="s">
        <v>230</v>
      </c>
      <c r="C336" s="98" t="s">
        <v>97</v>
      </c>
    </row>
    <row r="337" spans="1:3" ht="15" customHeight="1">
      <c r="A337" s="98" t="s">
        <v>515</v>
      </c>
      <c r="B337" s="98" t="s">
        <v>231</v>
      </c>
      <c r="C337" s="98" t="s">
        <v>95</v>
      </c>
    </row>
    <row r="338" spans="1:3" ht="15" customHeight="1">
      <c r="A338" s="98" t="s">
        <v>515</v>
      </c>
      <c r="B338" s="98" t="s">
        <v>232</v>
      </c>
      <c r="C338" s="98" t="s">
        <v>94</v>
      </c>
    </row>
    <row r="339" spans="1:3" ht="15" customHeight="1">
      <c r="A339" s="98" t="s">
        <v>515</v>
      </c>
      <c r="B339" s="98" t="s">
        <v>233</v>
      </c>
      <c r="C339" s="98" t="s">
        <v>93</v>
      </c>
    </row>
    <row r="340" spans="1:3" ht="15" customHeight="1">
      <c r="A340" s="98" t="s">
        <v>515</v>
      </c>
      <c r="B340" s="98" t="s">
        <v>234</v>
      </c>
      <c r="C340" s="98" t="s">
        <v>95</v>
      </c>
    </row>
    <row r="341" spans="1:3" ht="15" customHeight="1">
      <c r="A341" s="98" t="s">
        <v>515</v>
      </c>
      <c r="B341" s="98" t="s">
        <v>235</v>
      </c>
      <c r="C341" s="98" t="s">
        <v>95</v>
      </c>
    </row>
    <row r="342" spans="1:3" ht="15" customHeight="1">
      <c r="A342" s="98" t="s">
        <v>515</v>
      </c>
      <c r="B342" s="98" t="s">
        <v>236</v>
      </c>
      <c r="C342" s="98" t="s">
        <v>96</v>
      </c>
    </row>
    <row r="343" spans="1:3" ht="15" customHeight="1">
      <c r="A343" s="98" t="s">
        <v>515</v>
      </c>
      <c r="B343" s="98" t="s">
        <v>237</v>
      </c>
      <c r="C343" s="98" t="s">
        <v>95</v>
      </c>
    </row>
    <row r="344" spans="1:3" ht="15" customHeight="1">
      <c r="A344" s="98" t="s">
        <v>515</v>
      </c>
      <c r="B344" s="98" t="s">
        <v>238</v>
      </c>
      <c r="C344" s="98" t="s">
        <v>96</v>
      </c>
    </row>
    <row r="345" spans="1:3" ht="15" customHeight="1">
      <c r="A345" s="98" t="s">
        <v>515</v>
      </c>
      <c r="B345" s="98" t="s">
        <v>239</v>
      </c>
      <c r="C345" s="98" t="s">
        <v>95</v>
      </c>
    </row>
    <row r="346" spans="1:3" ht="15" customHeight="1">
      <c r="A346" s="98" t="s">
        <v>515</v>
      </c>
      <c r="B346" s="98" t="s">
        <v>240</v>
      </c>
      <c r="C346" s="98" t="s">
        <v>101</v>
      </c>
    </row>
    <row r="347" spans="1:3" ht="15" customHeight="1">
      <c r="A347" s="98" t="s">
        <v>515</v>
      </c>
      <c r="B347" s="98" t="s">
        <v>241</v>
      </c>
      <c r="C347" s="98" t="s">
        <v>95</v>
      </c>
    </row>
    <row r="348" spans="1:3" ht="15" customHeight="1">
      <c r="A348" s="98" t="s">
        <v>515</v>
      </c>
      <c r="B348" s="98" t="s">
        <v>242</v>
      </c>
      <c r="C348" s="98" t="s">
        <v>96</v>
      </c>
    </row>
    <row r="349" spans="1:3" ht="15" customHeight="1">
      <c r="A349" s="98" t="s">
        <v>515</v>
      </c>
      <c r="B349" s="98" t="s">
        <v>243</v>
      </c>
      <c r="C349" s="98" t="s">
        <v>95</v>
      </c>
    </row>
    <row r="350" spans="1:3" ht="15" customHeight="1">
      <c r="A350" s="98" t="s">
        <v>515</v>
      </c>
      <c r="B350" s="98" t="s">
        <v>244</v>
      </c>
      <c r="C350" s="98" t="s">
        <v>96</v>
      </c>
    </row>
    <row r="351" spans="1:3" ht="15" customHeight="1">
      <c r="A351" s="98" t="s">
        <v>515</v>
      </c>
      <c r="B351" s="98" t="s">
        <v>245</v>
      </c>
      <c r="C351" s="98" t="s">
        <v>94</v>
      </c>
    </row>
    <row r="352" spans="1:3" ht="15" customHeight="1">
      <c r="A352" s="98" t="s">
        <v>515</v>
      </c>
      <c r="B352" s="98" t="s">
        <v>246</v>
      </c>
      <c r="C352" s="98" t="s">
        <v>94</v>
      </c>
    </row>
    <row r="353" spans="1:3" ht="15" customHeight="1">
      <c r="A353" s="98" t="s">
        <v>515</v>
      </c>
      <c r="B353" s="98" t="s">
        <v>247</v>
      </c>
      <c r="C353" s="98" t="s">
        <v>94</v>
      </c>
    </row>
    <row r="354" spans="1:3" ht="15" customHeight="1">
      <c r="A354" s="98" t="s">
        <v>515</v>
      </c>
      <c r="B354" s="98" t="s">
        <v>248</v>
      </c>
      <c r="C354" s="98" t="s">
        <v>94</v>
      </c>
    </row>
    <row r="355" spans="1:3" ht="15" customHeight="1">
      <c r="A355" s="98" t="s">
        <v>515</v>
      </c>
      <c r="B355" s="98" t="s">
        <v>249</v>
      </c>
      <c r="C355" s="98" t="s">
        <v>95</v>
      </c>
    </row>
    <row r="356" spans="1:3" ht="15" customHeight="1">
      <c r="A356" s="98" t="s">
        <v>515</v>
      </c>
      <c r="B356" s="98" t="s">
        <v>250</v>
      </c>
      <c r="C356" s="98" t="s">
        <v>95</v>
      </c>
    </row>
    <row r="357" spans="1:3" ht="15" customHeight="1">
      <c r="A357" s="98" t="s">
        <v>515</v>
      </c>
      <c r="B357" s="98" t="s">
        <v>251</v>
      </c>
      <c r="C357" s="98" t="s">
        <v>94</v>
      </c>
    </row>
    <row r="358" spans="1:3" ht="15" customHeight="1">
      <c r="A358" s="98" t="s">
        <v>515</v>
      </c>
      <c r="B358" s="98" t="s">
        <v>252</v>
      </c>
      <c r="C358" s="98" t="s">
        <v>95</v>
      </c>
    </row>
    <row r="359" spans="1:3" ht="15" customHeight="1">
      <c r="A359" s="98" t="s">
        <v>515</v>
      </c>
      <c r="B359" s="98" t="s">
        <v>253</v>
      </c>
      <c r="C359" s="98" t="s">
        <v>94</v>
      </c>
    </row>
    <row r="360" spans="1:3" ht="15" customHeight="1">
      <c r="A360" s="98" t="s">
        <v>515</v>
      </c>
      <c r="B360" s="98" t="s">
        <v>254</v>
      </c>
      <c r="C360" s="98" t="s">
        <v>94</v>
      </c>
    </row>
    <row r="361" spans="1:3" ht="15" customHeight="1">
      <c r="A361" s="98" t="s">
        <v>515</v>
      </c>
      <c r="B361" s="98" t="s">
        <v>255</v>
      </c>
      <c r="C361" s="98" t="s">
        <v>97</v>
      </c>
    </row>
    <row r="362" spans="1:3" ht="15" customHeight="1">
      <c r="A362" s="98" t="s">
        <v>515</v>
      </c>
      <c r="B362" s="98" t="s">
        <v>256</v>
      </c>
      <c r="C362" s="98" t="s">
        <v>95</v>
      </c>
    </row>
    <row r="363" spans="1:3" ht="15" customHeight="1">
      <c r="A363" s="98" t="s">
        <v>515</v>
      </c>
      <c r="B363" s="98" t="s">
        <v>257</v>
      </c>
      <c r="C363" s="98" t="s">
        <v>94</v>
      </c>
    </row>
    <row r="364" spans="1:3" ht="15" customHeight="1">
      <c r="A364" s="98" t="s">
        <v>515</v>
      </c>
      <c r="B364" s="98" t="s">
        <v>258</v>
      </c>
      <c r="C364" s="98" t="s">
        <v>94</v>
      </c>
    </row>
    <row r="365" spans="1:3" ht="15" customHeight="1">
      <c r="A365" s="98" t="s">
        <v>515</v>
      </c>
      <c r="B365" s="98" t="s">
        <v>259</v>
      </c>
      <c r="C365" s="98" t="s">
        <v>94</v>
      </c>
    </row>
    <row r="366" spans="1:3" ht="15" customHeight="1">
      <c r="A366" s="98" t="s">
        <v>515</v>
      </c>
      <c r="B366" s="98" t="s">
        <v>260</v>
      </c>
      <c r="C366" s="98" t="s">
        <v>94</v>
      </c>
    </row>
    <row r="367" spans="1:3" ht="15" customHeight="1">
      <c r="A367" s="98" t="s">
        <v>515</v>
      </c>
      <c r="B367" s="98" t="s">
        <v>261</v>
      </c>
      <c r="C367" s="98" t="s">
        <v>96</v>
      </c>
    </row>
    <row r="368" spans="1:3" ht="15" customHeight="1">
      <c r="A368" s="98" t="s">
        <v>515</v>
      </c>
      <c r="B368" s="98" t="s">
        <v>262</v>
      </c>
      <c r="C368" s="98" t="s">
        <v>94</v>
      </c>
    </row>
    <row r="369" spans="1:3" ht="15" customHeight="1">
      <c r="A369" s="98" t="s">
        <v>515</v>
      </c>
      <c r="B369" s="98" t="s">
        <v>263</v>
      </c>
      <c r="C369" s="98" t="s">
        <v>94</v>
      </c>
    </row>
    <row r="370" spans="1:3" ht="15" customHeight="1">
      <c r="A370" s="98" t="s">
        <v>515</v>
      </c>
      <c r="B370" s="98" t="s">
        <v>264</v>
      </c>
      <c r="C370" s="98" t="s">
        <v>93</v>
      </c>
    </row>
    <row r="371" spans="1:3" ht="15" customHeight="1">
      <c r="A371" s="98" t="s">
        <v>515</v>
      </c>
      <c r="B371" s="98" t="s">
        <v>265</v>
      </c>
      <c r="C371" s="98" t="s">
        <v>94</v>
      </c>
    </row>
    <row r="372" spans="1:3" ht="15" customHeight="1">
      <c r="A372" s="98" t="s">
        <v>515</v>
      </c>
      <c r="B372" s="98" t="s">
        <v>266</v>
      </c>
      <c r="C372" s="98" t="s">
        <v>96</v>
      </c>
    </row>
    <row r="373" spans="1:3" ht="15" customHeight="1">
      <c r="A373" s="98" t="s">
        <v>515</v>
      </c>
      <c r="B373" s="98" t="s">
        <v>267</v>
      </c>
      <c r="C373" s="98" t="s">
        <v>96</v>
      </c>
    </row>
    <row r="374" spans="1:3" ht="15" customHeight="1">
      <c r="A374" s="98" t="s">
        <v>515</v>
      </c>
      <c r="B374" s="98" t="s">
        <v>268</v>
      </c>
      <c r="C374" s="98" t="s">
        <v>94</v>
      </c>
    </row>
    <row r="375" spans="1:3" ht="15" customHeight="1">
      <c r="A375" s="98" t="s">
        <v>515</v>
      </c>
      <c r="B375" s="98" t="s">
        <v>269</v>
      </c>
      <c r="C375" s="98" t="s">
        <v>94</v>
      </c>
    </row>
    <row r="376" spans="1:3" ht="15" customHeight="1">
      <c r="A376" s="98" t="s">
        <v>515</v>
      </c>
      <c r="B376" s="98" t="s">
        <v>270</v>
      </c>
      <c r="C376" s="98" t="s">
        <v>94</v>
      </c>
    </row>
    <row r="377" spans="1:3" ht="15" customHeight="1">
      <c r="A377" s="98" t="s">
        <v>515</v>
      </c>
      <c r="B377" s="98" t="s">
        <v>271</v>
      </c>
      <c r="C377" s="98" t="s">
        <v>94</v>
      </c>
    </row>
    <row r="378" spans="1:3" ht="15" customHeight="1">
      <c r="A378" s="98" t="s">
        <v>515</v>
      </c>
      <c r="B378" s="98" t="s">
        <v>272</v>
      </c>
      <c r="C378" s="98" t="s">
        <v>100</v>
      </c>
    </row>
    <row r="379" spans="1:3" ht="15" customHeight="1">
      <c r="A379" s="98" t="s">
        <v>515</v>
      </c>
      <c r="B379" s="98" t="s">
        <v>273</v>
      </c>
      <c r="C379" s="98" t="s">
        <v>95</v>
      </c>
    </row>
    <row r="380" spans="1:3" ht="15" customHeight="1">
      <c r="A380" s="98" t="s">
        <v>515</v>
      </c>
      <c r="B380" s="98" t="s">
        <v>274</v>
      </c>
      <c r="C380" s="98" t="s">
        <v>96</v>
      </c>
    </row>
    <row r="381" spans="1:3" ht="15" customHeight="1">
      <c r="A381" s="98" t="s">
        <v>515</v>
      </c>
      <c r="B381" s="98" t="s">
        <v>275</v>
      </c>
      <c r="C381" s="98" t="s">
        <v>93</v>
      </c>
    </row>
    <row r="382" spans="1:3" ht="15" customHeight="1">
      <c r="A382" s="98" t="s">
        <v>515</v>
      </c>
      <c r="B382" s="98" t="s">
        <v>276</v>
      </c>
      <c r="C382" s="98" t="s">
        <v>94</v>
      </c>
    </row>
    <row r="383" spans="1:3" ht="15" customHeight="1">
      <c r="A383" s="98" t="s">
        <v>515</v>
      </c>
      <c r="B383" s="98" t="s">
        <v>277</v>
      </c>
      <c r="C383" s="98" t="s">
        <v>93</v>
      </c>
    </row>
    <row r="384" spans="1:3" ht="15" customHeight="1">
      <c r="A384" s="98" t="s">
        <v>515</v>
      </c>
      <c r="B384" s="98" t="s">
        <v>278</v>
      </c>
      <c r="C384" s="98" t="s">
        <v>94</v>
      </c>
    </row>
    <row r="385" spans="1:3" ht="15" customHeight="1">
      <c r="A385" s="98" t="s">
        <v>515</v>
      </c>
      <c r="B385" s="98" t="s">
        <v>279</v>
      </c>
      <c r="C385" s="98" t="s">
        <v>93</v>
      </c>
    </row>
    <row r="386" spans="1:3" ht="15" customHeight="1">
      <c r="A386" s="98" t="s">
        <v>515</v>
      </c>
      <c r="B386" s="98" t="s">
        <v>280</v>
      </c>
      <c r="C386" s="98" t="s">
        <v>93</v>
      </c>
    </row>
    <row r="387" spans="1:3" ht="15" customHeight="1">
      <c r="A387" s="98" t="s">
        <v>515</v>
      </c>
      <c r="B387" s="98" t="s">
        <v>281</v>
      </c>
      <c r="C387" s="98" t="s">
        <v>94</v>
      </c>
    </row>
    <row r="388" spans="1:3" ht="15" customHeight="1">
      <c r="A388" s="98" t="s">
        <v>515</v>
      </c>
      <c r="B388" s="98" t="s">
        <v>282</v>
      </c>
      <c r="C388" s="98" t="s">
        <v>96</v>
      </c>
    </row>
    <row r="389" spans="1:3" ht="15" customHeight="1">
      <c r="A389" s="98" t="s">
        <v>515</v>
      </c>
      <c r="B389" s="98" t="s">
        <v>283</v>
      </c>
      <c r="C389" s="98" t="s">
        <v>94</v>
      </c>
    </row>
    <row r="390" spans="1:3" ht="15" customHeight="1">
      <c r="A390" s="98" t="s">
        <v>515</v>
      </c>
      <c r="B390" s="98" t="s">
        <v>284</v>
      </c>
      <c r="C390" s="98" t="s">
        <v>100</v>
      </c>
    </row>
    <row r="391" spans="1:3" ht="15" customHeight="1">
      <c r="A391" s="98" t="s">
        <v>515</v>
      </c>
      <c r="B391" s="98" t="s">
        <v>285</v>
      </c>
      <c r="C391" s="98" t="s">
        <v>95</v>
      </c>
    </row>
    <row r="392" spans="1:3" ht="15" customHeight="1">
      <c r="A392" s="98" t="s">
        <v>515</v>
      </c>
      <c r="B392" s="98" t="s">
        <v>286</v>
      </c>
      <c r="C392" s="98" t="s">
        <v>94</v>
      </c>
    </row>
    <row r="393" spans="1:3" ht="15" customHeight="1">
      <c r="A393" s="98" t="s">
        <v>515</v>
      </c>
      <c r="B393" s="98" t="s">
        <v>287</v>
      </c>
      <c r="C393" s="98" t="s">
        <v>94</v>
      </c>
    </row>
    <row r="394" spans="1:3" ht="15" customHeight="1">
      <c r="A394" s="98" t="s">
        <v>515</v>
      </c>
      <c r="B394" s="98" t="s">
        <v>288</v>
      </c>
      <c r="C394" s="98" t="s">
        <v>95</v>
      </c>
    </row>
    <row r="395" spans="1:3" ht="15" customHeight="1">
      <c r="A395" s="98" t="s">
        <v>515</v>
      </c>
      <c r="B395" s="98" t="s">
        <v>289</v>
      </c>
      <c r="C395" s="98" t="s">
        <v>95</v>
      </c>
    </row>
    <row r="396" spans="1:3" ht="15" customHeight="1">
      <c r="A396" s="98" t="s">
        <v>515</v>
      </c>
      <c r="B396" s="98" t="s">
        <v>290</v>
      </c>
      <c r="C396" s="98" t="s">
        <v>95</v>
      </c>
    </row>
    <row r="397" spans="1:3" ht="15" customHeight="1">
      <c r="A397" s="98" t="s">
        <v>516</v>
      </c>
      <c r="B397" s="98">
        <v>14891</v>
      </c>
      <c r="C397" s="98" t="s">
        <v>95</v>
      </c>
    </row>
    <row r="398" spans="1:3" ht="15" customHeight="1">
      <c r="A398" s="98" t="s">
        <v>516</v>
      </c>
      <c r="B398" s="98">
        <v>11654</v>
      </c>
      <c r="C398" s="98" t="s">
        <v>95</v>
      </c>
    </row>
    <row r="399" spans="1:3" ht="15" customHeight="1">
      <c r="A399" s="98" t="s">
        <v>516</v>
      </c>
      <c r="B399" s="98">
        <v>11655</v>
      </c>
      <c r="C399" s="98" t="s">
        <v>95</v>
      </c>
    </row>
    <row r="400" spans="1:3" ht="15" customHeight="1">
      <c r="A400" s="98" t="s">
        <v>516</v>
      </c>
      <c r="B400" s="98">
        <v>11890</v>
      </c>
      <c r="C400" s="98" t="s">
        <v>96</v>
      </c>
    </row>
    <row r="401" spans="1:3" ht="15" customHeight="1">
      <c r="A401" s="98" t="s">
        <v>516</v>
      </c>
      <c r="B401" s="98">
        <v>12251</v>
      </c>
      <c r="C401" s="98" t="s">
        <v>95</v>
      </c>
    </row>
    <row r="402" spans="1:3" ht="15" customHeight="1">
      <c r="A402" s="98" t="s">
        <v>516</v>
      </c>
      <c r="B402" s="98">
        <v>12284</v>
      </c>
      <c r="C402" s="98" t="s">
        <v>95</v>
      </c>
    </row>
    <row r="403" spans="1:3" ht="15" customHeight="1">
      <c r="A403" s="98" t="s">
        <v>516</v>
      </c>
      <c r="B403" s="98">
        <v>12315</v>
      </c>
      <c r="C403" s="98" t="s">
        <v>95</v>
      </c>
    </row>
    <row r="404" spans="1:3" ht="15" customHeight="1">
      <c r="A404" s="98" t="s">
        <v>516</v>
      </c>
      <c r="B404" s="98">
        <v>12321</v>
      </c>
      <c r="C404" s="98" t="s">
        <v>95</v>
      </c>
    </row>
    <row r="405" spans="1:3" ht="15" customHeight="1">
      <c r="A405" s="98" t="s">
        <v>516</v>
      </c>
      <c r="B405" s="98">
        <v>12328</v>
      </c>
      <c r="C405" s="98" t="s">
        <v>95</v>
      </c>
    </row>
    <row r="406" spans="1:3" ht="15" customHeight="1">
      <c r="A406" s="98" t="s">
        <v>516</v>
      </c>
      <c r="B406" s="98">
        <v>12393</v>
      </c>
      <c r="C406" s="98" t="s">
        <v>95</v>
      </c>
    </row>
    <row r="407" spans="1:3" ht="15" customHeight="1">
      <c r="A407" s="98" t="s">
        <v>516</v>
      </c>
      <c r="B407" s="98">
        <v>12427</v>
      </c>
      <c r="C407" s="98" t="s">
        <v>95</v>
      </c>
    </row>
    <row r="408" spans="1:3" ht="15" customHeight="1">
      <c r="A408" s="98" t="s">
        <v>516</v>
      </c>
      <c r="B408" s="98">
        <v>12433</v>
      </c>
      <c r="C408" s="98" t="s">
        <v>96</v>
      </c>
    </row>
    <row r="409" spans="1:3" ht="15" customHeight="1">
      <c r="A409" s="98" t="s">
        <v>516</v>
      </c>
      <c r="B409" s="98">
        <v>12470</v>
      </c>
      <c r="C409" s="98" t="s">
        <v>96</v>
      </c>
    </row>
    <row r="410" spans="1:3" ht="15" customHeight="1">
      <c r="A410" s="98" t="s">
        <v>516</v>
      </c>
      <c r="B410" s="98">
        <v>13416</v>
      </c>
      <c r="C410" s="98" t="s">
        <v>95</v>
      </c>
    </row>
    <row r="411" spans="1:3" ht="15" customHeight="1">
      <c r="A411" s="98" t="s">
        <v>516</v>
      </c>
      <c r="B411" s="98">
        <v>13435</v>
      </c>
      <c r="C411" s="98" t="s">
        <v>95</v>
      </c>
    </row>
    <row r="412" spans="1:3" ht="15" customHeight="1">
      <c r="A412" s="98" t="s">
        <v>516</v>
      </c>
      <c r="B412" s="98">
        <v>39032</v>
      </c>
      <c r="C412" s="98" t="s">
        <v>94</v>
      </c>
    </row>
    <row r="413" spans="1:3" ht="15" customHeight="1">
      <c r="A413" s="98" t="s">
        <v>516</v>
      </c>
      <c r="B413" s="98" t="s">
        <v>291</v>
      </c>
      <c r="C413" s="98" t="s">
        <v>101</v>
      </c>
    </row>
    <row r="414" spans="1:3" ht="15" customHeight="1">
      <c r="A414" s="98" t="s">
        <v>516</v>
      </c>
      <c r="B414" s="98" t="s">
        <v>292</v>
      </c>
      <c r="C414" s="98" t="s">
        <v>96</v>
      </c>
    </row>
    <row r="415" spans="1:3" ht="15" customHeight="1">
      <c r="A415" s="98" t="s">
        <v>516</v>
      </c>
      <c r="B415" s="98" t="s">
        <v>293</v>
      </c>
      <c r="C415" s="98" t="s">
        <v>96</v>
      </c>
    </row>
    <row r="416" spans="1:3" ht="15" customHeight="1">
      <c r="A416" s="98" t="s">
        <v>516</v>
      </c>
      <c r="B416" s="98" t="s">
        <v>294</v>
      </c>
      <c r="C416" s="98" t="s">
        <v>97</v>
      </c>
    </row>
    <row r="417" spans="1:3" ht="15" customHeight="1">
      <c r="A417" s="98" t="s">
        <v>516</v>
      </c>
      <c r="B417" s="98" t="s">
        <v>295</v>
      </c>
      <c r="C417" s="98" t="s">
        <v>97</v>
      </c>
    </row>
    <row r="418" spans="1:3" ht="15" customHeight="1">
      <c r="A418" s="98" t="s">
        <v>517</v>
      </c>
      <c r="B418" s="98">
        <v>30290</v>
      </c>
      <c r="C418" s="98" t="s">
        <v>98</v>
      </c>
    </row>
    <row r="419" spans="1:3" ht="15" customHeight="1">
      <c r="A419" s="98" t="s">
        <v>517</v>
      </c>
      <c r="B419" s="98">
        <v>34351</v>
      </c>
      <c r="C419" s="98" t="s">
        <v>95</v>
      </c>
    </row>
    <row r="420" spans="1:3" ht="15" customHeight="1">
      <c r="A420" s="98" t="s">
        <v>517</v>
      </c>
      <c r="B420" s="98">
        <v>34501</v>
      </c>
      <c r="C420" s="98" t="s">
        <v>98</v>
      </c>
    </row>
    <row r="421" spans="1:3" ht="15" customHeight="1">
      <c r="A421" s="98" t="s">
        <v>517</v>
      </c>
      <c r="B421" s="98">
        <v>35100</v>
      </c>
      <c r="C421" s="98" t="s">
        <v>94</v>
      </c>
    </row>
    <row r="422" spans="1:3" ht="15" customHeight="1">
      <c r="A422" s="98" t="s">
        <v>517</v>
      </c>
      <c r="B422" s="98">
        <v>35101</v>
      </c>
      <c r="C422" s="98" t="s">
        <v>94</v>
      </c>
    </row>
    <row r="423" spans="1:3" ht="15" customHeight="1">
      <c r="A423" s="98" t="s">
        <v>517</v>
      </c>
      <c r="B423" s="98">
        <v>35110</v>
      </c>
      <c r="C423" s="98" t="s">
        <v>94</v>
      </c>
    </row>
    <row r="424" spans="1:3" ht="15" customHeight="1">
      <c r="A424" s="98" t="s">
        <v>517</v>
      </c>
      <c r="B424" s="98">
        <v>35201</v>
      </c>
      <c r="C424" s="98" t="s">
        <v>94</v>
      </c>
    </row>
    <row r="425" spans="1:3" ht="15" customHeight="1">
      <c r="A425" s="98" t="s">
        <v>517</v>
      </c>
      <c r="B425" s="98">
        <v>35310</v>
      </c>
      <c r="C425" s="98" t="s">
        <v>97</v>
      </c>
    </row>
    <row r="426" spans="1:3" ht="15" customHeight="1">
      <c r="A426" s="98" t="s">
        <v>517</v>
      </c>
      <c r="B426" s="98">
        <v>35600</v>
      </c>
      <c r="C426" s="98" t="s">
        <v>97</v>
      </c>
    </row>
    <row r="427" spans="1:3" ht="15" customHeight="1">
      <c r="A427" s="98" t="s">
        <v>517</v>
      </c>
      <c r="B427" s="98">
        <v>35601</v>
      </c>
      <c r="C427" s="98" t="s">
        <v>97</v>
      </c>
    </row>
    <row r="428" spans="1:3" ht="15" customHeight="1">
      <c r="A428" s="98" t="s">
        <v>517</v>
      </c>
      <c r="B428" s="98">
        <v>35602</v>
      </c>
      <c r="C428" s="98" t="s">
        <v>97</v>
      </c>
    </row>
    <row r="429" spans="1:3" ht="15" customHeight="1">
      <c r="A429" s="98" t="s">
        <v>517</v>
      </c>
      <c r="B429" s="98">
        <v>35701</v>
      </c>
      <c r="C429" s="98" t="s">
        <v>97</v>
      </c>
    </row>
    <row r="430" spans="1:3" ht="15" customHeight="1">
      <c r="A430" s="98" t="s">
        <v>517</v>
      </c>
      <c r="B430" s="98">
        <v>39100</v>
      </c>
      <c r="C430" s="98" t="s">
        <v>98</v>
      </c>
    </row>
    <row r="431" spans="1:3" ht="15" customHeight="1">
      <c r="A431" s="98" t="s">
        <v>517</v>
      </c>
      <c r="B431" s="98">
        <v>40631</v>
      </c>
      <c r="C431" s="98" t="s">
        <v>100</v>
      </c>
    </row>
    <row r="432" spans="1:3" ht="15" customHeight="1">
      <c r="A432" s="98" t="s">
        <v>517</v>
      </c>
      <c r="B432" s="98">
        <v>40641</v>
      </c>
      <c r="C432" s="98" t="s">
        <v>94</v>
      </c>
    </row>
    <row r="433" spans="1:3" ht="15" customHeight="1">
      <c r="A433" s="98" t="s">
        <v>517</v>
      </c>
      <c r="B433" s="98">
        <v>42402</v>
      </c>
      <c r="C433" s="98" t="s">
        <v>98</v>
      </c>
    </row>
    <row r="434" spans="1:3" ht="15" customHeight="1">
      <c r="A434" s="98" t="s">
        <v>517</v>
      </c>
      <c r="B434" s="98">
        <v>42403</v>
      </c>
      <c r="C434" s="98" t="s">
        <v>100</v>
      </c>
    </row>
    <row r="435" spans="1:3" ht="15" customHeight="1">
      <c r="A435" s="98" t="s">
        <v>517</v>
      </c>
      <c r="B435" s="98">
        <v>42411</v>
      </c>
      <c r="C435" s="98" t="s">
        <v>98</v>
      </c>
    </row>
    <row r="436" spans="1:3" ht="15" customHeight="1">
      <c r="A436" s="98" t="s">
        <v>517</v>
      </c>
      <c r="B436" s="98">
        <v>42502</v>
      </c>
      <c r="C436" s="98" t="s">
        <v>98</v>
      </c>
    </row>
    <row r="437" spans="1:3" ht="15" customHeight="1">
      <c r="A437" s="98" t="s">
        <v>517</v>
      </c>
      <c r="B437" s="98">
        <v>42503</v>
      </c>
      <c r="C437" s="98" t="s">
        <v>100</v>
      </c>
    </row>
    <row r="438" spans="1:3" ht="15" customHeight="1">
      <c r="A438" s="98" t="s">
        <v>517</v>
      </c>
      <c r="B438" s="98">
        <v>42701</v>
      </c>
      <c r="C438" s="98" t="s">
        <v>98</v>
      </c>
    </row>
    <row r="439" spans="1:3" ht="15" customHeight="1">
      <c r="A439" s="98" t="s">
        <v>517</v>
      </c>
      <c r="B439" s="98">
        <v>42710</v>
      </c>
      <c r="C439" s="98" t="s">
        <v>98</v>
      </c>
    </row>
    <row r="440" spans="1:3" ht="15" customHeight="1">
      <c r="A440" s="98" t="s">
        <v>517</v>
      </c>
      <c r="B440" s="98">
        <v>42750</v>
      </c>
      <c r="C440" s="98" t="s">
        <v>98</v>
      </c>
    </row>
    <row r="441" spans="1:3" ht="15" customHeight="1">
      <c r="A441" s="98" t="s">
        <v>517</v>
      </c>
      <c r="B441" s="98">
        <v>43801</v>
      </c>
      <c r="C441" s="98" t="s">
        <v>98</v>
      </c>
    </row>
    <row r="442" spans="1:3" ht="15" customHeight="1">
      <c r="A442" s="98" t="s">
        <v>517</v>
      </c>
      <c r="B442" s="98">
        <v>43900</v>
      </c>
      <c r="C442" s="98" t="s">
        <v>100</v>
      </c>
    </row>
    <row r="443" spans="1:3" ht="15" customHeight="1">
      <c r="A443" s="98" t="s">
        <v>517</v>
      </c>
      <c r="B443" s="98">
        <v>44000</v>
      </c>
      <c r="C443" s="98" t="s">
        <v>100</v>
      </c>
    </row>
    <row r="444" spans="1:3" ht="15" customHeight="1">
      <c r="A444" s="98" t="s">
        <v>517</v>
      </c>
      <c r="B444" s="98">
        <v>94021</v>
      </c>
      <c r="C444" s="98" t="s">
        <v>94</v>
      </c>
    </row>
    <row r="445" spans="1:3" ht="15" customHeight="1">
      <c r="A445" s="98" t="s">
        <v>517</v>
      </c>
      <c r="B445" s="98">
        <v>94022</v>
      </c>
      <c r="C445" s="98" t="s">
        <v>94</v>
      </c>
    </row>
    <row r="446" spans="1:3" ht="15" customHeight="1">
      <c r="A446" s="98" t="s">
        <v>517</v>
      </c>
      <c r="B446" s="98">
        <v>94025</v>
      </c>
      <c r="C446" s="98" t="s">
        <v>94</v>
      </c>
    </row>
    <row r="447" spans="1:3" ht="15" customHeight="1">
      <c r="A447" s="98" t="s">
        <v>517</v>
      </c>
      <c r="B447" s="98">
        <v>94026</v>
      </c>
      <c r="C447" s="98" t="s">
        <v>94</v>
      </c>
    </row>
    <row r="448" spans="1:3" ht="15" customHeight="1">
      <c r="A448" s="98" t="s">
        <v>517</v>
      </c>
      <c r="B448" s="98">
        <v>94027</v>
      </c>
      <c r="C448" s="98" t="s">
        <v>94</v>
      </c>
    </row>
    <row r="449" spans="1:3" ht="15" customHeight="1">
      <c r="A449" s="98" t="s">
        <v>517</v>
      </c>
      <c r="B449" s="98">
        <v>94028</v>
      </c>
      <c r="C449" s="98" t="s">
        <v>94</v>
      </c>
    </row>
    <row r="450" spans="1:3" ht="15" customHeight="1">
      <c r="A450" s="98" t="s">
        <v>517</v>
      </c>
      <c r="B450" s="98">
        <v>94029</v>
      </c>
      <c r="C450" s="98" t="s">
        <v>94</v>
      </c>
    </row>
    <row r="451" spans="1:3" ht="15" customHeight="1">
      <c r="A451" s="98" t="s">
        <v>517</v>
      </c>
      <c r="B451" s="98">
        <v>61011</v>
      </c>
      <c r="C451" s="98" t="s">
        <v>97</v>
      </c>
    </row>
    <row r="452" spans="1:3" ht="15" customHeight="1">
      <c r="A452" s="98" t="s">
        <v>517</v>
      </c>
      <c r="B452" s="98">
        <v>61021</v>
      </c>
      <c r="C452" s="98" t="s">
        <v>97</v>
      </c>
    </row>
    <row r="453" spans="1:3" ht="15" customHeight="1">
      <c r="A453" s="98" t="s">
        <v>517</v>
      </c>
      <c r="B453" s="98">
        <v>61031</v>
      </c>
      <c r="C453" s="98" t="s">
        <v>93</v>
      </c>
    </row>
    <row r="454" spans="1:3" ht="15" customHeight="1">
      <c r="A454" s="98" t="s">
        <v>517</v>
      </c>
      <c r="B454" s="98">
        <v>61101</v>
      </c>
      <c r="C454" s="98" t="s">
        <v>100</v>
      </c>
    </row>
    <row r="455" spans="1:3" ht="15" customHeight="1">
      <c r="A455" s="98" t="s">
        <v>517</v>
      </c>
      <c r="B455" s="98">
        <v>62000</v>
      </c>
      <c r="C455" s="98" t="s">
        <v>100</v>
      </c>
    </row>
    <row r="456" spans="1:3" ht="15" customHeight="1">
      <c r="A456" s="98" t="s">
        <v>517</v>
      </c>
      <c r="B456" s="98">
        <v>62001</v>
      </c>
      <c r="C456" s="98" t="s">
        <v>100</v>
      </c>
    </row>
    <row r="457" spans="1:3" ht="15" customHeight="1">
      <c r="A457" s="98" t="s">
        <v>517</v>
      </c>
      <c r="B457" s="98">
        <v>62002</v>
      </c>
      <c r="C457" s="98" t="s">
        <v>100</v>
      </c>
    </row>
    <row r="458" spans="1:3" ht="15" customHeight="1">
      <c r="A458" s="98" t="s">
        <v>517</v>
      </c>
      <c r="B458" s="98">
        <v>62003</v>
      </c>
      <c r="C458" s="98" t="s">
        <v>100</v>
      </c>
    </row>
    <row r="459" spans="1:3" ht="15" customHeight="1">
      <c r="A459" s="98" t="s">
        <v>517</v>
      </c>
      <c r="B459" s="98">
        <v>62004</v>
      </c>
      <c r="C459" s="98" t="s">
        <v>100</v>
      </c>
    </row>
    <row r="460" spans="1:3" ht="15" customHeight="1">
      <c r="A460" s="98" t="s">
        <v>517</v>
      </c>
      <c r="B460" s="98">
        <v>62111</v>
      </c>
      <c r="C460" s="98" t="s">
        <v>98</v>
      </c>
    </row>
    <row r="461" spans="1:3" ht="15" customHeight="1">
      <c r="A461" s="98" t="s">
        <v>517</v>
      </c>
      <c r="B461" s="98">
        <v>62301</v>
      </c>
      <c r="C461" s="98" t="s">
        <v>98</v>
      </c>
    </row>
    <row r="462" spans="1:3" ht="15" customHeight="1">
      <c r="A462" s="98" t="s">
        <v>517</v>
      </c>
      <c r="B462" s="98">
        <v>62511</v>
      </c>
      <c r="C462" s="98" t="s">
        <v>100</v>
      </c>
    </row>
    <row r="463" spans="1:3" ht="15" customHeight="1">
      <c r="A463" s="98" t="s">
        <v>517</v>
      </c>
      <c r="B463" s="98">
        <v>63001</v>
      </c>
      <c r="C463" s="98" t="s">
        <v>100</v>
      </c>
    </row>
    <row r="464" spans="1:3" ht="15" customHeight="1">
      <c r="A464" s="98" t="s">
        <v>517</v>
      </c>
      <c r="B464" s="98">
        <v>63101</v>
      </c>
      <c r="C464" s="98" t="s">
        <v>100</v>
      </c>
    </row>
    <row r="465" spans="1:3" ht="15" customHeight="1">
      <c r="A465" s="98" t="s">
        <v>517</v>
      </c>
      <c r="B465" s="98">
        <v>63301</v>
      </c>
      <c r="C465" s="98" t="s">
        <v>100</v>
      </c>
    </row>
    <row r="466" spans="1:3" ht="15" customHeight="1">
      <c r="A466" s="98" t="s">
        <v>517</v>
      </c>
      <c r="B466" s="98">
        <v>63311</v>
      </c>
      <c r="C466" s="98" t="s">
        <v>100</v>
      </c>
    </row>
    <row r="467" spans="1:3" ht="15" customHeight="1">
      <c r="A467" s="98" t="s">
        <v>517</v>
      </c>
      <c r="B467" s="98">
        <v>63501</v>
      </c>
      <c r="C467" s="98" t="s">
        <v>100</v>
      </c>
    </row>
    <row r="468" spans="1:3" ht="15" customHeight="1">
      <c r="A468" s="98" t="s">
        <v>517</v>
      </c>
      <c r="B468" s="98">
        <v>63511</v>
      </c>
      <c r="C468" s="98" t="s">
        <v>100</v>
      </c>
    </row>
    <row r="469" spans="1:3" ht="15" customHeight="1">
      <c r="A469" s="98" t="s">
        <v>517</v>
      </c>
      <c r="B469" s="98">
        <v>63531</v>
      </c>
      <c r="C469" s="98" t="s">
        <v>100</v>
      </c>
    </row>
    <row r="470" spans="1:3" ht="15" customHeight="1">
      <c r="A470" s="98" t="s">
        <v>517</v>
      </c>
      <c r="B470" s="98">
        <v>63601</v>
      </c>
      <c r="C470" s="98" t="s">
        <v>100</v>
      </c>
    </row>
    <row r="471" spans="1:3" ht="15" customHeight="1">
      <c r="A471" s="98" t="s">
        <v>517</v>
      </c>
      <c r="B471" s="98">
        <v>63650</v>
      </c>
      <c r="C471" s="98" t="s">
        <v>94</v>
      </c>
    </row>
    <row r="472" spans="1:3" ht="15" customHeight="1">
      <c r="A472" s="98" t="s">
        <v>517</v>
      </c>
      <c r="B472" s="98">
        <v>63651</v>
      </c>
      <c r="C472" s="98" t="s">
        <v>94</v>
      </c>
    </row>
    <row r="473" spans="1:3" ht="15" customHeight="1">
      <c r="A473" s="98" t="s">
        <v>517</v>
      </c>
      <c r="B473" s="98">
        <v>63711</v>
      </c>
      <c r="C473" s="98" t="s">
        <v>100</v>
      </c>
    </row>
    <row r="474" spans="1:3" ht="15" customHeight="1">
      <c r="A474" s="98" t="s">
        <v>517</v>
      </c>
      <c r="B474" s="98">
        <v>63751</v>
      </c>
      <c r="C474" s="98" t="s">
        <v>94</v>
      </c>
    </row>
    <row r="475" spans="1:3" ht="15" customHeight="1">
      <c r="A475" s="98" t="s">
        <v>517</v>
      </c>
      <c r="B475" s="98">
        <v>64001</v>
      </c>
      <c r="C475" s="98" t="s">
        <v>98</v>
      </c>
    </row>
    <row r="476" spans="1:3" ht="15" customHeight="1">
      <c r="A476" s="98" t="s">
        <v>517</v>
      </c>
      <c r="B476" s="98">
        <v>64251</v>
      </c>
      <c r="C476" s="98" t="s">
        <v>94</v>
      </c>
    </row>
    <row r="477" spans="1:3" ht="15" customHeight="1">
      <c r="A477" s="98" t="s">
        <v>517</v>
      </c>
      <c r="B477" s="98">
        <v>64502</v>
      </c>
      <c r="C477" s="98" t="s">
        <v>98</v>
      </c>
    </row>
    <row r="478" spans="1:3" ht="15" customHeight="1">
      <c r="A478" s="98" t="s">
        <v>517</v>
      </c>
      <c r="B478" s="98">
        <v>65101</v>
      </c>
      <c r="C478" s="98" t="s">
        <v>94</v>
      </c>
    </row>
    <row r="479" spans="1:3" ht="15" customHeight="1">
      <c r="A479" s="98" t="s">
        <v>517</v>
      </c>
      <c r="B479" s="98">
        <v>65201</v>
      </c>
      <c r="C479" s="98" t="s">
        <v>94</v>
      </c>
    </row>
    <row r="480" spans="1:3" ht="15" customHeight="1">
      <c r="A480" s="98" t="s">
        <v>517</v>
      </c>
      <c r="B480" s="98">
        <v>66000</v>
      </c>
      <c r="C480" s="98" t="s">
        <v>95</v>
      </c>
    </row>
    <row r="481" spans="1:3" ht="15" customHeight="1">
      <c r="A481" s="98" t="s">
        <v>517</v>
      </c>
      <c r="B481" s="98">
        <v>67001</v>
      </c>
      <c r="C481" s="98" t="s">
        <v>95</v>
      </c>
    </row>
    <row r="482" spans="1:3" ht="15" customHeight="1">
      <c r="A482" s="98" t="s">
        <v>517</v>
      </c>
      <c r="B482" s="98">
        <v>67101</v>
      </c>
      <c r="C482" s="98" t="s">
        <v>95</v>
      </c>
    </row>
    <row r="483" spans="1:3" ht="15" customHeight="1">
      <c r="A483" s="98" t="s">
        <v>517</v>
      </c>
      <c r="B483" s="98">
        <v>67300</v>
      </c>
      <c r="C483" s="98" t="s">
        <v>95</v>
      </c>
    </row>
    <row r="484" spans="1:3" ht="15" customHeight="1">
      <c r="A484" s="98" t="s">
        <v>517</v>
      </c>
      <c r="B484" s="98">
        <v>67301</v>
      </c>
      <c r="C484" s="98" t="s">
        <v>95</v>
      </c>
    </row>
    <row r="485" spans="1:3" ht="15" customHeight="1">
      <c r="A485" s="98" t="s">
        <v>517</v>
      </c>
      <c r="B485" s="98">
        <v>68100</v>
      </c>
      <c r="C485" s="98" t="s">
        <v>100</v>
      </c>
    </row>
    <row r="486" spans="1:3" ht="15" customHeight="1">
      <c r="A486" s="98" t="s">
        <v>517</v>
      </c>
      <c r="B486" s="98">
        <v>68101</v>
      </c>
      <c r="C486" s="98" t="s">
        <v>100</v>
      </c>
    </row>
    <row r="487" spans="1:3" ht="15" customHeight="1">
      <c r="A487" s="98" t="s">
        <v>517</v>
      </c>
      <c r="B487" s="98">
        <v>68200</v>
      </c>
      <c r="C487" s="98" t="s">
        <v>98</v>
      </c>
    </row>
    <row r="488" spans="1:3" ht="16.5" customHeight="1">
      <c r="A488" s="98" t="s">
        <v>517</v>
      </c>
      <c r="B488" s="98">
        <v>69001</v>
      </c>
      <c r="C488" s="98" t="s">
        <v>518</v>
      </c>
    </row>
    <row r="489" spans="1:3" ht="15" customHeight="1">
      <c r="A489" s="98" t="s">
        <v>517</v>
      </c>
      <c r="B489" s="98">
        <v>69101</v>
      </c>
      <c r="C489" s="98" t="s">
        <v>100</v>
      </c>
    </row>
    <row r="490" spans="1:3" ht="15" customHeight="1">
      <c r="A490" s="98" t="s">
        <v>517</v>
      </c>
      <c r="B490" s="98">
        <v>69201</v>
      </c>
      <c r="C490" s="98" t="s">
        <v>100</v>
      </c>
    </row>
    <row r="491" spans="1:3" ht="15" customHeight="1">
      <c r="A491" s="98" t="s">
        <v>517</v>
      </c>
      <c r="B491" s="98">
        <v>90101</v>
      </c>
      <c r="C491" s="98" t="s">
        <v>95</v>
      </c>
    </row>
    <row r="492" spans="1:3" ht="15" customHeight="1">
      <c r="A492" s="98" t="s">
        <v>517</v>
      </c>
      <c r="B492" s="98">
        <v>90102</v>
      </c>
      <c r="C492" s="98" t="s">
        <v>95</v>
      </c>
    </row>
    <row r="493" spans="1:3" ht="15" customHeight="1">
      <c r="A493" s="98" t="s">
        <v>517</v>
      </c>
      <c r="B493" s="98">
        <v>90103</v>
      </c>
      <c r="C493" s="98" t="s">
        <v>95</v>
      </c>
    </row>
    <row r="494" spans="1:3" ht="15" customHeight="1">
      <c r="A494" s="98" t="s">
        <v>517</v>
      </c>
      <c r="B494" s="98">
        <v>90115</v>
      </c>
      <c r="C494" s="98" t="s">
        <v>94</v>
      </c>
    </row>
    <row r="495" spans="1:3" ht="15" customHeight="1">
      <c r="A495" s="98" t="s">
        <v>517</v>
      </c>
      <c r="B495" s="98">
        <v>90121</v>
      </c>
      <c r="C495" s="98" t="s">
        <v>95</v>
      </c>
    </row>
    <row r="496" spans="1:3" ht="15" customHeight="1">
      <c r="A496" s="98" t="s">
        <v>517</v>
      </c>
      <c r="B496" s="98">
        <v>90142</v>
      </c>
      <c r="C496" s="98" t="s">
        <v>95</v>
      </c>
    </row>
    <row r="497" spans="1:3" ht="15" customHeight="1">
      <c r="A497" s="98" t="s">
        <v>517</v>
      </c>
      <c r="B497" s="98">
        <v>90401</v>
      </c>
      <c r="C497" s="98" t="s">
        <v>96</v>
      </c>
    </row>
    <row r="498" spans="1:3" ht="15" customHeight="1">
      <c r="A498" s="98" t="s">
        <v>517</v>
      </c>
      <c r="B498" s="98">
        <v>90402</v>
      </c>
      <c r="C498" s="98" t="s">
        <v>96</v>
      </c>
    </row>
    <row r="499" spans="1:3" ht="15" customHeight="1">
      <c r="A499" s="98" t="s">
        <v>517</v>
      </c>
      <c r="B499" s="98">
        <v>90403</v>
      </c>
      <c r="C499" s="98" t="s">
        <v>96</v>
      </c>
    </row>
    <row r="500" spans="1:3" ht="15" customHeight="1">
      <c r="A500" s="98" t="s">
        <v>517</v>
      </c>
      <c r="B500" s="98">
        <v>90451</v>
      </c>
      <c r="C500" s="98" t="s">
        <v>97</v>
      </c>
    </row>
    <row r="501" spans="1:3" ht="15" customHeight="1">
      <c r="A501" s="98" t="s">
        <v>517</v>
      </c>
      <c r="B501" s="98">
        <v>90452</v>
      </c>
      <c r="C501" s="98" t="s">
        <v>97</v>
      </c>
    </row>
    <row r="502" spans="1:3" ht="15" customHeight="1">
      <c r="A502" s="98" t="s">
        <v>517</v>
      </c>
      <c r="B502" s="98">
        <v>90454</v>
      </c>
      <c r="C502" s="98" t="s">
        <v>97</v>
      </c>
    </row>
    <row r="503" spans="1:3" ht="15" customHeight="1">
      <c r="A503" s="98" t="s">
        <v>517</v>
      </c>
      <c r="B503" s="98">
        <v>90455</v>
      </c>
      <c r="C503" s="98" t="s">
        <v>97</v>
      </c>
    </row>
    <row r="504" spans="1:3" ht="15" customHeight="1">
      <c r="A504" s="98" t="s">
        <v>517</v>
      </c>
      <c r="B504" s="98">
        <v>90457</v>
      </c>
      <c r="C504" s="98" t="s">
        <v>97</v>
      </c>
    </row>
    <row r="505" spans="1:3" ht="15" customHeight="1">
      <c r="A505" s="98" t="s">
        <v>517</v>
      </c>
      <c r="B505" s="98">
        <v>90459</v>
      </c>
      <c r="C505" s="98" t="s">
        <v>97</v>
      </c>
    </row>
    <row r="506" spans="1:3" ht="15" customHeight="1">
      <c r="A506" s="98" t="s">
        <v>517</v>
      </c>
      <c r="B506" s="98">
        <v>90460</v>
      </c>
      <c r="C506" s="98" t="s">
        <v>97</v>
      </c>
    </row>
    <row r="507" spans="1:3" ht="15" customHeight="1">
      <c r="A507" s="98" t="s">
        <v>517</v>
      </c>
      <c r="B507" s="98">
        <v>90462</v>
      </c>
      <c r="C507" s="98" t="s">
        <v>97</v>
      </c>
    </row>
    <row r="508" spans="1:3" ht="15" customHeight="1">
      <c r="A508" s="98" t="s">
        <v>517</v>
      </c>
      <c r="B508" s="98">
        <v>90464</v>
      </c>
      <c r="C508" s="98" t="s">
        <v>97</v>
      </c>
    </row>
    <row r="509" spans="1:3" ht="15" customHeight="1">
      <c r="A509" s="98" t="s">
        <v>517</v>
      </c>
      <c r="B509" s="98">
        <v>90465</v>
      </c>
      <c r="C509" s="98" t="s">
        <v>97</v>
      </c>
    </row>
    <row r="510" spans="1:3" ht="15" customHeight="1">
      <c r="A510" s="98" t="s">
        <v>517</v>
      </c>
      <c r="B510" s="98">
        <v>90467</v>
      </c>
      <c r="C510" s="98" t="s">
        <v>97</v>
      </c>
    </row>
    <row r="511" spans="1:3" ht="15" customHeight="1">
      <c r="A511" s="98" t="s">
        <v>517</v>
      </c>
      <c r="B511" s="98">
        <v>90468</v>
      </c>
      <c r="C511" s="98" t="s">
        <v>97</v>
      </c>
    </row>
    <row r="512" spans="1:3" ht="15" customHeight="1">
      <c r="A512" s="98" t="s">
        <v>517</v>
      </c>
      <c r="B512" s="98">
        <v>90469</v>
      </c>
      <c r="C512" s="98" t="s">
        <v>97</v>
      </c>
    </row>
    <row r="513" spans="1:3" ht="15" customHeight="1">
      <c r="A513" s="98" t="s">
        <v>517</v>
      </c>
      <c r="B513" s="98">
        <v>90471</v>
      </c>
      <c r="C513" s="98" t="s">
        <v>97</v>
      </c>
    </row>
    <row r="514" spans="1:3" ht="15" customHeight="1">
      <c r="A514" s="98" t="s">
        <v>517</v>
      </c>
      <c r="B514" s="98">
        <v>90472</v>
      </c>
      <c r="C514" s="98" t="s">
        <v>97</v>
      </c>
    </row>
    <row r="515" spans="1:3" ht="15" customHeight="1">
      <c r="A515" s="98" t="s">
        <v>517</v>
      </c>
      <c r="B515" s="98">
        <v>90474</v>
      </c>
      <c r="C515" s="98" t="s">
        <v>97</v>
      </c>
    </row>
    <row r="516" spans="1:3" ht="15" customHeight="1">
      <c r="A516" s="98" t="s">
        <v>517</v>
      </c>
      <c r="B516" s="98">
        <v>90475</v>
      </c>
      <c r="C516" s="98" t="s">
        <v>97</v>
      </c>
    </row>
    <row r="517" spans="1:3" ht="15" customHeight="1">
      <c r="A517" s="98" t="s">
        <v>517</v>
      </c>
      <c r="B517" s="98">
        <v>90476</v>
      </c>
      <c r="C517" s="98" t="s">
        <v>97</v>
      </c>
    </row>
    <row r="518" spans="1:3" ht="15" customHeight="1">
      <c r="A518" s="98" t="s">
        <v>517</v>
      </c>
      <c r="B518" s="98">
        <v>90477</v>
      </c>
      <c r="C518" s="98" t="s">
        <v>97</v>
      </c>
    </row>
    <row r="519" spans="1:3" ht="15" customHeight="1">
      <c r="A519" s="98" t="s">
        <v>517</v>
      </c>
      <c r="B519" s="98">
        <v>90478</v>
      </c>
      <c r="C519" s="98" t="s">
        <v>97</v>
      </c>
    </row>
    <row r="520" spans="1:3" ht="15" customHeight="1">
      <c r="A520" s="98" t="s">
        <v>517</v>
      </c>
      <c r="B520" s="98">
        <v>90479</v>
      </c>
      <c r="C520" s="98" t="s">
        <v>97</v>
      </c>
    </row>
    <row r="521" spans="1:3" ht="15" customHeight="1">
      <c r="A521" s="98" t="s">
        <v>517</v>
      </c>
      <c r="B521" s="98">
        <v>90480</v>
      </c>
      <c r="C521" s="98" t="s">
        <v>97</v>
      </c>
    </row>
    <row r="522" spans="1:3" ht="15" customHeight="1">
      <c r="A522" s="98" t="s">
        <v>517</v>
      </c>
      <c r="B522" s="98">
        <v>90483</v>
      </c>
      <c r="C522" s="98" t="s">
        <v>97</v>
      </c>
    </row>
    <row r="523" spans="1:3" ht="15" customHeight="1">
      <c r="A523" s="98" t="s">
        <v>517</v>
      </c>
      <c r="B523" s="98">
        <v>90484</v>
      </c>
      <c r="C523" s="98" t="s">
        <v>97</v>
      </c>
    </row>
    <row r="524" spans="1:3" ht="15" customHeight="1">
      <c r="A524" s="98" t="s">
        <v>517</v>
      </c>
      <c r="B524" s="98">
        <v>90601</v>
      </c>
      <c r="C524" s="98" t="s">
        <v>95</v>
      </c>
    </row>
    <row r="525" spans="1:3" ht="15" customHeight="1">
      <c r="A525" s="98" t="s">
        <v>517</v>
      </c>
      <c r="B525" s="98">
        <v>90651</v>
      </c>
      <c r="C525" s="98" t="s">
        <v>95</v>
      </c>
    </row>
    <row r="526" spans="1:3" ht="15" customHeight="1">
      <c r="A526" s="98" t="s">
        <v>517</v>
      </c>
      <c r="B526" s="98">
        <v>90661</v>
      </c>
      <c r="C526" s="98" t="s">
        <v>95</v>
      </c>
    </row>
    <row r="527" spans="1:3" ht="15" customHeight="1">
      <c r="A527" s="98" t="s">
        <v>517</v>
      </c>
      <c r="B527" s="98">
        <v>90671</v>
      </c>
      <c r="C527" s="98" t="s">
        <v>95</v>
      </c>
    </row>
    <row r="528" spans="1:3" ht="15" customHeight="1">
      <c r="A528" s="98" t="s">
        <v>517</v>
      </c>
      <c r="B528" s="98">
        <v>90681</v>
      </c>
      <c r="C528" s="98" t="s">
        <v>95</v>
      </c>
    </row>
    <row r="529" spans="1:3" ht="15" customHeight="1">
      <c r="A529" s="98" t="s">
        <v>517</v>
      </c>
      <c r="B529" s="98">
        <v>90682</v>
      </c>
      <c r="C529" s="98" t="s">
        <v>95</v>
      </c>
    </row>
    <row r="530" spans="1:3" ht="15" customHeight="1">
      <c r="A530" s="98" t="s">
        <v>517</v>
      </c>
      <c r="B530" s="98">
        <v>90683</v>
      </c>
      <c r="C530" s="98" t="s">
        <v>95</v>
      </c>
    </row>
    <row r="531" spans="1:3" ht="15" customHeight="1">
      <c r="A531" s="98" t="s">
        <v>517</v>
      </c>
      <c r="B531" s="98">
        <v>90684</v>
      </c>
      <c r="C531" s="98" t="s">
        <v>95</v>
      </c>
    </row>
    <row r="532" spans="1:3" ht="15" customHeight="1">
      <c r="A532" s="98" t="s">
        <v>517</v>
      </c>
      <c r="B532" s="98">
        <v>90685</v>
      </c>
      <c r="C532" s="98" t="s">
        <v>95</v>
      </c>
    </row>
    <row r="533" spans="1:3" ht="15" customHeight="1">
      <c r="A533" s="98" t="s">
        <v>517</v>
      </c>
      <c r="B533" s="98">
        <v>90686</v>
      </c>
      <c r="C533" s="98" t="s">
        <v>95</v>
      </c>
    </row>
    <row r="534" spans="1:3" ht="15" customHeight="1">
      <c r="A534" s="98" t="s">
        <v>517</v>
      </c>
      <c r="B534" s="98">
        <v>90688</v>
      </c>
      <c r="C534" s="98" t="s">
        <v>95</v>
      </c>
    </row>
    <row r="535" spans="1:3" ht="15" customHeight="1">
      <c r="A535" s="98" t="s">
        <v>517</v>
      </c>
      <c r="B535" s="98">
        <v>90691</v>
      </c>
      <c r="C535" s="98" t="s">
        <v>95</v>
      </c>
    </row>
    <row r="536" spans="1:3" ht="15" customHeight="1">
      <c r="A536" s="98" t="s">
        <v>517</v>
      </c>
      <c r="B536" s="98">
        <v>90692</v>
      </c>
      <c r="C536" s="98" t="s">
        <v>95</v>
      </c>
    </row>
    <row r="537" spans="1:3" ht="15" customHeight="1">
      <c r="A537" s="98" t="s">
        <v>517</v>
      </c>
      <c r="B537" s="98">
        <v>91111</v>
      </c>
      <c r="C537" s="98" t="s">
        <v>94</v>
      </c>
    </row>
    <row r="538" spans="1:3" ht="15" customHeight="1">
      <c r="A538" s="98" t="s">
        <v>517</v>
      </c>
      <c r="B538" s="98">
        <v>91112</v>
      </c>
      <c r="C538" s="98" t="s">
        <v>94</v>
      </c>
    </row>
    <row r="539" spans="1:3" ht="15" customHeight="1">
      <c r="A539" s="98" t="s">
        <v>517</v>
      </c>
      <c r="B539" s="98">
        <v>91113</v>
      </c>
      <c r="C539" s="98" t="s">
        <v>94</v>
      </c>
    </row>
    <row r="540" spans="1:3" ht="15" customHeight="1">
      <c r="A540" s="98" t="s">
        <v>517</v>
      </c>
      <c r="B540" s="98">
        <v>91114</v>
      </c>
      <c r="C540" s="98" t="s">
        <v>97</v>
      </c>
    </row>
    <row r="541" spans="1:3" ht="15" customHeight="1">
      <c r="A541" s="98" t="s">
        <v>517</v>
      </c>
      <c r="B541" s="98">
        <v>91115</v>
      </c>
      <c r="C541" s="98" t="s">
        <v>94</v>
      </c>
    </row>
    <row r="542" spans="1:3" ht="15" customHeight="1">
      <c r="A542" s="98" t="s">
        <v>517</v>
      </c>
      <c r="B542" s="98">
        <v>91116</v>
      </c>
      <c r="C542" s="98" t="s">
        <v>94</v>
      </c>
    </row>
    <row r="543" spans="1:3" ht="15" customHeight="1">
      <c r="A543" s="98" t="s">
        <v>517</v>
      </c>
      <c r="B543" s="98">
        <v>91117</v>
      </c>
      <c r="C543" s="98" t="s">
        <v>94</v>
      </c>
    </row>
    <row r="544" spans="1:3" ht="15" customHeight="1">
      <c r="A544" s="98" t="s">
        <v>517</v>
      </c>
      <c r="B544" s="98">
        <v>91121</v>
      </c>
      <c r="C544" s="98" t="s">
        <v>94</v>
      </c>
    </row>
    <row r="545" spans="1:3" ht="15" customHeight="1">
      <c r="A545" s="98" t="s">
        <v>517</v>
      </c>
      <c r="B545" s="98">
        <v>92001</v>
      </c>
      <c r="C545" s="98" t="s">
        <v>98</v>
      </c>
    </row>
    <row r="546" spans="1:3" ht="15" customHeight="1">
      <c r="A546" s="98" t="s">
        <v>517</v>
      </c>
      <c r="B546" s="98">
        <v>92002</v>
      </c>
      <c r="C546" s="98" t="s">
        <v>94</v>
      </c>
    </row>
    <row r="547" spans="1:3" ht="15" customHeight="1">
      <c r="A547" s="98" t="s">
        <v>517</v>
      </c>
      <c r="B547" s="98">
        <v>92003</v>
      </c>
      <c r="C547" s="98" t="s">
        <v>98</v>
      </c>
    </row>
    <row r="548" spans="1:3" ht="15" customHeight="1">
      <c r="A548" s="98" t="s">
        <v>517</v>
      </c>
      <c r="B548" s="98">
        <v>92004</v>
      </c>
      <c r="C548" s="98" t="s">
        <v>96</v>
      </c>
    </row>
    <row r="549" spans="1:3" ht="15" customHeight="1">
      <c r="A549" s="98" t="s">
        <v>517</v>
      </c>
      <c r="B549" s="98">
        <v>92005</v>
      </c>
      <c r="C549" s="98" t="s">
        <v>96</v>
      </c>
    </row>
    <row r="550" spans="1:3" ht="15" customHeight="1">
      <c r="A550" s="98" t="s">
        <v>517</v>
      </c>
      <c r="B550" s="98">
        <v>92006</v>
      </c>
      <c r="C550" s="98" t="s">
        <v>94</v>
      </c>
    </row>
    <row r="551" spans="1:3" ht="15" customHeight="1">
      <c r="A551" s="98" t="s">
        <v>517</v>
      </c>
      <c r="B551" s="98">
        <v>92007</v>
      </c>
      <c r="C551" s="98" t="s">
        <v>96</v>
      </c>
    </row>
    <row r="552" spans="1:3" ht="15" customHeight="1">
      <c r="A552" s="98" t="s">
        <v>517</v>
      </c>
      <c r="B552" s="98">
        <v>92008</v>
      </c>
      <c r="C552" s="98" t="s">
        <v>96</v>
      </c>
    </row>
    <row r="553" spans="1:3" ht="15" customHeight="1">
      <c r="A553" s="98" t="s">
        <v>517</v>
      </c>
      <c r="B553" s="98">
        <v>92602</v>
      </c>
      <c r="C553" s="98" t="s">
        <v>98</v>
      </c>
    </row>
    <row r="554" spans="1:3" ht="15" customHeight="1">
      <c r="A554" s="98" t="s">
        <v>517</v>
      </c>
      <c r="B554" s="98">
        <v>92604</v>
      </c>
      <c r="C554" s="98" t="s">
        <v>95</v>
      </c>
    </row>
    <row r="555" spans="1:3" ht="15" customHeight="1">
      <c r="A555" s="98" t="s">
        <v>517</v>
      </c>
      <c r="B555" s="98">
        <v>92606</v>
      </c>
      <c r="C555" s="98" t="s">
        <v>98</v>
      </c>
    </row>
    <row r="556" spans="1:3" ht="15" customHeight="1">
      <c r="A556" s="98" t="s">
        <v>517</v>
      </c>
      <c r="B556" s="98">
        <v>92607</v>
      </c>
      <c r="C556" s="98" t="s">
        <v>98</v>
      </c>
    </row>
    <row r="557" spans="1:3" ht="15" customHeight="1">
      <c r="A557" s="98" t="s">
        <v>517</v>
      </c>
      <c r="B557" s="98">
        <v>92608</v>
      </c>
      <c r="C557" s="98" t="s">
        <v>98</v>
      </c>
    </row>
    <row r="558" spans="1:3" ht="15" customHeight="1">
      <c r="A558" s="98" t="s">
        <v>517</v>
      </c>
      <c r="B558" s="98">
        <v>92609</v>
      </c>
      <c r="C558" s="98" t="s">
        <v>98</v>
      </c>
    </row>
    <row r="559" spans="1:3" ht="15" customHeight="1">
      <c r="A559" s="98" t="s">
        <v>517</v>
      </c>
      <c r="B559" s="98">
        <v>92610</v>
      </c>
      <c r="C559" s="98" t="s">
        <v>98</v>
      </c>
    </row>
    <row r="560" spans="1:3" ht="15" customHeight="1">
      <c r="A560" s="98" t="s">
        <v>517</v>
      </c>
      <c r="B560" s="98">
        <v>93019</v>
      </c>
      <c r="C560" s="98" t="s">
        <v>98</v>
      </c>
    </row>
    <row r="561" spans="1:3" ht="15" customHeight="1">
      <c r="A561" s="98" t="s">
        <v>517</v>
      </c>
      <c r="B561" s="98">
        <v>94001</v>
      </c>
      <c r="C561" s="98" t="s">
        <v>94</v>
      </c>
    </row>
    <row r="562" spans="1:3" ht="15" customHeight="1">
      <c r="A562" s="98" t="s">
        <v>517</v>
      </c>
      <c r="B562" s="98">
        <v>94002</v>
      </c>
      <c r="C562" s="98" t="s">
        <v>94</v>
      </c>
    </row>
    <row r="563" spans="1:3" ht="15" customHeight="1">
      <c r="A563" s="98" t="s">
        <v>517</v>
      </c>
      <c r="B563" s="98">
        <v>94003</v>
      </c>
      <c r="C563" s="98" t="s">
        <v>94</v>
      </c>
    </row>
    <row r="564" spans="1:3" ht="15" customHeight="1">
      <c r="A564" s="98" t="s">
        <v>517</v>
      </c>
      <c r="B564" s="98">
        <v>94004</v>
      </c>
      <c r="C564" s="98" t="s">
        <v>94</v>
      </c>
    </row>
    <row r="565" spans="1:3" ht="15" customHeight="1">
      <c r="A565" s="98" t="s">
        <v>517</v>
      </c>
      <c r="B565" s="98">
        <v>94005</v>
      </c>
      <c r="C565" s="98" t="s">
        <v>94</v>
      </c>
    </row>
    <row r="566" spans="1:3" ht="15" customHeight="1">
      <c r="A566" s="98" t="s">
        <v>517</v>
      </c>
      <c r="B566" s="98">
        <v>94006</v>
      </c>
      <c r="C566" s="98" t="s">
        <v>94</v>
      </c>
    </row>
    <row r="567" spans="1:3" ht="15" customHeight="1">
      <c r="A567" s="98" t="s">
        <v>517</v>
      </c>
      <c r="B567" s="98" t="s">
        <v>297</v>
      </c>
      <c r="C567" s="98" t="s">
        <v>98</v>
      </c>
    </row>
    <row r="568" spans="1:3" ht="15" customHeight="1">
      <c r="A568" s="98" t="s">
        <v>517</v>
      </c>
      <c r="B568" s="98" t="s">
        <v>298</v>
      </c>
      <c r="C568" s="98" t="s">
        <v>98</v>
      </c>
    </row>
    <row r="569" spans="1:3" ht="15" customHeight="1">
      <c r="A569" s="98" t="s">
        <v>517</v>
      </c>
      <c r="B569" s="98" t="s">
        <v>299</v>
      </c>
      <c r="C569" s="98" t="s">
        <v>98</v>
      </c>
    </row>
    <row r="570" spans="1:3" ht="15" customHeight="1">
      <c r="A570" s="98" t="s">
        <v>517</v>
      </c>
      <c r="B570" s="98" t="s">
        <v>300</v>
      </c>
      <c r="C570" s="98" t="s">
        <v>95</v>
      </c>
    </row>
    <row r="571" spans="1:3" ht="15" customHeight="1">
      <c r="A571" s="98" t="s">
        <v>517</v>
      </c>
      <c r="B571" s="98" t="s">
        <v>301</v>
      </c>
      <c r="C571" s="98" t="s">
        <v>98</v>
      </c>
    </row>
    <row r="572" spans="1:3" ht="15" customHeight="1">
      <c r="A572" s="98" t="s">
        <v>517</v>
      </c>
      <c r="B572" s="98" t="s">
        <v>302</v>
      </c>
      <c r="C572" s="98" t="s">
        <v>93</v>
      </c>
    </row>
    <row r="573" spans="1:3" ht="15" customHeight="1">
      <c r="A573" s="98" t="s">
        <v>517</v>
      </c>
      <c r="B573" s="98" t="s">
        <v>303</v>
      </c>
      <c r="C573" s="98" t="s">
        <v>98</v>
      </c>
    </row>
    <row r="574" spans="1:3" ht="15" customHeight="1">
      <c r="A574" s="98" t="s">
        <v>517</v>
      </c>
      <c r="B574" s="98" t="s">
        <v>304</v>
      </c>
      <c r="C574" s="98" t="s">
        <v>98</v>
      </c>
    </row>
    <row r="575" spans="1:3" ht="15" customHeight="1">
      <c r="A575" s="98" t="s">
        <v>517</v>
      </c>
      <c r="B575" s="98" t="s">
        <v>305</v>
      </c>
      <c r="C575" s="98" t="s">
        <v>100</v>
      </c>
    </row>
    <row r="576" spans="1:3" ht="15" customHeight="1">
      <c r="A576" s="98" t="s">
        <v>517</v>
      </c>
      <c r="B576" s="98" t="s">
        <v>306</v>
      </c>
      <c r="C576" s="98" t="s">
        <v>98</v>
      </c>
    </row>
    <row r="577" spans="1:3" ht="15" customHeight="1">
      <c r="A577" s="98" t="s">
        <v>517</v>
      </c>
      <c r="B577" s="98" t="s">
        <v>307</v>
      </c>
      <c r="C577" s="98" t="s">
        <v>100</v>
      </c>
    </row>
    <row r="578" spans="1:3" ht="15" customHeight="1">
      <c r="A578" s="98" t="s">
        <v>517</v>
      </c>
      <c r="B578" s="98" t="s">
        <v>308</v>
      </c>
      <c r="C578" s="98" t="s">
        <v>123</v>
      </c>
    </row>
    <row r="579" spans="1:3" ht="15" customHeight="1">
      <c r="A579" s="98" t="s">
        <v>517</v>
      </c>
      <c r="B579" s="98" t="s">
        <v>309</v>
      </c>
      <c r="C579" s="98" t="s">
        <v>98</v>
      </c>
    </row>
    <row r="580" spans="1:3" ht="15" customHeight="1">
      <c r="A580" s="98" t="s">
        <v>517</v>
      </c>
      <c r="B580" s="98" t="s">
        <v>310</v>
      </c>
      <c r="C580" s="98" t="s">
        <v>100</v>
      </c>
    </row>
    <row r="581" spans="1:3" ht="15" customHeight="1">
      <c r="A581" s="98" t="s">
        <v>517</v>
      </c>
      <c r="B581" s="98" t="s">
        <v>311</v>
      </c>
      <c r="C581" s="98" t="s">
        <v>100</v>
      </c>
    </row>
    <row r="582" spans="1:3" ht="15" customHeight="1">
      <c r="A582" s="98" t="s">
        <v>517</v>
      </c>
      <c r="B582" s="98" t="s">
        <v>312</v>
      </c>
      <c r="C582" s="98" t="s">
        <v>100</v>
      </c>
    </row>
    <row r="583" spans="1:3" ht="15" customHeight="1">
      <c r="A583" s="98" t="s">
        <v>517</v>
      </c>
      <c r="B583" s="98" t="s">
        <v>313</v>
      </c>
      <c r="C583" s="98" t="s">
        <v>93</v>
      </c>
    </row>
    <row r="584" spans="1:3" ht="15" customHeight="1">
      <c r="A584" s="98" t="s">
        <v>517</v>
      </c>
      <c r="B584" s="98" t="s">
        <v>314</v>
      </c>
      <c r="C584" s="98" t="s">
        <v>95</v>
      </c>
    </row>
    <row r="585" spans="1:3" ht="15" customHeight="1">
      <c r="A585" s="98" t="s">
        <v>517</v>
      </c>
      <c r="B585" s="98" t="s">
        <v>315</v>
      </c>
      <c r="C585" s="98" t="s">
        <v>98</v>
      </c>
    </row>
    <row r="586" spans="1:3" ht="15" customHeight="1">
      <c r="A586" s="98" t="s">
        <v>517</v>
      </c>
      <c r="B586" s="98" t="s">
        <v>316</v>
      </c>
      <c r="C586" s="98" t="s">
        <v>98</v>
      </c>
    </row>
    <row r="587" spans="1:3" ht="15" customHeight="1">
      <c r="A587" s="98" t="s">
        <v>517</v>
      </c>
      <c r="B587" s="98" t="s">
        <v>317</v>
      </c>
      <c r="C587" s="98" t="s">
        <v>98</v>
      </c>
    </row>
    <row r="588" spans="1:3" ht="15" customHeight="1">
      <c r="A588" s="98" t="s">
        <v>517</v>
      </c>
      <c r="B588" s="98" t="s">
        <v>318</v>
      </c>
      <c r="C588" s="98" t="s">
        <v>98</v>
      </c>
    </row>
    <row r="589" spans="1:3" ht="15" customHeight="1">
      <c r="A589" s="98" t="s">
        <v>517</v>
      </c>
      <c r="B589" s="98" t="s">
        <v>319</v>
      </c>
      <c r="C589" s="98" t="s">
        <v>95</v>
      </c>
    </row>
    <row r="590" spans="1:3" ht="15" customHeight="1">
      <c r="A590" s="98" t="s">
        <v>517</v>
      </c>
      <c r="B590" s="98" t="s">
        <v>320</v>
      </c>
      <c r="C590" s="98" t="s">
        <v>94</v>
      </c>
    </row>
    <row r="591" spans="1:3" ht="15" customHeight="1">
      <c r="A591" s="98" t="s">
        <v>519</v>
      </c>
      <c r="B591" s="98">
        <v>233911</v>
      </c>
      <c r="C591" s="98" t="s">
        <v>95</v>
      </c>
    </row>
    <row r="592" spans="1:3" ht="15" customHeight="1">
      <c r="A592" s="98" t="s">
        <v>519</v>
      </c>
      <c r="B592" s="98">
        <v>109972</v>
      </c>
      <c r="C592" s="98" t="s">
        <v>93</v>
      </c>
    </row>
    <row r="593" spans="1:3" ht="15" customHeight="1">
      <c r="A593" s="98" t="s">
        <v>519</v>
      </c>
      <c r="B593" s="98">
        <v>119962</v>
      </c>
      <c r="C593" s="98" t="s">
        <v>93</v>
      </c>
    </row>
    <row r="594" spans="1:3" ht="15" customHeight="1">
      <c r="A594" s="98" t="s">
        <v>519</v>
      </c>
      <c r="B594" s="98">
        <v>119982</v>
      </c>
      <c r="C594" s="98" t="s">
        <v>100</v>
      </c>
    </row>
    <row r="595" spans="1:3" ht="15" customHeight="1">
      <c r="A595" s="98" t="s">
        <v>519</v>
      </c>
      <c r="B595" s="98">
        <v>203002</v>
      </c>
      <c r="C595" s="98" t="s">
        <v>94</v>
      </c>
    </row>
    <row r="596" spans="1:3" ht="15" customHeight="1">
      <c r="A596" s="98" t="s">
        <v>519</v>
      </c>
      <c r="B596" s="98">
        <v>209960</v>
      </c>
      <c r="C596" s="98" t="s">
        <v>94</v>
      </c>
    </row>
    <row r="597" spans="1:3" ht="15" customHeight="1">
      <c r="A597" s="98" t="s">
        <v>519</v>
      </c>
      <c r="B597" s="98">
        <v>209990</v>
      </c>
      <c r="C597" s="98" t="s">
        <v>94</v>
      </c>
    </row>
    <row r="598" spans="1:3" ht="15" customHeight="1">
      <c r="A598" s="98" t="s">
        <v>519</v>
      </c>
      <c r="B598" s="98">
        <v>219913</v>
      </c>
      <c r="C598" s="98" t="s">
        <v>93</v>
      </c>
    </row>
    <row r="599" spans="1:3" ht="15" customHeight="1">
      <c r="A599" s="98" t="s">
        <v>519</v>
      </c>
      <c r="B599" s="98">
        <v>230964</v>
      </c>
      <c r="C599" s="98" t="s">
        <v>94</v>
      </c>
    </row>
    <row r="600" spans="1:3" ht="15" customHeight="1">
      <c r="A600" s="98" t="s">
        <v>519</v>
      </c>
      <c r="B600" s="98">
        <v>231903</v>
      </c>
      <c r="C600" s="98" t="s">
        <v>93</v>
      </c>
    </row>
    <row r="601" spans="1:3" ht="15" customHeight="1">
      <c r="A601" s="98" t="s">
        <v>519</v>
      </c>
      <c r="B601" s="98">
        <v>231937</v>
      </c>
      <c r="C601" s="98" t="s">
        <v>93</v>
      </c>
    </row>
    <row r="602" spans="1:3" ht="15" customHeight="1">
      <c r="A602" s="98" t="s">
        <v>519</v>
      </c>
      <c r="B602" s="98">
        <v>231939</v>
      </c>
      <c r="C602" s="98" t="s">
        <v>93</v>
      </c>
    </row>
    <row r="603" spans="1:3" ht="15" customHeight="1">
      <c r="A603" s="98" t="s">
        <v>519</v>
      </c>
      <c r="B603" s="98">
        <v>231941</v>
      </c>
      <c r="C603" s="98" t="s">
        <v>94</v>
      </c>
    </row>
    <row r="604" spans="1:3" ht="15" customHeight="1">
      <c r="A604" s="98" t="s">
        <v>519</v>
      </c>
      <c r="B604" s="98">
        <v>231944</v>
      </c>
      <c r="C604" s="98" t="s">
        <v>93</v>
      </c>
    </row>
    <row r="605" spans="1:3" ht="15" customHeight="1">
      <c r="A605" s="98" t="s">
        <v>519</v>
      </c>
      <c r="B605" s="98">
        <v>231946</v>
      </c>
      <c r="C605" s="98" t="s">
        <v>93</v>
      </c>
    </row>
    <row r="606" spans="1:3" ht="15" customHeight="1">
      <c r="A606" s="98" t="s">
        <v>519</v>
      </c>
      <c r="B606" s="98">
        <v>231958</v>
      </c>
      <c r="C606" s="98" t="s">
        <v>94</v>
      </c>
    </row>
    <row r="607" spans="1:3" ht="15" customHeight="1">
      <c r="A607" s="98" t="s">
        <v>519</v>
      </c>
      <c r="B607" s="98">
        <v>231960</v>
      </c>
      <c r="C607" s="98" t="s">
        <v>94</v>
      </c>
    </row>
    <row r="608" spans="1:3" ht="15" customHeight="1">
      <c r="A608" s="98" t="s">
        <v>519</v>
      </c>
      <c r="B608" s="98">
        <v>232902</v>
      </c>
      <c r="C608" s="98" t="s">
        <v>95</v>
      </c>
    </row>
    <row r="609" spans="1:3" ht="15" customHeight="1">
      <c r="A609" s="98" t="s">
        <v>519</v>
      </c>
      <c r="B609" s="98">
        <v>232916</v>
      </c>
      <c r="C609" s="98" t="s">
        <v>95</v>
      </c>
    </row>
    <row r="610" spans="1:3" ht="15" customHeight="1">
      <c r="A610" s="98" t="s">
        <v>519</v>
      </c>
      <c r="B610" s="98">
        <v>233915</v>
      </c>
      <c r="C610" s="98" t="s">
        <v>93</v>
      </c>
    </row>
    <row r="611" spans="1:3" ht="15" customHeight="1">
      <c r="A611" s="98" t="s">
        <v>519</v>
      </c>
      <c r="B611" s="98">
        <v>232927</v>
      </c>
      <c r="C611" s="98" t="s">
        <v>94</v>
      </c>
    </row>
    <row r="612" spans="1:3" ht="15" customHeight="1">
      <c r="A612" s="98" t="s">
        <v>519</v>
      </c>
      <c r="B612" s="98" t="s">
        <v>321</v>
      </c>
      <c r="C612" s="98" t="s">
        <v>94</v>
      </c>
    </row>
    <row r="613" spans="1:3" ht="15" customHeight="1">
      <c r="A613" s="98" t="s">
        <v>519</v>
      </c>
      <c r="B613" s="98" t="s">
        <v>322</v>
      </c>
      <c r="C613" s="98" t="s">
        <v>94</v>
      </c>
    </row>
    <row r="614" spans="1:3" ht="15" customHeight="1">
      <c r="A614" s="98" t="s">
        <v>519</v>
      </c>
      <c r="B614" s="98" t="s">
        <v>323</v>
      </c>
      <c r="C614" s="98" t="s">
        <v>94</v>
      </c>
    </row>
    <row r="615" spans="1:3" ht="15" customHeight="1">
      <c r="A615" s="98" t="s">
        <v>519</v>
      </c>
      <c r="B615" s="98">
        <v>233004</v>
      </c>
      <c r="C615" s="98" t="s">
        <v>95</v>
      </c>
    </row>
    <row r="616" spans="1:3" ht="15" customHeight="1">
      <c r="A616" s="98" t="s">
        <v>519</v>
      </c>
      <c r="B616" s="98" t="s">
        <v>324</v>
      </c>
      <c r="C616" s="98" t="s">
        <v>94</v>
      </c>
    </row>
    <row r="617" spans="1:3" ht="15" customHeight="1">
      <c r="A617" s="98" t="s">
        <v>520</v>
      </c>
      <c r="B617" s="98" t="s">
        <v>325</v>
      </c>
      <c r="C617" s="98" t="s">
        <v>96</v>
      </c>
    </row>
    <row r="618" spans="1:3" ht="15" customHeight="1">
      <c r="A618" s="98" t="s">
        <v>520</v>
      </c>
      <c r="B618" s="98" t="s">
        <v>326</v>
      </c>
      <c r="C618" s="98" t="s">
        <v>94</v>
      </c>
    </row>
    <row r="619" spans="1:3" ht="15" customHeight="1">
      <c r="A619" s="98" t="s">
        <v>520</v>
      </c>
      <c r="B619" s="98" t="s">
        <v>327</v>
      </c>
      <c r="C619" s="98" t="s">
        <v>94</v>
      </c>
    </row>
    <row r="620" spans="1:3" ht="15" customHeight="1">
      <c r="A620" s="98" t="s">
        <v>520</v>
      </c>
      <c r="B620" s="98" t="s">
        <v>328</v>
      </c>
      <c r="C620" s="98" t="s">
        <v>96</v>
      </c>
    </row>
    <row r="621" spans="1:3" ht="15" customHeight="1">
      <c r="A621" s="98" t="s">
        <v>520</v>
      </c>
      <c r="B621" s="98" t="s">
        <v>329</v>
      </c>
      <c r="C621" s="98" t="s">
        <v>94</v>
      </c>
    </row>
    <row r="622" spans="1:3" ht="15" customHeight="1">
      <c r="A622" s="98" t="s">
        <v>520</v>
      </c>
      <c r="B622" s="98" t="s">
        <v>330</v>
      </c>
      <c r="C622" s="98" t="s">
        <v>94</v>
      </c>
    </row>
    <row r="623" spans="1:3" ht="15" customHeight="1">
      <c r="A623" s="98" t="s">
        <v>520</v>
      </c>
      <c r="B623" s="98" t="s">
        <v>331</v>
      </c>
      <c r="C623" s="98" t="s">
        <v>94</v>
      </c>
    </row>
    <row r="624" spans="1:3" ht="15" customHeight="1">
      <c r="A624" s="98" t="s">
        <v>520</v>
      </c>
      <c r="B624" s="98" t="s">
        <v>332</v>
      </c>
      <c r="C624" s="98" t="s">
        <v>95</v>
      </c>
    </row>
    <row r="625" spans="1:3" ht="15" customHeight="1">
      <c r="A625" s="98" t="s">
        <v>520</v>
      </c>
      <c r="B625" s="98" t="s">
        <v>333</v>
      </c>
      <c r="C625" s="98" t="s">
        <v>95</v>
      </c>
    </row>
    <row r="626" spans="1:3" ht="15" customHeight="1">
      <c r="A626" s="98" t="s">
        <v>520</v>
      </c>
      <c r="B626" s="98" t="s">
        <v>334</v>
      </c>
      <c r="C626" s="98" t="s">
        <v>96</v>
      </c>
    </row>
    <row r="627" spans="1:3" ht="15" customHeight="1">
      <c r="A627" s="98" t="s">
        <v>520</v>
      </c>
      <c r="B627" s="98" t="s">
        <v>335</v>
      </c>
      <c r="C627" s="98" t="s">
        <v>95</v>
      </c>
    </row>
    <row r="628" spans="1:3" ht="15" customHeight="1">
      <c r="A628" s="98" t="s">
        <v>520</v>
      </c>
      <c r="B628" s="98" t="s">
        <v>336</v>
      </c>
      <c r="C628" s="98" t="s">
        <v>97</v>
      </c>
    </row>
    <row r="629" spans="1:3" ht="15" customHeight="1">
      <c r="A629" s="98" t="s">
        <v>520</v>
      </c>
      <c r="B629" s="98" t="s">
        <v>337</v>
      </c>
      <c r="C629" s="98" t="s">
        <v>97</v>
      </c>
    </row>
    <row r="630" spans="1:3" ht="15" customHeight="1">
      <c r="A630" s="98" t="s">
        <v>520</v>
      </c>
      <c r="B630" s="98" t="s">
        <v>338</v>
      </c>
      <c r="C630" s="98" t="s">
        <v>94</v>
      </c>
    </row>
    <row r="631" spans="1:3" ht="15" customHeight="1">
      <c r="A631" s="98" t="s">
        <v>520</v>
      </c>
      <c r="B631" s="98" t="s">
        <v>339</v>
      </c>
      <c r="C631" s="98" t="s">
        <v>94</v>
      </c>
    </row>
    <row r="632" spans="1:3" ht="15" customHeight="1">
      <c r="A632" s="98" t="s">
        <v>520</v>
      </c>
      <c r="B632" s="98" t="s">
        <v>340</v>
      </c>
      <c r="C632" s="98" t="s">
        <v>95</v>
      </c>
    </row>
    <row r="633" spans="1:3" ht="15" customHeight="1">
      <c r="A633" s="98" t="s">
        <v>520</v>
      </c>
      <c r="B633" s="98" t="s">
        <v>341</v>
      </c>
      <c r="C633" s="98" t="s">
        <v>98</v>
      </c>
    </row>
    <row r="634" spans="1:3" ht="15" customHeight="1">
      <c r="A634" s="98" t="s">
        <v>520</v>
      </c>
      <c r="B634" s="98" t="s">
        <v>342</v>
      </c>
      <c r="C634" s="98" t="s">
        <v>98</v>
      </c>
    </row>
    <row r="635" spans="1:3" ht="15" customHeight="1">
      <c r="A635" s="98" t="s">
        <v>520</v>
      </c>
      <c r="B635" s="98" t="s">
        <v>343</v>
      </c>
      <c r="C635" s="98" t="s">
        <v>95</v>
      </c>
    </row>
    <row r="636" spans="1:3" ht="15" customHeight="1">
      <c r="A636" s="98" t="s">
        <v>520</v>
      </c>
      <c r="B636" s="98" t="s">
        <v>344</v>
      </c>
      <c r="C636" s="98" t="s">
        <v>98</v>
      </c>
    </row>
    <row r="637" spans="1:3" ht="15" customHeight="1">
      <c r="A637" s="98" t="s">
        <v>520</v>
      </c>
      <c r="B637" s="98" t="s">
        <v>345</v>
      </c>
      <c r="C637" s="98" t="s">
        <v>98</v>
      </c>
    </row>
    <row r="638" spans="1:3" ht="15" customHeight="1">
      <c r="A638" s="98" t="s">
        <v>520</v>
      </c>
      <c r="B638" s="98" t="s">
        <v>346</v>
      </c>
      <c r="C638" s="98" t="s">
        <v>98</v>
      </c>
    </row>
    <row r="639" spans="1:3" ht="15" customHeight="1">
      <c r="A639" s="98" t="s">
        <v>520</v>
      </c>
      <c r="B639" s="98" t="s">
        <v>347</v>
      </c>
      <c r="C639" s="98" t="s">
        <v>98</v>
      </c>
    </row>
    <row r="640" spans="1:3" ht="15" customHeight="1">
      <c r="A640" s="98" t="s">
        <v>520</v>
      </c>
      <c r="B640" s="98" t="s">
        <v>348</v>
      </c>
      <c r="C640" s="98" t="s">
        <v>98</v>
      </c>
    </row>
    <row r="641" spans="1:3" ht="15" customHeight="1">
      <c r="A641" s="98" t="s">
        <v>520</v>
      </c>
      <c r="B641" s="98" t="s">
        <v>349</v>
      </c>
      <c r="C641" s="98" t="s">
        <v>97</v>
      </c>
    </row>
    <row r="642" spans="1:3" ht="15" customHeight="1">
      <c r="A642" s="98" t="s">
        <v>520</v>
      </c>
      <c r="B642" s="98" t="s">
        <v>350</v>
      </c>
      <c r="C642" s="98" t="s">
        <v>95</v>
      </c>
    </row>
    <row r="643" spans="1:3" ht="15" customHeight="1">
      <c r="A643" s="98" t="s">
        <v>520</v>
      </c>
      <c r="B643" s="98" t="s">
        <v>351</v>
      </c>
      <c r="C643" s="98" t="s">
        <v>95</v>
      </c>
    </row>
    <row r="644" spans="1:3" ht="15" customHeight="1">
      <c r="A644" s="98" t="s">
        <v>520</v>
      </c>
      <c r="B644" s="98" t="s">
        <v>352</v>
      </c>
      <c r="C644" s="98" t="s">
        <v>98</v>
      </c>
    </row>
    <row r="645" spans="1:3" ht="15" customHeight="1">
      <c r="A645" s="98" t="s">
        <v>520</v>
      </c>
      <c r="B645" s="98" t="s">
        <v>353</v>
      </c>
      <c r="C645" s="98" t="s">
        <v>98</v>
      </c>
    </row>
    <row r="646" spans="1:3" ht="15" customHeight="1">
      <c r="A646" s="98" t="s">
        <v>520</v>
      </c>
      <c r="B646" s="98" t="s">
        <v>354</v>
      </c>
      <c r="C646" s="98" t="s">
        <v>98</v>
      </c>
    </row>
    <row r="647" spans="1:3" ht="15" customHeight="1">
      <c r="A647" s="98" t="s">
        <v>520</v>
      </c>
      <c r="B647" s="98" t="s">
        <v>355</v>
      </c>
      <c r="C647" s="98" t="s">
        <v>98</v>
      </c>
    </row>
    <row r="648" spans="1:3" ht="15" customHeight="1">
      <c r="A648" s="98" t="s">
        <v>520</v>
      </c>
      <c r="B648" s="98" t="s">
        <v>356</v>
      </c>
      <c r="C648" s="98" t="s">
        <v>98</v>
      </c>
    </row>
    <row r="649" spans="1:3" ht="15" customHeight="1">
      <c r="A649" s="98" t="s">
        <v>520</v>
      </c>
      <c r="B649" s="98" t="s">
        <v>357</v>
      </c>
      <c r="C649" s="98" t="s">
        <v>98</v>
      </c>
    </row>
    <row r="650" spans="1:3" ht="15" customHeight="1">
      <c r="A650" s="98" t="s">
        <v>520</v>
      </c>
      <c r="B650" s="98" t="s">
        <v>358</v>
      </c>
      <c r="C650" s="98" t="s">
        <v>97</v>
      </c>
    </row>
    <row r="651" spans="1:3" ht="15" customHeight="1">
      <c r="A651" s="98" t="s">
        <v>520</v>
      </c>
      <c r="B651" s="98" t="s">
        <v>359</v>
      </c>
      <c r="C651" s="98" t="s">
        <v>95</v>
      </c>
    </row>
    <row r="652" spans="1:3" ht="15" customHeight="1">
      <c r="A652" s="98" t="s">
        <v>520</v>
      </c>
      <c r="B652" s="98" t="s">
        <v>360</v>
      </c>
      <c r="C652" s="98" t="s">
        <v>95</v>
      </c>
    </row>
    <row r="653" spans="1:3" ht="15" customHeight="1">
      <c r="A653" s="98" t="s">
        <v>520</v>
      </c>
      <c r="B653" s="98" t="s">
        <v>361</v>
      </c>
      <c r="C653" s="98" t="s">
        <v>98</v>
      </c>
    </row>
    <row r="654" spans="1:3" ht="15" customHeight="1">
      <c r="A654" s="98" t="s">
        <v>520</v>
      </c>
      <c r="B654" s="98" t="s">
        <v>362</v>
      </c>
      <c r="C654" s="98" t="s">
        <v>98</v>
      </c>
    </row>
    <row r="655" spans="1:3" ht="15" customHeight="1">
      <c r="A655" s="98" t="s">
        <v>520</v>
      </c>
      <c r="B655" s="98" t="s">
        <v>363</v>
      </c>
      <c r="C655" s="98" t="s">
        <v>98</v>
      </c>
    </row>
    <row r="656" spans="1:3" ht="15" customHeight="1">
      <c r="A656" s="98" t="s">
        <v>520</v>
      </c>
      <c r="B656" s="98" t="s">
        <v>364</v>
      </c>
      <c r="C656" s="98" t="s">
        <v>98</v>
      </c>
    </row>
    <row r="657" spans="1:3" ht="15" customHeight="1">
      <c r="A657" s="98" t="s">
        <v>520</v>
      </c>
      <c r="B657" s="98" t="s">
        <v>365</v>
      </c>
      <c r="C657" s="98" t="s">
        <v>98</v>
      </c>
    </row>
    <row r="658" spans="1:3" ht="15" customHeight="1">
      <c r="A658" s="98" t="s">
        <v>520</v>
      </c>
      <c r="B658" s="98" t="s">
        <v>366</v>
      </c>
      <c r="C658" s="98" t="s">
        <v>98</v>
      </c>
    </row>
    <row r="659" spans="1:3" ht="15" customHeight="1">
      <c r="A659" s="98" t="s">
        <v>520</v>
      </c>
      <c r="B659" s="98" t="s">
        <v>367</v>
      </c>
      <c r="C659" s="98" t="s">
        <v>94</v>
      </c>
    </row>
    <row r="660" spans="1:3" ht="15" customHeight="1">
      <c r="A660" s="98" t="s">
        <v>520</v>
      </c>
      <c r="B660" s="98" t="s">
        <v>368</v>
      </c>
      <c r="C660" s="98" t="s">
        <v>94</v>
      </c>
    </row>
    <row r="661" spans="1:3" ht="15" customHeight="1">
      <c r="A661" s="98" t="s">
        <v>520</v>
      </c>
      <c r="B661" s="98" t="s">
        <v>369</v>
      </c>
      <c r="C661" s="98" t="s">
        <v>94</v>
      </c>
    </row>
    <row r="662" spans="1:3" ht="15" customHeight="1">
      <c r="A662" s="98" t="s">
        <v>520</v>
      </c>
      <c r="B662" s="98" t="s">
        <v>370</v>
      </c>
      <c r="C662" s="98" t="s">
        <v>94</v>
      </c>
    </row>
    <row r="663" spans="1:3" ht="15" customHeight="1">
      <c r="A663" s="98" t="s">
        <v>520</v>
      </c>
      <c r="B663" s="98" t="s">
        <v>371</v>
      </c>
      <c r="C663" s="98" t="s">
        <v>94</v>
      </c>
    </row>
    <row r="664" spans="1:3" ht="15" customHeight="1">
      <c r="A664" s="98" t="s">
        <v>520</v>
      </c>
      <c r="B664" s="98" t="s">
        <v>372</v>
      </c>
      <c r="C664" s="98" t="s">
        <v>94</v>
      </c>
    </row>
    <row r="665" spans="1:3" ht="15" customHeight="1">
      <c r="A665" s="98" t="s">
        <v>520</v>
      </c>
      <c r="B665" s="98" t="s">
        <v>373</v>
      </c>
      <c r="C665" s="98" t="s">
        <v>94</v>
      </c>
    </row>
    <row r="666" spans="1:3" ht="15" customHeight="1">
      <c r="A666" s="98" t="s">
        <v>520</v>
      </c>
      <c r="B666" s="98" t="s">
        <v>374</v>
      </c>
      <c r="C666" s="98" t="s">
        <v>94</v>
      </c>
    </row>
    <row r="667" spans="1:3" ht="15" customHeight="1">
      <c r="A667" s="98" t="s">
        <v>520</v>
      </c>
      <c r="B667" s="98" t="s">
        <v>375</v>
      </c>
      <c r="C667" s="98" t="s">
        <v>94</v>
      </c>
    </row>
    <row r="668" spans="1:3" ht="15" customHeight="1">
      <c r="A668" s="98" t="s">
        <v>520</v>
      </c>
      <c r="B668" s="98" t="s">
        <v>376</v>
      </c>
      <c r="C668" s="98" t="s">
        <v>94</v>
      </c>
    </row>
    <row r="669" spans="1:3" ht="15" customHeight="1">
      <c r="A669" s="98" t="s">
        <v>520</v>
      </c>
      <c r="B669" s="98" t="s">
        <v>377</v>
      </c>
      <c r="C669" s="98" t="s">
        <v>98</v>
      </c>
    </row>
    <row r="670" spans="1:3" ht="15" customHeight="1">
      <c r="A670" s="98" t="s">
        <v>520</v>
      </c>
      <c r="B670" s="98" t="s">
        <v>378</v>
      </c>
      <c r="C670" s="98" t="s">
        <v>94</v>
      </c>
    </row>
    <row r="671" spans="1:3" ht="15" customHeight="1">
      <c r="A671" s="98" t="s">
        <v>520</v>
      </c>
      <c r="B671" s="98" t="s">
        <v>379</v>
      </c>
      <c r="C671" s="98" t="s">
        <v>96</v>
      </c>
    </row>
    <row r="672" spans="1:3" ht="15" customHeight="1">
      <c r="A672" s="98" t="s">
        <v>520</v>
      </c>
      <c r="B672" s="98" t="s">
        <v>380</v>
      </c>
      <c r="C672" s="98" t="s">
        <v>96</v>
      </c>
    </row>
    <row r="673" spans="1:3" ht="15" customHeight="1">
      <c r="A673" s="98" t="s">
        <v>520</v>
      </c>
      <c r="B673" s="98" t="s">
        <v>381</v>
      </c>
      <c r="C673" s="98" t="s">
        <v>101</v>
      </c>
    </row>
    <row r="674" spans="1:3" ht="15" customHeight="1">
      <c r="A674" s="98" t="s">
        <v>520</v>
      </c>
      <c r="B674" s="98" t="s">
        <v>382</v>
      </c>
      <c r="C674" s="98" t="s">
        <v>100</v>
      </c>
    </row>
    <row r="675" spans="1:3" ht="15" customHeight="1">
      <c r="A675" s="98" t="s">
        <v>520</v>
      </c>
      <c r="B675" s="98" t="s">
        <v>383</v>
      </c>
      <c r="C675" s="98" t="s">
        <v>100</v>
      </c>
    </row>
    <row r="676" spans="1:3" ht="15" customHeight="1">
      <c r="A676" s="98" t="s">
        <v>520</v>
      </c>
      <c r="B676" s="98" t="s">
        <v>384</v>
      </c>
      <c r="C676" s="98" t="s">
        <v>95</v>
      </c>
    </row>
    <row r="677" spans="1:3" ht="15" customHeight="1">
      <c r="A677" s="98" t="s">
        <v>520</v>
      </c>
      <c r="B677" s="98" t="s">
        <v>385</v>
      </c>
      <c r="C677" s="98" t="s">
        <v>95</v>
      </c>
    </row>
    <row r="678" spans="1:3" ht="15" customHeight="1">
      <c r="A678" s="98" t="s">
        <v>520</v>
      </c>
      <c r="B678" s="98" t="s">
        <v>386</v>
      </c>
      <c r="C678" s="98" t="s">
        <v>95</v>
      </c>
    </row>
    <row r="679" spans="1:3" ht="15" customHeight="1">
      <c r="A679" s="98" t="s">
        <v>520</v>
      </c>
      <c r="B679" s="98" t="s">
        <v>387</v>
      </c>
      <c r="C679" s="98" t="s">
        <v>95</v>
      </c>
    </row>
    <row r="680" spans="1:3" ht="15" customHeight="1">
      <c r="A680" s="98" t="s">
        <v>520</v>
      </c>
      <c r="B680" s="98" t="s">
        <v>388</v>
      </c>
      <c r="C680" s="98" t="s">
        <v>95</v>
      </c>
    </row>
    <row r="681" spans="1:3" ht="15" customHeight="1">
      <c r="A681" s="98" t="s">
        <v>520</v>
      </c>
      <c r="B681" s="98" t="s">
        <v>389</v>
      </c>
      <c r="C681" s="98" t="s">
        <v>95</v>
      </c>
    </row>
    <row r="682" spans="1:3" ht="15" customHeight="1">
      <c r="A682" s="98" t="s">
        <v>520</v>
      </c>
      <c r="B682" s="98" t="s">
        <v>390</v>
      </c>
      <c r="C682" s="98" t="s">
        <v>98</v>
      </c>
    </row>
    <row r="683" spans="1:3" ht="15" customHeight="1">
      <c r="A683" s="98" t="s">
        <v>520</v>
      </c>
      <c r="B683" s="98" t="s">
        <v>391</v>
      </c>
      <c r="C683" s="98" t="s">
        <v>98</v>
      </c>
    </row>
    <row r="684" spans="1:3" ht="15" customHeight="1">
      <c r="A684" s="98" t="s">
        <v>520</v>
      </c>
      <c r="B684" s="98" t="s">
        <v>392</v>
      </c>
      <c r="C684" s="98" t="s">
        <v>98</v>
      </c>
    </row>
    <row r="685" spans="1:3" ht="15" customHeight="1">
      <c r="A685" s="98" t="s">
        <v>520</v>
      </c>
      <c r="B685" s="98" t="s">
        <v>393</v>
      </c>
      <c r="C685" s="98" t="s">
        <v>98</v>
      </c>
    </row>
    <row r="686" spans="1:3" ht="15" customHeight="1">
      <c r="A686" s="98" t="s">
        <v>520</v>
      </c>
      <c r="B686" s="98" t="s">
        <v>394</v>
      </c>
      <c r="C686" s="98" t="s">
        <v>98</v>
      </c>
    </row>
    <row r="687" spans="1:3" ht="15" customHeight="1">
      <c r="A687" s="98" t="s">
        <v>520</v>
      </c>
      <c r="B687" s="98" t="s">
        <v>395</v>
      </c>
      <c r="C687" s="98" t="s">
        <v>98</v>
      </c>
    </row>
    <row r="688" spans="1:3" ht="15" customHeight="1">
      <c r="A688" s="98" t="s">
        <v>520</v>
      </c>
      <c r="B688" s="98" t="s">
        <v>396</v>
      </c>
      <c r="C688" s="98" t="s">
        <v>100</v>
      </c>
    </row>
    <row r="689" spans="1:3" ht="15" customHeight="1">
      <c r="A689" s="98" t="s">
        <v>520</v>
      </c>
      <c r="B689" s="98" t="s">
        <v>397</v>
      </c>
      <c r="C689" s="98" t="s">
        <v>100</v>
      </c>
    </row>
    <row r="690" spans="1:3" ht="15" customHeight="1">
      <c r="A690" s="98" t="s">
        <v>520</v>
      </c>
      <c r="B690" s="98" t="s">
        <v>398</v>
      </c>
      <c r="C690" s="98" t="s">
        <v>100</v>
      </c>
    </row>
    <row r="691" spans="1:3" ht="15" customHeight="1">
      <c r="A691" s="98" t="s">
        <v>520</v>
      </c>
      <c r="B691" s="98" t="s">
        <v>399</v>
      </c>
      <c r="C691" s="98" t="s">
        <v>94</v>
      </c>
    </row>
    <row r="692" spans="1:3" ht="15" customHeight="1">
      <c r="A692" s="98" t="s">
        <v>520</v>
      </c>
      <c r="B692" s="98" t="s">
        <v>400</v>
      </c>
      <c r="C692" s="98" t="s">
        <v>100</v>
      </c>
    </row>
    <row r="693" spans="1:3" ht="15" customHeight="1">
      <c r="A693" s="98" t="s">
        <v>520</v>
      </c>
      <c r="B693" s="98" t="s">
        <v>401</v>
      </c>
      <c r="C693" s="98" t="s">
        <v>94</v>
      </c>
    </row>
    <row r="694" spans="1:3" ht="15" customHeight="1">
      <c r="A694" s="98" t="s">
        <v>521</v>
      </c>
      <c r="B694" s="98">
        <v>8522</v>
      </c>
      <c r="C694" s="98" t="s">
        <v>100</v>
      </c>
    </row>
    <row r="695" spans="1:3" ht="15" customHeight="1">
      <c r="A695" s="98" t="s">
        <v>521</v>
      </c>
      <c r="B695" s="98">
        <v>1431</v>
      </c>
      <c r="C695" s="98" t="s">
        <v>97</v>
      </c>
    </row>
    <row r="696" spans="1:3" ht="15" customHeight="1">
      <c r="A696" s="98" t="s">
        <v>521</v>
      </c>
      <c r="B696" s="98">
        <v>1461</v>
      </c>
      <c r="C696" s="98" t="s">
        <v>97</v>
      </c>
    </row>
    <row r="697" spans="1:3" ht="15" customHeight="1">
      <c r="A697" s="98" t="s">
        <v>521</v>
      </c>
      <c r="B697" s="98">
        <v>1526</v>
      </c>
      <c r="C697" s="98" t="s">
        <v>97</v>
      </c>
    </row>
    <row r="698" spans="1:3" ht="15" customHeight="1">
      <c r="A698" s="98" t="s">
        <v>521</v>
      </c>
      <c r="B698" s="98">
        <v>1535</v>
      </c>
      <c r="C698" s="98" t="s">
        <v>97</v>
      </c>
    </row>
    <row r="699" spans="1:3" ht="15" customHeight="1">
      <c r="A699" s="98" t="s">
        <v>521</v>
      </c>
      <c r="B699" s="98">
        <v>1670</v>
      </c>
      <c r="C699" s="98" t="s">
        <v>95</v>
      </c>
    </row>
    <row r="700" spans="1:3" ht="15" customHeight="1">
      <c r="A700" s="98" t="s">
        <v>521</v>
      </c>
      <c r="B700" s="98">
        <v>1695</v>
      </c>
      <c r="C700" s="98" t="s">
        <v>94</v>
      </c>
    </row>
    <row r="701" spans="1:3" ht="15" customHeight="1">
      <c r="A701" s="98" t="s">
        <v>521</v>
      </c>
      <c r="B701" s="98">
        <v>1697</v>
      </c>
      <c r="C701" s="98" t="s">
        <v>94</v>
      </c>
    </row>
    <row r="702" spans="1:3" ht="15" customHeight="1">
      <c r="A702" s="98" t="s">
        <v>521</v>
      </c>
      <c r="B702" s="98">
        <v>1698</v>
      </c>
      <c r="C702" s="98" t="s">
        <v>94</v>
      </c>
    </row>
    <row r="703" spans="1:3" ht="15" customHeight="1">
      <c r="A703" s="98" t="s">
        <v>521</v>
      </c>
      <c r="B703" s="98">
        <v>1699</v>
      </c>
      <c r="C703" s="98" t="s">
        <v>94</v>
      </c>
    </row>
    <row r="704" spans="1:3" ht="15" customHeight="1">
      <c r="A704" s="98" t="s">
        <v>521</v>
      </c>
      <c r="B704" s="98">
        <v>1727</v>
      </c>
      <c r="C704" s="98" t="s">
        <v>93</v>
      </c>
    </row>
    <row r="705" spans="1:3" ht="15" customHeight="1">
      <c r="A705" s="98" t="s">
        <v>521</v>
      </c>
      <c r="B705" s="98">
        <v>1732</v>
      </c>
      <c r="C705" s="98" t="s">
        <v>94</v>
      </c>
    </row>
    <row r="706" spans="1:3" ht="15" customHeight="1">
      <c r="A706" s="98" t="s">
        <v>521</v>
      </c>
      <c r="B706" s="98">
        <v>1733</v>
      </c>
      <c r="C706" s="98" t="s">
        <v>93</v>
      </c>
    </row>
    <row r="707" spans="1:3" ht="15" customHeight="1">
      <c r="A707" s="98" t="s">
        <v>521</v>
      </c>
      <c r="B707" s="98">
        <v>1735</v>
      </c>
      <c r="C707" s="98" t="s">
        <v>93</v>
      </c>
    </row>
    <row r="708" spans="1:3" ht="15" customHeight="1">
      <c r="A708" s="98" t="s">
        <v>521</v>
      </c>
      <c r="B708" s="98">
        <v>1737</v>
      </c>
      <c r="C708" s="98" t="s">
        <v>93</v>
      </c>
    </row>
    <row r="709" spans="1:3" ht="15" customHeight="1">
      <c r="A709" s="98" t="s">
        <v>521</v>
      </c>
      <c r="B709" s="98">
        <v>1738</v>
      </c>
      <c r="C709" s="98" t="s">
        <v>93</v>
      </c>
    </row>
    <row r="710" spans="1:3" ht="15" customHeight="1">
      <c r="A710" s="98" t="s">
        <v>521</v>
      </c>
      <c r="B710" s="98">
        <v>1739</v>
      </c>
      <c r="C710" s="98" t="s">
        <v>94</v>
      </c>
    </row>
    <row r="711" spans="1:3" ht="15" customHeight="1">
      <c r="A711" s="98" t="s">
        <v>521</v>
      </c>
      <c r="B711" s="98">
        <v>1742</v>
      </c>
      <c r="C711" s="98" t="s">
        <v>93</v>
      </c>
    </row>
    <row r="712" spans="1:3" ht="15" customHeight="1">
      <c r="A712" s="98" t="s">
        <v>521</v>
      </c>
      <c r="B712" s="98">
        <v>1743</v>
      </c>
      <c r="C712" s="98" t="s">
        <v>93</v>
      </c>
    </row>
    <row r="713" spans="1:3" ht="15" customHeight="1">
      <c r="A713" s="98" t="s">
        <v>521</v>
      </c>
      <c r="B713" s="98">
        <v>1744</v>
      </c>
      <c r="C713" s="98" t="s">
        <v>93</v>
      </c>
    </row>
    <row r="714" spans="1:3" ht="15" customHeight="1">
      <c r="A714" s="98" t="s">
        <v>521</v>
      </c>
      <c r="B714" s="98">
        <v>1746</v>
      </c>
      <c r="C714" s="98" t="s">
        <v>94</v>
      </c>
    </row>
    <row r="715" spans="1:3" ht="15" customHeight="1">
      <c r="A715" s="98" t="s">
        <v>521</v>
      </c>
      <c r="B715" s="98">
        <v>1747</v>
      </c>
      <c r="C715" s="98" t="s">
        <v>93</v>
      </c>
    </row>
    <row r="716" spans="1:3" ht="15" customHeight="1">
      <c r="A716" s="98" t="s">
        <v>521</v>
      </c>
      <c r="B716" s="98">
        <v>1748</v>
      </c>
      <c r="C716" s="98" t="s">
        <v>93</v>
      </c>
    </row>
    <row r="717" spans="1:3" ht="15" customHeight="1">
      <c r="A717" s="98" t="s">
        <v>521</v>
      </c>
      <c r="B717" s="98">
        <v>1749</v>
      </c>
      <c r="C717" s="98" t="s">
        <v>95</v>
      </c>
    </row>
    <row r="718" spans="1:3" ht="15" customHeight="1">
      <c r="A718" s="98" t="s">
        <v>521</v>
      </c>
      <c r="B718" s="98">
        <v>1776</v>
      </c>
      <c r="C718" s="98" t="s">
        <v>94</v>
      </c>
    </row>
    <row r="719" spans="1:3" ht="15" customHeight="1">
      <c r="A719" s="98" t="s">
        <v>521</v>
      </c>
      <c r="B719" s="98">
        <v>1777</v>
      </c>
      <c r="C719" s="98" t="s">
        <v>94</v>
      </c>
    </row>
    <row r="720" spans="1:3" ht="15" customHeight="1">
      <c r="A720" s="98" t="s">
        <v>521</v>
      </c>
      <c r="B720" s="98">
        <v>1778</v>
      </c>
      <c r="C720" s="98" t="s">
        <v>94</v>
      </c>
    </row>
    <row r="721" spans="1:3" ht="15" customHeight="1">
      <c r="A721" s="98" t="s">
        <v>521</v>
      </c>
      <c r="B721" s="98">
        <v>1779</v>
      </c>
      <c r="C721" s="98" t="s">
        <v>94</v>
      </c>
    </row>
    <row r="722" spans="1:3" ht="15" customHeight="1">
      <c r="A722" s="98" t="s">
        <v>521</v>
      </c>
      <c r="B722" s="98">
        <v>1780</v>
      </c>
      <c r="C722" s="98" t="s">
        <v>94</v>
      </c>
    </row>
    <row r="723" spans="1:3" ht="15" customHeight="1">
      <c r="A723" s="98" t="s">
        <v>521</v>
      </c>
      <c r="B723" s="98">
        <v>1781</v>
      </c>
      <c r="C723" s="98" t="s">
        <v>94</v>
      </c>
    </row>
    <row r="724" spans="1:3" ht="15" customHeight="1">
      <c r="A724" s="98" t="s">
        <v>521</v>
      </c>
      <c r="B724" s="98">
        <v>1782</v>
      </c>
      <c r="C724" s="98" t="s">
        <v>94</v>
      </c>
    </row>
    <row r="725" spans="1:3" ht="15" customHeight="1">
      <c r="A725" s="98" t="s">
        <v>521</v>
      </c>
      <c r="B725" s="98">
        <v>1783</v>
      </c>
      <c r="C725" s="98" t="s">
        <v>94</v>
      </c>
    </row>
    <row r="726" spans="1:3" ht="15" customHeight="1">
      <c r="A726" s="98" t="s">
        <v>521</v>
      </c>
      <c r="B726" s="98">
        <v>1798</v>
      </c>
      <c r="C726" s="98" t="s">
        <v>94</v>
      </c>
    </row>
    <row r="727" spans="1:3" ht="15" customHeight="1">
      <c r="A727" s="98" t="s">
        <v>521</v>
      </c>
      <c r="B727" s="98">
        <v>1849</v>
      </c>
      <c r="C727" s="98" t="s">
        <v>94</v>
      </c>
    </row>
    <row r="728" spans="1:3" ht="15" customHeight="1">
      <c r="A728" s="98" t="s">
        <v>521</v>
      </c>
      <c r="B728" s="98">
        <v>1850</v>
      </c>
      <c r="C728" s="98" t="s">
        <v>94</v>
      </c>
    </row>
    <row r="729" spans="1:3" ht="15" customHeight="1">
      <c r="A729" s="98" t="s">
        <v>521</v>
      </c>
      <c r="B729" s="98">
        <v>1858</v>
      </c>
      <c r="C729" s="98" t="s">
        <v>94</v>
      </c>
    </row>
    <row r="730" spans="1:3" ht="15" customHeight="1">
      <c r="A730" s="98" t="s">
        <v>521</v>
      </c>
      <c r="B730" s="98">
        <v>1859</v>
      </c>
      <c r="C730" s="98" t="s">
        <v>94</v>
      </c>
    </row>
    <row r="731" spans="1:3" ht="15" customHeight="1">
      <c r="A731" s="98" t="s">
        <v>521</v>
      </c>
      <c r="B731" s="98">
        <v>1866</v>
      </c>
      <c r="C731" s="98" t="s">
        <v>93</v>
      </c>
    </row>
    <row r="732" spans="1:3" ht="15" customHeight="1">
      <c r="A732" s="98" t="s">
        <v>521</v>
      </c>
      <c r="B732" s="98">
        <v>1867</v>
      </c>
      <c r="C732" s="98" t="s">
        <v>94</v>
      </c>
    </row>
    <row r="733" spans="1:3" ht="15" customHeight="1">
      <c r="A733" s="98" t="s">
        <v>521</v>
      </c>
      <c r="B733" s="98">
        <v>1868</v>
      </c>
      <c r="C733" s="98" t="s">
        <v>94</v>
      </c>
    </row>
    <row r="734" spans="1:3" ht="15" customHeight="1">
      <c r="A734" s="98" t="s">
        <v>521</v>
      </c>
      <c r="B734" s="98">
        <v>1869</v>
      </c>
      <c r="C734" s="98" t="s">
        <v>94</v>
      </c>
    </row>
    <row r="735" spans="1:3" ht="15" customHeight="1">
      <c r="A735" s="98" t="s">
        <v>521</v>
      </c>
      <c r="B735" s="98">
        <v>1890</v>
      </c>
      <c r="C735" s="98" t="s">
        <v>94</v>
      </c>
    </row>
    <row r="736" spans="1:3" ht="15" customHeight="1">
      <c r="A736" s="98" t="s">
        <v>521</v>
      </c>
      <c r="B736" s="98">
        <v>1891</v>
      </c>
      <c r="C736" s="98" t="s">
        <v>93</v>
      </c>
    </row>
    <row r="737" spans="1:3" ht="15" customHeight="1">
      <c r="A737" s="98" t="s">
        <v>521</v>
      </c>
      <c r="B737" s="98">
        <v>1892</v>
      </c>
      <c r="C737" s="98" t="s">
        <v>93</v>
      </c>
    </row>
    <row r="738" spans="1:3" ht="15" customHeight="1">
      <c r="A738" s="98" t="s">
        <v>521</v>
      </c>
      <c r="B738" s="98">
        <v>1893</v>
      </c>
      <c r="C738" s="98" t="s">
        <v>93</v>
      </c>
    </row>
    <row r="739" spans="1:3" ht="15" customHeight="1">
      <c r="A739" s="98" t="s">
        <v>521</v>
      </c>
      <c r="B739" s="98">
        <v>1895</v>
      </c>
      <c r="C739" s="98" t="s">
        <v>94</v>
      </c>
    </row>
    <row r="740" spans="1:3" ht="15" customHeight="1">
      <c r="A740" s="98" t="s">
        <v>521</v>
      </c>
      <c r="B740" s="98">
        <v>1896</v>
      </c>
      <c r="C740" s="98" t="s">
        <v>94</v>
      </c>
    </row>
    <row r="741" spans="1:3" ht="15" customHeight="1">
      <c r="A741" s="98" t="s">
        <v>521</v>
      </c>
      <c r="B741" s="98">
        <v>1898</v>
      </c>
      <c r="C741" s="98" t="s">
        <v>94</v>
      </c>
    </row>
    <row r="742" spans="1:3" ht="15" customHeight="1">
      <c r="A742" s="98" t="s">
        <v>521</v>
      </c>
      <c r="B742" s="98">
        <v>1899</v>
      </c>
      <c r="C742" s="98" t="s">
        <v>94</v>
      </c>
    </row>
    <row r="743" spans="1:3" ht="15" customHeight="1">
      <c r="A743" s="98" t="s">
        <v>521</v>
      </c>
      <c r="B743" s="98">
        <v>1935</v>
      </c>
      <c r="C743" s="98" t="s">
        <v>98</v>
      </c>
    </row>
    <row r="744" spans="1:3" ht="15" customHeight="1">
      <c r="A744" s="98" t="s">
        <v>521</v>
      </c>
      <c r="B744" s="98">
        <v>1936</v>
      </c>
      <c r="C744" s="98" t="s">
        <v>98</v>
      </c>
    </row>
    <row r="745" spans="1:3" ht="15" customHeight="1">
      <c r="A745" s="98" t="s">
        <v>521</v>
      </c>
      <c r="B745" s="98">
        <v>1937</v>
      </c>
      <c r="C745" s="98" t="s">
        <v>98</v>
      </c>
    </row>
    <row r="746" spans="1:3" ht="15" customHeight="1">
      <c r="A746" s="98" t="s">
        <v>521</v>
      </c>
      <c r="B746" s="98">
        <v>1943</v>
      </c>
      <c r="C746" s="98" t="s">
        <v>94</v>
      </c>
    </row>
    <row r="747" spans="1:3" ht="15" customHeight="1">
      <c r="A747" s="98" t="s">
        <v>521</v>
      </c>
      <c r="B747" s="98">
        <v>1944</v>
      </c>
      <c r="C747" s="98" t="s">
        <v>94</v>
      </c>
    </row>
    <row r="748" spans="1:3" ht="15" customHeight="1">
      <c r="A748" s="98" t="s">
        <v>521</v>
      </c>
      <c r="B748" s="98">
        <v>1984</v>
      </c>
      <c r="C748" s="98" t="s">
        <v>94</v>
      </c>
    </row>
    <row r="749" spans="1:3" ht="15" customHeight="1">
      <c r="A749" s="98" t="s">
        <v>521</v>
      </c>
      <c r="B749" s="98">
        <v>2086</v>
      </c>
      <c r="C749" s="98" t="s">
        <v>94</v>
      </c>
    </row>
    <row r="750" spans="1:3" ht="15" customHeight="1">
      <c r="A750" s="98" t="s">
        <v>521</v>
      </c>
      <c r="B750" s="98">
        <v>2087</v>
      </c>
      <c r="C750" s="98" t="s">
        <v>94</v>
      </c>
    </row>
    <row r="751" spans="1:3" ht="15" customHeight="1">
      <c r="A751" s="98" t="s">
        <v>521</v>
      </c>
      <c r="B751" s="98">
        <v>2145</v>
      </c>
      <c r="C751" s="98" t="s">
        <v>100</v>
      </c>
    </row>
    <row r="752" spans="1:3" ht="15" customHeight="1">
      <c r="A752" s="98" t="s">
        <v>521</v>
      </c>
      <c r="B752" s="98">
        <v>2146</v>
      </c>
      <c r="C752" s="98" t="s">
        <v>100</v>
      </c>
    </row>
    <row r="753" spans="1:3" ht="15" customHeight="1">
      <c r="A753" s="98" t="s">
        <v>521</v>
      </c>
      <c r="B753" s="98">
        <v>2157</v>
      </c>
      <c r="C753" s="98" t="s">
        <v>100</v>
      </c>
    </row>
    <row r="754" spans="1:3" ht="15" customHeight="1">
      <c r="A754" s="98" t="s">
        <v>521</v>
      </c>
      <c r="B754" s="98">
        <v>2231</v>
      </c>
      <c r="C754" s="98" t="s">
        <v>94</v>
      </c>
    </row>
    <row r="755" spans="1:3" ht="15" customHeight="1">
      <c r="A755" s="98" t="s">
        <v>521</v>
      </c>
      <c r="B755" s="98">
        <v>2232</v>
      </c>
      <c r="C755" s="98" t="s">
        <v>94</v>
      </c>
    </row>
    <row r="756" spans="1:3" ht="15" customHeight="1">
      <c r="A756" s="98" t="s">
        <v>521</v>
      </c>
      <c r="B756" s="98">
        <v>2233</v>
      </c>
      <c r="C756" s="98" t="s">
        <v>94</v>
      </c>
    </row>
    <row r="757" spans="1:3" ht="15" customHeight="1">
      <c r="A757" s="98" t="s">
        <v>521</v>
      </c>
      <c r="B757" s="98">
        <v>2234</v>
      </c>
      <c r="C757" s="98" t="s">
        <v>94</v>
      </c>
    </row>
    <row r="758" spans="1:3" ht="15" customHeight="1">
      <c r="A758" s="98" t="s">
        <v>521</v>
      </c>
      <c r="B758" s="98">
        <v>2235</v>
      </c>
      <c r="C758" s="98" t="s">
        <v>94</v>
      </c>
    </row>
    <row r="759" spans="1:3" ht="15" customHeight="1">
      <c r="A759" s="98" t="s">
        <v>521</v>
      </c>
      <c r="B759" s="98">
        <v>2236</v>
      </c>
      <c r="C759" s="98" t="s">
        <v>94</v>
      </c>
    </row>
    <row r="760" spans="1:3" ht="15" customHeight="1">
      <c r="A760" s="98" t="s">
        <v>521</v>
      </c>
      <c r="B760" s="98">
        <v>2533</v>
      </c>
      <c r="C760" s="98" t="s">
        <v>94</v>
      </c>
    </row>
    <row r="761" spans="1:3" ht="15" customHeight="1">
      <c r="A761" s="98" t="s">
        <v>521</v>
      </c>
      <c r="B761" s="98">
        <v>2650</v>
      </c>
      <c r="C761" s="98" t="s">
        <v>97</v>
      </c>
    </row>
    <row r="762" spans="1:3" ht="15" customHeight="1">
      <c r="A762" s="98" t="s">
        <v>521</v>
      </c>
      <c r="B762" s="98">
        <v>2665</v>
      </c>
      <c r="C762" s="98" t="s">
        <v>97</v>
      </c>
    </row>
    <row r="763" spans="1:3" ht="15" customHeight="1">
      <c r="A763" s="98" t="s">
        <v>521</v>
      </c>
      <c r="B763" s="98">
        <v>2680</v>
      </c>
      <c r="C763" s="98" t="s">
        <v>97</v>
      </c>
    </row>
    <row r="764" spans="1:3" ht="15" customHeight="1">
      <c r="A764" s="98" t="s">
        <v>521</v>
      </c>
      <c r="B764" s="98">
        <v>2705</v>
      </c>
      <c r="C764" s="98" t="s">
        <v>100</v>
      </c>
    </row>
    <row r="765" spans="1:3" ht="15" customHeight="1">
      <c r="A765" s="98" t="s">
        <v>521</v>
      </c>
      <c r="B765" s="98">
        <v>2720</v>
      </c>
      <c r="C765" s="98" t="s">
        <v>100</v>
      </c>
    </row>
    <row r="766" spans="1:3" ht="15" customHeight="1">
      <c r="A766" s="98" t="s">
        <v>521</v>
      </c>
      <c r="B766" s="98">
        <v>2735</v>
      </c>
      <c r="C766" s="98" t="s">
        <v>100</v>
      </c>
    </row>
    <row r="767" spans="1:3" ht="15" customHeight="1">
      <c r="A767" s="98" t="s">
        <v>521</v>
      </c>
      <c r="B767" s="98">
        <v>2750</v>
      </c>
      <c r="C767" s="98" t="s">
        <v>100</v>
      </c>
    </row>
    <row r="768" spans="1:3" ht="15" customHeight="1">
      <c r="A768" s="98" t="s">
        <v>521</v>
      </c>
      <c r="B768" s="98">
        <v>2765</v>
      </c>
      <c r="C768" s="98" t="s">
        <v>100</v>
      </c>
    </row>
    <row r="769" spans="1:3" ht="15" customHeight="1">
      <c r="A769" s="98" t="s">
        <v>521</v>
      </c>
      <c r="B769" s="98">
        <v>2780</v>
      </c>
      <c r="C769" s="98" t="s">
        <v>97</v>
      </c>
    </row>
    <row r="770" spans="1:3" ht="15" customHeight="1">
      <c r="A770" s="98" t="s">
        <v>521</v>
      </c>
      <c r="B770" s="98">
        <v>2808</v>
      </c>
      <c r="C770" s="98" t="s">
        <v>94</v>
      </c>
    </row>
    <row r="771" spans="1:3" ht="15" customHeight="1">
      <c r="A771" s="98" t="s">
        <v>521</v>
      </c>
      <c r="B771" s="98">
        <v>2814</v>
      </c>
      <c r="C771" s="98" t="s">
        <v>94</v>
      </c>
    </row>
    <row r="772" spans="1:3" ht="15" customHeight="1">
      <c r="A772" s="98" t="s">
        <v>521</v>
      </c>
      <c r="B772" s="98">
        <v>2815</v>
      </c>
      <c r="C772" s="98" t="s">
        <v>94</v>
      </c>
    </row>
    <row r="773" spans="1:3" ht="15" customHeight="1">
      <c r="A773" s="98" t="s">
        <v>521</v>
      </c>
      <c r="B773" s="98">
        <v>2885</v>
      </c>
      <c r="C773" s="98" t="s">
        <v>94</v>
      </c>
    </row>
    <row r="774" spans="1:3" ht="15" customHeight="1">
      <c r="A774" s="98" t="s">
        <v>521</v>
      </c>
      <c r="B774" s="98">
        <v>3122</v>
      </c>
      <c r="C774" s="98" t="s">
        <v>96</v>
      </c>
    </row>
    <row r="775" spans="1:3" ht="15" customHeight="1">
      <c r="A775" s="98" t="s">
        <v>521</v>
      </c>
      <c r="B775" s="98">
        <v>3123</v>
      </c>
      <c r="C775" s="98" t="s">
        <v>96</v>
      </c>
    </row>
    <row r="776" spans="1:3" ht="15" customHeight="1">
      <c r="A776" s="98" t="s">
        <v>521</v>
      </c>
      <c r="B776" s="98">
        <v>3124</v>
      </c>
      <c r="C776" s="98" t="s">
        <v>96</v>
      </c>
    </row>
    <row r="777" spans="1:3" ht="15" customHeight="1">
      <c r="A777" s="98" t="s">
        <v>521</v>
      </c>
      <c r="B777" s="98">
        <v>3126</v>
      </c>
      <c r="C777" s="98" t="s">
        <v>96</v>
      </c>
    </row>
    <row r="778" spans="1:3" ht="15" customHeight="1">
      <c r="A778" s="98" t="s">
        <v>521</v>
      </c>
      <c r="B778" s="98">
        <v>3128</v>
      </c>
      <c r="C778" s="98" t="s">
        <v>100</v>
      </c>
    </row>
    <row r="779" spans="1:3" ht="15" customHeight="1">
      <c r="A779" s="98" t="s">
        <v>521</v>
      </c>
      <c r="B779" s="98">
        <v>3129</v>
      </c>
      <c r="C779" s="98" t="s">
        <v>96</v>
      </c>
    </row>
    <row r="780" spans="1:3" ht="15" customHeight="1">
      <c r="A780" s="98" t="s">
        <v>521</v>
      </c>
      <c r="B780" s="98">
        <v>3131</v>
      </c>
      <c r="C780" s="98" t="s">
        <v>100</v>
      </c>
    </row>
    <row r="781" spans="1:3" ht="15" customHeight="1">
      <c r="A781" s="98" t="s">
        <v>521</v>
      </c>
      <c r="B781" s="98">
        <v>3132</v>
      </c>
      <c r="C781" s="98" t="s">
        <v>100</v>
      </c>
    </row>
    <row r="782" spans="1:3" ht="15" customHeight="1">
      <c r="A782" s="98" t="s">
        <v>521</v>
      </c>
      <c r="B782" s="98">
        <v>3143</v>
      </c>
      <c r="C782" s="98" t="s">
        <v>100</v>
      </c>
    </row>
    <row r="783" spans="1:3" ht="15" customHeight="1">
      <c r="A783" s="98" t="s">
        <v>521</v>
      </c>
      <c r="B783" s="98">
        <v>3161</v>
      </c>
      <c r="C783" s="98" t="s">
        <v>94</v>
      </c>
    </row>
    <row r="784" spans="1:3" ht="15" customHeight="1">
      <c r="A784" s="98" t="s">
        <v>521</v>
      </c>
      <c r="B784" s="98">
        <v>3165</v>
      </c>
      <c r="C784" s="98" t="s">
        <v>100</v>
      </c>
    </row>
    <row r="785" spans="1:3" ht="15" customHeight="1">
      <c r="A785" s="98" t="s">
        <v>521</v>
      </c>
      <c r="B785" s="98">
        <v>3166</v>
      </c>
      <c r="C785" s="98" t="s">
        <v>94</v>
      </c>
    </row>
    <row r="786" spans="1:3" ht="15" customHeight="1">
      <c r="A786" s="98" t="s">
        <v>521</v>
      </c>
      <c r="B786" s="98">
        <v>3187</v>
      </c>
      <c r="C786" s="98" t="s">
        <v>100</v>
      </c>
    </row>
    <row r="787" spans="1:3" ht="15" customHeight="1">
      <c r="A787" s="98" t="s">
        <v>521</v>
      </c>
      <c r="B787" s="98">
        <v>3189</v>
      </c>
      <c r="C787" s="98" t="s">
        <v>100</v>
      </c>
    </row>
    <row r="788" spans="1:3" ht="15" customHeight="1">
      <c r="A788" s="98" t="s">
        <v>521</v>
      </c>
      <c r="B788" s="98">
        <v>3195</v>
      </c>
      <c r="C788" s="98" t="s">
        <v>100</v>
      </c>
    </row>
    <row r="789" spans="1:3" ht="15" customHeight="1">
      <c r="A789" s="98" t="s">
        <v>521</v>
      </c>
      <c r="B789" s="98">
        <v>3294</v>
      </c>
      <c r="C789" s="98" t="s">
        <v>100</v>
      </c>
    </row>
    <row r="790" spans="1:3" ht="15" customHeight="1">
      <c r="A790" s="98" t="s">
        <v>521</v>
      </c>
      <c r="B790" s="98">
        <v>3264</v>
      </c>
      <c r="C790" s="98" t="s">
        <v>100</v>
      </c>
    </row>
    <row r="791" spans="1:3" ht="15" customHeight="1">
      <c r="A791" s="98" t="s">
        <v>521</v>
      </c>
      <c r="B791" s="98">
        <v>3280</v>
      </c>
      <c r="C791" s="98" t="s">
        <v>100</v>
      </c>
    </row>
    <row r="792" spans="1:3" ht="15" customHeight="1">
      <c r="A792" s="98" t="s">
        <v>521</v>
      </c>
      <c r="B792" s="98">
        <v>3320</v>
      </c>
      <c r="C792" s="98" t="s">
        <v>100</v>
      </c>
    </row>
    <row r="793" spans="1:3" ht="15" customHeight="1">
      <c r="A793" s="98" t="s">
        <v>521</v>
      </c>
      <c r="B793" s="98">
        <v>3330</v>
      </c>
      <c r="C793" s="98" t="s">
        <v>100</v>
      </c>
    </row>
    <row r="794" spans="1:3" ht="15" customHeight="1">
      <c r="A794" s="98" t="s">
        <v>521</v>
      </c>
      <c r="B794" s="98">
        <v>3340</v>
      </c>
      <c r="C794" s="98" t="s">
        <v>100</v>
      </c>
    </row>
    <row r="795" spans="1:3" ht="15" customHeight="1">
      <c r="A795" s="98" t="s">
        <v>521</v>
      </c>
      <c r="B795" s="98">
        <v>3350</v>
      </c>
      <c r="C795" s="98" t="s">
        <v>100</v>
      </c>
    </row>
    <row r="796" spans="1:3" ht="15" customHeight="1">
      <c r="A796" s="98" t="s">
        <v>521</v>
      </c>
      <c r="B796" s="98">
        <v>3380</v>
      </c>
      <c r="C796" s="98" t="s">
        <v>94</v>
      </c>
    </row>
    <row r="797" spans="1:3" ht="15" customHeight="1">
      <c r="A797" s="98" t="s">
        <v>521</v>
      </c>
      <c r="B797" s="98">
        <v>3400</v>
      </c>
      <c r="C797" s="98" t="s">
        <v>94</v>
      </c>
    </row>
    <row r="798" spans="1:3" ht="15" customHeight="1">
      <c r="A798" s="98" t="s">
        <v>521</v>
      </c>
      <c r="B798" s="98">
        <v>3401</v>
      </c>
      <c r="C798" s="98" t="s">
        <v>98</v>
      </c>
    </row>
    <row r="799" spans="1:3" ht="15" customHeight="1">
      <c r="A799" s="98" t="s">
        <v>521</v>
      </c>
      <c r="B799" s="98">
        <v>3405</v>
      </c>
      <c r="C799" s="98" t="s">
        <v>94</v>
      </c>
    </row>
    <row r="800" spans="1:3" ht="15" customHeight="1">
      <c r="A800" s="98" t="s">
        <v>521</v>
      </c>
      <c r="B800" s="98">
        <v>3406</v>
      </c>
      <c r="C800" s="98" t="s">
        <v>94</v>
      </c>
    </row>
    <row r="801" spans="1:3" ht="15" customHeight="1">
      <c r="A801" s="98" t="s">
        <v>521</v>
      </c>
      <c r="B801" s="98">
        <v>3407</v>
      </c>
      <c r="C801" s="98" t="s">
        <v>98</v>
      </c>
    </row>
    <row r="802" spans="1:3" ht="15" customHeight="1">
      <c r="A802" s="98" t="s">
        <v>521</v>
      </c>
      <c r="B802" s="98">
        <v>3430</v>
      </c>
      <c r="C802" s="98" t="s">
        <v>100</v>
      </c>
    </row>
    <row r="803" spans="1:3" ht="15" customHeight="1">
      <c r="A803" s="98" t="s">
        <v>521</v>
      </c>
      <c r="B803" s="98">
        <v>3460</v>
      </c>
      <c r="C803" s="98" t="s">
        <v>98</v>
      </c>
    </row>
    <row r="804" spans="1:3" ht="15" customHeight="1">
      <c r="A804" s="98" t="s">
        <v>521</v>
      </c>
      <c r="B804" s="98">
        <v>3549</v>
      </c>
      <c r="C804" s="98" t="s">
        <v>97</v>
      </c>
    </row>
    <row r="805" spans="1:3" ht="15" customHeight="1">
      <c r="A805" s="98" t="s">
        <v>521</v>
      </c>
      <c r="B805" s="98">
        <v>3591</v>
      </c>
      <c r="C805" s="98" t="s">
        <v>96</v>
      </c>
    </row>
    <row r="806" spans="1:3" ht="15" customHeight="1">
      <c r="A806" s="98" t="s">
        <v>521</v>
      </c>
      <c r="B806" s="98">
        <v>3592</v>
      </c>
      <c r="C806" s="98" t="s">
        <v>96</v>
      </c>
    </row>
    <row r="807" spans="1:3" ht="15" customHeight="1">
      <c r="A807" s="98" t="s">
        <v>521</v>
      </c>
      <c r="B807" s="98">
        <v>3594</v>
      </c>
      <c r="C807" s="98" t="s">
        <v>94</v>
      </c>
    </row>
    <row r="808" spans="1:3" ht="15" customHeight="1">
      <c r="A808" s="98" t="s">
        <v>521</v>
      </c>
      <c r="B808" s="98">
        <v>3595</v>
      </c>
      <c r="C808" s="98" t="s">
        <v>96</v>
      </c>
    </row>
    <row r="809" spans="1:3" ht="15" customHeight="1">
      <c r="A809" s="98" t="s">
        <v>521</v>
      </c>
      <c r="B809" s="98">
        <v>3650</v>
      </c>
      <c r="C809" s="98" t="s">
        <v>97</v>
      </c>
    </row>
    <row r="810" spans="1:3" ht="15" customHeight="1">
      <c r="A810" s="98" t="s">
        <v>521</v>
      </c>
      <c r="B810" s="98">
        <v>3690</v>
      </c>
      <c r="C810" s="98" t="s">
        <v>100</v>
      </c>
    </row>
    <row r="811" spans="1:3" ht="15" customHeight="1">
      <c r="A811" s="98" t="s">
        <v>521</v>
      </c>
      <c r="B811" s="98">
        <v>3730</v>
      </c>
      <c r="C811" s="98" t="s">
        <v>100</v>
      </c>
    </row>
    <row r="812" spans="1:3" ht="15" customHeight="1">
      <c r="A812" s="98" t="s">
        <v>521</v>
      </c>
      <c r="B812" s="98">
        <v>3780</v>
      </c>
      <c r="C812" s="98" t="s">
        <v>100</v>
      </c>
    </row>
    <row r="813" spans="1:3" ht="15" customHeight="1">
      <c r="A813" s="98" t="s">
        <v>521</v>
      </c>
      <c r="B813" s="98">
        <v>3788</v>
      </c>
      <c r="C813" s="98" t="s">
        <v>96</v>
      </c>
    </row>
    <row r="814" spans="1:3" ht="15" customHeight="1">
      <c r="A814" s="98" t="s">
        <v>521</v>
      </c>
      <c r="B814" s="98">
        <v>3810</v>
      </c>
      <c r="C814" s="98" t="s">
        <v>100</v>
      </c>
    </row>
    <row r="815" spans="1:3" ht="15" customHeight="1">
      <c r="A815" s="98" t="s">
        <v>521</v>
      </c>
      <c r="B815" s="98">
        <v>3850</v>
      </c>
      <c r="C815" s="98" t="s">
        <v>94</v>
      </c>
    </row>
    <row r="816" spans="1:3" ht="15" customHeight="1">
      <c r="A816" s="98" t="s">
        <v>521</v>
      </c>
      <c r="B816" s="98">
        <v>3870</v>
      </c>
      <c r="C816" s="98" t="s">
        <v>93</v>
      </c>
    </row>
    <row r="817" spans="1:3" ht="15" customHeight="1">
      <c r="A817" s="98" t="s">
        <v>521</v>
      </c>
      <c r="B817" s="98">
        <v>3899</v>
      </c>
      <c r="C817" s="98" t="s">
        <v>94</v>
      </c>
    </row>
    <row r="818" spans="1:3" ht="15" customHeight="1">
      <c r="A818" s="98" t="s">
        <v>521</v>
      </c>
      <c r="B818" s="98">
        <v>3916</v>
      </c>
      <c r="C818" s="98" t="s">
        <v>94</v>
      </c>
    </row>
    <row r="819" spans="1:3" ht="15" customHeight="1">
      <c r="A819" s="98" t="s">
        <v>521</v>
      </c>
      <c r="B819" s="98">
        <v>3917</v>
      </c>
      <c r="C819" s="98" t="s">
        <v>94</v>
      </c>
    </row>
    <row r="820" spans="1:3" ht="15" customHeight="1">
      <c r="A820" s="98" t="s">
        <v>521</v>
      </c>
      <c r="B820" s="98">
        <v>3927</v>
      </c>
      <c r="C820" s="98" t="s">
        <v>94</v>
      </c>
    </row>
    <row r="821" spans="1:3" ht="15" customHeight="1">
      <c r="A821" s="98" t="s">
        <v>521</v>
      </c>
      <c r="B821" s="98">
        <v>3928</v>
      </c>
      <c r="C821" s="98" t="s">
        <v>94</v>
      </c>
    </row>
    <row r="822" spans="1:3" ht="15" customHeight="1">
      <c r="A822" s="98" t="s">
        <v>521</v>
      </c>
      <c r="B822" s="98">
        <v>3929</v>
      </c>
      <c r="C822" s="98" t="s">
        <v>94</v>
      </c>
    </row>
    <row r="823" spans="1:3" ht="15" customHeight="1">
      <c r="A823" s="98" t="s">
        <v>521</v>
      </c>
      <c r="B823" s="98">
        <v>3981</v>
      </c>
      <c r="C823" s="98" t="s">
        <v>94</v>
      </c>
    </row>
    <row r="824" spans="1:3" ht="15" customHeight="1">
      <c r="A824" s="98" t="s">
        <v>521</v>
      </c>
      <c r="B824" s="98">
        <v>3982</v>
      </c>
      <c r="C824" s="98" t="s">
        <v>100</v>
      </c>
    </row>
    <row r="825" spans="1:3" ht="15" customHeight="1">
      <c r="A825" s="98" t="s">
        <v>521</v>
      </c>
      <c r="B825" s="98">
        <v>3983</v>
      </c>
      <c r="C825" s="98" t="s">
        <v>100</v>
      </c>
    </row>
    <row r="826" spans="1:3" ht="15" customHeight="1">
      <c r="A826" s="98" t="s">
        <v>521</v>
      </c>
      <c r="B826" s="98">
        <v>3984</v>
      </c>
      <c r="C826" s="98" t="s">
        <v>100</v>
      </c>
    </row>
    <row r="827" spans="1:3" ht="15" customHeight="1">
      <c r="A827" s="98" t="s">
        <v>521</v>
      </c>
      <c r="B827" s="98">
        <v>4402</v>
      </c>
      <c r="C827" s="98" t="s">
        <v>95</v>
      </c>
    </row>
    <row r="828" spans="1:3" ht="15" customHeight="1">
      <c r="A828" s="98" t="s">
        <v>521</v>
      </c>
      <c r="B828" s="98">
        <v>4487</v>
      </c>
      <c r="C828" s="98" t="s">
        <v>95</v>
      </c>
    </row>
    <row r="829" spans="1:3" ht="15" customHeight="1">
      <c r="A829" s="98" t="s">
        <v>521</v>
      </c>
      <c r="B829" s="98">
        <v>4787</v>
      </c>
      <c r="C829" s="98" t="s">
        <v>95</v>
      </c>
    </row>
    <row r="830" spans="1:3" ht="15" customHeight="1">
      <c r="A830" s="98" t="s">
        <v>521</v>
      </c>
      <c r="B830" s="98">
        <v>4800</v>
      </c>
      <c r="C830" s="98" t="s">
        <v>100</v>
      </c>
    </row>
    <row r="831" spans="1:3" ht="15" customHeight="1">
      <c r="A831" s="98" t="s">
        <v>521</v>
      </c>
      <c r="B831" s="98">
        <v>4810</v>
      </c>
      <c r="C831" s="98" t="s">
        <v>100</v>
      </c>
    </row>
    <row r="832" spans="1:3" ht="15" customHeight="1">
      <c r="A832" s="98" t="s">
        <v>521</v>
      </c>
      <c r="B832" s="98">
        <v>4820</v>
      </c>
      <c r="C832" s="98" t="s">
        <v>100</v>
      </c>
    </row>
    <row r="833" spans="1:3" ht="15" customHeight="1">
      <c r="A833" s="98" t="s">
        <v>521</v>
      </c>
      <c r="B833" s="98">
        <v>4850</v>
      </c>
      <c r="C833" s="98" t="s">
        <v>93</v>
      </c>
    </row>
    <row r="834" spans="1:3" ht="15" customHeight="1">
      <c r="A834" s="98" t="s">
        <v>521</v>
      </c>
      <c r="B834" s="98">
        <v>4869</v>
      </c>
      <c r="C834" s="98" t="s">
        <v>94</v>
      </c>
    </row>
    <row r="835" spans="1:3" ht="15" customHeight="1">
      <c r="A835" s="98" t="s">
        <v>521</v>
      </c>
      <c r="B835" s="98">
        <v>4870</v>
      </c>
      <c r="C835" s="98" t="s">
        <v>94</v>
      </c>
    </row>
    <row r="836" spans="1:3" ht="15" customHeight="1">
      <c r="A836" s="98" t="s">
        <v>521</v>
      </c>
      <c r="B836" s="98">
        <v>5110</v>
      </c>
      <c r="C836" s="98" t="s">
        <v>94</v>
      </c>
    </row>
    <row r="837" spans="1:3" ht="15" customHeight="1">
      <c r="A837" s="98" t="s">
        <v>521</v>
      </c>
      <c r="B837" s="98">
        <v>6025</v>
      </c>
      <c r="C837" s="98" t="s">
        <v>98</v>
      </c>
    </row>
    <row r="838" spans="1:3" ht="15" customHeight="1">
      <c r="A838" s="98" t="s">
        <v>521</v>
      </c>
      <c r="B838" s="98">
        <v>5390</v>
      </c>
      <c r="C838" s="98" t="s">
        <v>100</v>
      </c>
    </row>
    <row r="839" spans="1:3" ht="15" customHeight="1">
      <c r="A839" s="98" t="s">
        <v>521</v>
      </c>
      <c r="B839" s="98">
        <v>5424</v>
      </c>
      <c r="C839" s="98" t="s">
        <v>100</v>
      </c>
    </row>
    <row r="840" spans="1:3" ht="15" customHeight="1">
      <c r="A840" s="98" t="s">
        <v>521</v>
      </c>
      <c r="B840" s="98">
        <v>6324</v>
      </c>
      <c r="C840" s="98" t="s">
        <v>100</v>
      </c>
    </row>
    <row r="841" spans="1:3" ht="15" customHeight="1">
      <c r="A841" s="98" t="s">
        <v>521</v>
      </c>
      <c r="B841" s="98">
        <v>6355</v>
      </c>
      <c r="C841" s="98" t="s">
        <v>94</v>
      </c>
    </row>
    <row r="842" spans="1:3" ht="15" customHeight="1">
      <c r="A842" s="98" t="s">
        <v>521</v>
      </c>
      <c r="B842" s="98">
        <v>6356</v>
      </c>
      <c r="C842" s="98" t="s">
        <v>94</v>
      </c>
    </row>
    <row r="843" spans="1:3" ht="15" customHeight="1">
      <c r="A843" s="98" t="s">
        <v>521</v>
      </c>
      <c r="B843" s="98">
        <v>6389</v>
      </c>
      <c r="C843" s="98" t="s">
        <v>100</v>
      </c>
    </row>
    <row r="844" spans="1:3" ht="15" customHeight="1">
      <c r="A844" s="98" t="s">
        <v>521</v>
      </c>
      <c r="B844" s="98">
        <v>6390</v>
      </c>
      <c r="C844" s="98" t="s">
        <v>100</v>
      </c>
    </row>
    <row r="845" spans="1:3" ht="15" customHeight="1">
      <c r="A845" s="98" t="s">
        <v>521</v>
      </c>
      <c r="B845" s="98">
        <v>7010</v>
      </c>
      <c r="C845" s="98" t="s">
        <v>96</v>
      </c>
    </row>
    <row r="846" spans="1:3" ht="15" customHeight="1">
      <c r="A846" s="98" t="s">
        <v>521</v>
      </c>
      <c r="B846" s="98">
        <v>7064</v>
      </c>
      <c r="C846" s="98" t="s">
        <v>96</v>
      </c>
    </row>
    <row r="847" spans="1:3" ht="15" customHeight="1">
      <c r="A847" s="98" t="s">
        <v>521</v>
      </c>
      <c r="B847" s="98">
        <v>7066</v>
      </c>
      <c r="C847" s="98" t="s">
        <v>95</v>
      </c>
    </row>
    <row r="848" spans="1:3" ht="15" customHeight="1">
      <c r="A848" s="98" t="s">
        <v>521</v>
      </c>
      <c r="B848" s="98">
        <v>7067</v>
      </c>
      <c r="C848" s="98" t="s">
        <v>97</v>
      </c>
    </row>
    <row r="849" spans="1:3" ht="15" customHeight="1">
      <c r="A849" s="98" t="s">
        <v>521</v>
      </c>
      <c r="B849" s="98">
        <v>7707</v>
      </c>
      <c r="C849" s="98" t="s">
        <v>96</v>
      </c>
    </row>
    <row r="850" spans="1:3" ht="15" customHeight="1">
      <c r="A850" s="98" t="s">
        <v>521</v>
      </c>
      <c r="B850" s="98">
        <v>7708</v>
      </c>
      <c r="C850" s="98" t="s">
        <v>97</v>
      </c>
    </row>
    <row r="851" spans="1:3" ht="15" customHeight="1">
      <c r="A851" s="98" t="s">
        <v>521</v>
      </c>
      <c r="B851" s="98">
        <v>7713</v>
      </c>
      <c r="C851" s="98" t="s">
        <v>96</v>
      </c>
    </row>
    <row r="852" spans="1:3" ht="15" customHeight="1">
      <c r="A852" s="98" t="s">
        <v>521</v>
      </c>
      <c r="B852" s="98">
        <v>8020</v>
      </c>
      <c r="C852" s="98" t="s">
        <v>94</v>
      </c>
    </row>
    <row r="853" spans="1:3" ht="15" customHeight="1">
      <c r="A853" s="98" t="s">
        <v>521</v>
      </c>
      <c r="B853" s="98">
        <v>8021</v>
      </c>
      <c r="C853" s="98" t="s">
        <v>94</v>
      </c>
    </row>
    <row r="854" spans="1:3" ht="15" customHeight="1">
      <c r="A854" s="98" t="s">
        <v>521</v>
      </c>
      <c r="B854" s="98">
        <v>8022</v>
      </c>
      <c r="C854" s="98" t="s">
        <v>94</v>
      </c>
    </row>
    <row r="855" spans="1:3" ht="15" customHeight="1">
      <c r="A855" s="98" t="s">
        <v>521</v>
      </c>
      <c r="B855" s="98">
        <v>8143</v>
      </c>
      <c r="C855" s="98" t="s">
        <v>97</v>
      </c>
    </row>
    <row r="856" spans="1:3" ht="15" customHeight="1">
      <c r="A856" s="98" t="s">
        <v>521</v>
      </c>
      <c r="B856" s="98">
        <v>8149</v>
      </c>
      <c r="C856" s="98" t="s">
        <v>95</v>
      </c>
    </row>
    <row r="857" spans="1:3" ht="15" customHeight="1">
      <c r="A857" s="98" t="s">
        <v>521</v>
      </c>
      <c r="B857" s="98">
        <v>8290</v>
      </c>
      <c r="C857" s="98" t="s">
        <v>94</v>
      </c>
    </row>
    <row r="858" spans="1:3" ht="15" customHeight="1">
      <c r="A858" s="98" t="s">
        <v>521</v>
      </c>
      <c r="B858" s="98">
        <v>8310</v>
      </c>
      <c r="C858" s="98" t="s">
        <v>94</v>
      </c>
    </row>
    <row r="859" spans="1:3" ht="15" customHeight="1">
      <c r="A859" s="98" t="s">
        <v>521</v>
      </c>
      <c r="B859" s="98">
        <v>8325</v>
      </c>
      <c r="C859" s="98" t="s">
        <v>94</v>
      </c>
    </row>
    <row r="860" spans="1:3" ht="15" customHeight="1">
      <c r="A860" s="98" t="s">
        <v>521</v>
      </c>
      <c r="B860" s="98">
        <v>8340</v>
      </c>
      <c r="C860" s="98" t="s">
        <v>94</v>
      </c>
    </row>
    <row r="861" spans="1:3" ht="15" customHeight="1">
      <c r="A861" s="98" t="s">
        <v>521</v>
      </c>
      <c r="B861" s="98">
        <v>8355</v>
      </c>
      <c r="C861" s="98" t="s">
        <v>94</v>
      </c>
    </row>
    <row r="862" spans="1:3" ht="15" customHeight="1">
      <c r="A862" s="98" t="s">
        <v>521</v>
      </c>
      <c r="B862" s="98">
        <v>8370</v>
      </c>
      <c r="C862" s="98" t="s">
        <v>94</v>
      </c>
    </row>
    <row r="863" spans="1:3" ht="15" customHeight="1">
      <c r="A863" s="98" t="s">
        <v>521</v>
      </c>
      <c r="B863" s="98">
        <v>8391</v>
      </c>
      <c r="C863" s="98" t="s">
        <v>100</v>
      </c>
    </row>
    <row r="864" spans="1:3" ht="15" customHeight="1">
      <c r="A864" s="98" t="s">
        <v>521</v>
      </c>
      <c r="B864" s="98">
        <v>8400</v>
      </c>
      <c r="C864" s="98" t="s">
        <v>94</v>
      </c>
    </row>
    <row r="865" spans="1:3" ht="15" customHeight="1">
      <c r="A865" s="98" t="s">
        <v>521</v>
      </c>
      <c r="B865" s="98">
        <v>8450</v>
      </c>
      <c r="C865" s="98" t="s">
        <v>100</v>
      </c>
    </row>
    <row r="866" spans="1:3" ht="15" customHeight="1">
      <c r="A866" s="98" t="s">
        <v>521</v>
      </c>
      <c r="B866" s="98">
        <v>8451</v>
      </c>
      <c r="C866" s="98" t="s">
        <v>100</v>
      </c>
    </row>
    <row r="867" spans="1:3" ht="15" customHeight="1">
      <c r="A867" s="98" t="s">
        <v>521</v>
      </c>
      <c r="B867" s="98">
        <v>8452</v>
      </c>
      <c r="C867" s="98" t="s">
        <v>100</v>
      </c>
    </row>
    <row r="868" spans="1:3" ht="15" customHeight="1">
      <c r="A868" s="98" t="s">
        <v>521</v>
      </c>
      <c r="B868" s="98">
        <v>8526</v>
      </c>
      <c r="C868" s="98" t="s">
        <v>94</v>
      </c>
    </row>
    <row r="869" spans="1:3" ht="15" customHeight="1">
      <c r="A869" s="98" t="s">
        <v>521</v>
      </c>
      <c r="B869" s="98">
        <v>8676</v>
      </c>
      <c r="C869" s="98" t="s">
        <v>96</v>
      </c>
    </row>
    <row r="870" spans="1:3" ht="15" customHeight="1">
      <c r="A870" s="98" t="s">
        <v>521</v>
      </c>
      <c r="B870" s="98">
        <v>8678</v>
      </c>
      <c r="C870" s="98" t="s">
        <v>96</v>
      </c>
    </row>
    <row r="871" spans="1:3" ht="15" customHeight="1">
      <c r="A871" s="98" t="s">
        <v>521</v>
      </c>
      <c r="B871" s="98">
        <v>8713</v>
      </c>
      <c r="C871" s="98" t="s">
        <v>94</v>
      </c>
    </row>
    <row r="872" spans="1:3" ht="15" customHeight="1">
      <c r="A872" s="98" t="s">
        <v>521</v>
      </c>
      <c r="B872" s="98">
        <v>8714</v>
      </c>
      <c r="C872" s="98" t="s">
        <v>94</v>
      </c>
    </row>
    <row r="873" spans="1:3" ht="15" customHeight="1">
      <c r="A873" s="98" t="s">
        <v>521</v>
      </c>
      <c r="B873" s="98">
        <v>8717</v>
      </c>
      <c r="C873" s="98" t="s">
        <v>94</v>
      </c>
    </row>
    <row r="874" spans="1:3" ht="15" customHeight="1">
      <c r="A874" s="98" t="s">
        <v>521</v>
      </c>
      <c r="B874" s="98">
        <v>8718</v>
      </c>
      <c r="C874" s="98" t="s">
        <v>94</v>
      </c>
    </row>
    <row r="875" spans="1:3" ht="15" customHeight="1">
      <c r="A875" s="98" t="s">
        <v>521</v>
      </c>
      <c r="B875" s="98">
        <v>8719</v>
      </c>
      <c r="C875" s="98" t="s">
        <v>94</v>
      </c>
    </row>
    <row r="876" spans="1:3" ht="15" customHeight="1">
      <c r="A876" s="98" t="s">
        <v>521</v>
      </c>
      <c r="B876" s="98">
        <v>8760</v>
      </c>
      <c r="C876" s="98" t="s">
        <v>94</v>
      </c>
    </row>
    <row r="877" spans="1:3" ht="15" customHeight="1">
      <c r="A877" s="98" t="s">
        <v>521</v>
      </c>
      <c r="B877" s="98">
        <v>8761</v>
      </c>
      <c r="C877" s="98" t="s">
        <v>94</v>
      </c>
    </row>
    <row r="878" spans="1:3" ht="15" customHeight="1">
      <c r="A878" s="98" t="s">
        <v>521</v>
      </c>
      <c r="B878" s="98">
        <v>8918</v>
      </c>
      <c r="C878" s="98" t="s">
        <v>95</v>
      </c>
    </row>
    <row r="879" spans="1:3" ht="15" customHeight="1">
      <c r="A879" s="98" t="s">
        <v>521</v>
      </c>
      <c r="B879" s="98">
        <v>8950</v>
      </c>
      <c r="C879" s="98" t="s">
        <v>97</v>
      </c>
    </row>
    <row r="880" spans="1:3" ht="15" customHeight="1">
      <c r="A880" s="98" t="s">
        <v>521</v>
      </c>
      <c r="B880" s="98">
        <v>8951</v>
      </c>
      <c r="C880" s="98" t="s">
        <v>97</v>
      </c>
    </row>
    <row r="881" spans="1:3" ht="15" customHeight="1">
      <c r="A881" s="98" t="s">
        <v>521</v>
      </c>
      <c r="B881" s="98">
        <v>8952</v>
      </c>
      <c r="C881" s="98" t="s">
        <v>97</v>
      </c>
    </row>
    <row r="882" spans="1:3" ht="15" customHeight="1">
      <c r="A882" s="98" t="s">
        <v>521</v>
      </c>
      <c r="B882" s="98">
        <v>8984</v>
      </c>
      <c r="C882" s="98" t="s">
        <v>94</v>
      </c>
    </row>
    <row r="883" spans="1:3" ht="15" customHeight="1">
      <c r="A883" s="98" t="s">
        <v>521</v>
      </c>
      <c r="B883" s="98">
        <v>9874</v>
      </c>
      <c r="C883" s="98" t="s">
        <v>94</v>
      </c>
    </row>
    <row r="884" spans="1:3" ht="15" customHeight="1">
      <c r="A884" s="98" t="s">
        <v>521</v>
      </c>
      <c r="B884" s="98">
        <v>9878</v>
      </c>
      <c r="C884" s="98" t="s">
        <v>94</v>
      </c>
    </row>
    <row r="885" spans="1:3" ht="15" customHeight="1">
      <c r="A885" s="98" t="s">
        <v>521</v>
      </c>
      <c r="B885" s="98">
        <v>9879</v>
      </c>
      <c r="C885" s="98" t="s">
        <v>94</v>
      </c>
    </row>
    <row r="886" spans="1:3" ht="15" customHeight="1">
      <c r="A886" s="98" t="s">
        <v>521</v>
      </c>
      <c r="B886" s="98">
        <v>9880</v>
      </c>
      <c r="C886" s="98" t="s">
        <v>96</v>
      </c>
    </row>
    <row r="887" spans="1:3" ht="15" customHeight="1">
      <c r="A887" s="98" t="s">
        <v>521</v>
      </c>
      <c r="B887" s="98">
        <v>9925</v>
      </c>
      <c r="C887" s="98" t="s">
        <v>95</v>
      </c>
    </row>
    <row r="888" spans="1:3" ht="15" customHeight="1">
      <c r="A888" s="98" t="s">
        <v>521</v>
      </c>
      <c r="B888" s="98">
        <v>9928</v>
      </c>
      <c r="C888" s="98" t="s">
        <v>95</v>
      </c>
    </row>
    <row r="889" spans="1:3" ht="15" customHeight="1">
      <c r="A889" s="98" t="s">
        <v>521</v>
      </c>
      <c r="B889" s="98">
        <v>280168</v>
      </c>
      <c r="C889" s="98" t="s">
        <v>100</v>
      </c>
    </row>
    <row r="890" spans="1:3" ht="15" customHeight="1">
      <c r="A890" s="98" t="s">
        <v>521</v>
      </c>
      <c r="B890" s="98">
        <v>7716</v>
      </c>
      <c r="C890" s="98" t="s">
        <v>95</v>
      </c>
    </row>
    <row r="891" spans="1:3" ht="15" customHeight="1">
      <c r="A891" s="98" t="s">
        <v>521</v>
      </c>
      <c r="B891" s="98">
        <v>3288</v>
      </c>
      <c r="C891" s="98" t="s">
        <v>94</v>
      </c>
    </row>
    <row r="892" spans="1:3" ht="15" customHeight="1">
      <c r="A892" s="98" t="s">
        <v>521</v>
      </c>
      <c r="B892" s="98">
        <v>3289</v>
      </c>
      <c r="C892" s="98" t="s">
        <v>94</v>
      </c>
    </row>
    <row r="893" spans="1:3" ht="15" customHeight="1">
      <c r="A893" s="98" t="s">
        <v>522</v>
      </c>
      <c r="B893" s="98">
        <v>57188</v>
      </c>
      <c r="C893" s="98" t="s">
        <v>98</v>
      </c>
    </row>
    <row r="894" spans="1:3" ht="15" customHeight="1">
      <c r="A894" s="98" t="s">
        <v>522</v>
      </c>
      <c r="B894" s="98">
        <v>58337</v>
      </c>
      <c r="C894" s="98" t="s">
        <v>98</v>
      </c>
    </row>
    <row r="895" spans="1:3" ht="15" customHeight="1">
      <c r="A895" s="98" t="s">
        <v>522</v>
      </c>
      <c r="B895" s="98">
        <v>59561</v>
      </c>
      <c r="C895" s="98" t="s">
        <v>94</v>
      </c>
    </row>
    <row r="896" spans="1:3" ht="15" customHeight="1">
      <c r="A896" s="98" t="s">
        <v>522</v>
      </c>
      <c r="B896" s="98">
        <v>59603</v>
      </c>
      <c r="C896" s="98" t="s">
        <v>98</v>
      </c>
    </row>
    <row r="897" spans="1:3" ht="15" customHeight="1">
      <c r="A897" s="98" t="s">
        <v>522</v>
      </c>
      <c r="B897" s="98">
        <v>59632</v>
      </c>
      <c r="C897" s="98" t="s">
        <v>94</v>
      </c>
    </row>
    <row r="898" spans="1:3" ht="15" customHeight="1">
      <c r="A898" s="98" t="s">
        <v>522</v>
      </c>
      <c r="B898" s="98">
        <v>59817</v>
      </c>
      <c r="C898" s="98" t="s">
        <v>96</v>
      </c>
    </row>
    <row r="899" spans="1:3" ht="15" customHeight="1">
      <c r="A899" s="98" t="s">
        <v>522</v>
      </c>
      <c r="B899" s="98">
        <v>59818</v>
      </c>
      <c r="C899" s="98" t="s">
        <v>96</v>
      </c>
    </row>
    <row r="900" spans="1:3" ht="15" customHeight="1">
      <c r="A900" s="98" t="s">
        <v>522</v>
      </c>
      <c r="B900" s="98">
        <v>60073</v>
      </c>
      <c r="C900" s="98" t="s">
        <v>96</v>
      </c>
    </row>
    <row r="901" spans="1:3" ht="15" customHeight="1">
      <c r="A901" s="98" t="s">
        <v>522</v>
      </c>
      <c r="B901" s="98">
        <v>60154</v>
      </c>
      <c r="C901" s="98" t="s">
        <v>95</v>
      </c>
    </row>
    <row r="902" spans="1:3" ht="15" customHeight="1">
      <c r="A902" s="98" t="s">
        <v>522</v>
      </c>
      <c r="B902" s="98">
        <v>60272</v>
      </c>
      <c r="C902" s="98" t="s">
        <v>98</v>
      </c>
    </row>
    <row r="903" spans="1:3" ht="15" customHeight="1">
      <c r="A903" s="98" t="s">
        <v>522</v>
      </c>
      <c r="B903" s="98">
        <v>60155</v>
      </c>
      <c r="C903" s="98" t="s">
        <v>95</v>
      </c>
    </row>
    <row r="904" spans="1:3" ht="15" customHeight="1">
      <c r="A904" s="98" t="s">
        <v>522</v>
      </c>
      <c r="B904" s="98">
        <v>60491</v>
      </c>
      <c r="C904" s="98" t="s">
        <v>95</v>
      </c>
    </row>
    <row r="905" spans="1:3" ht="15" customHeight="1">
      <c r="A905" s="98" t="s">
        <v>510</v>
      </c>
      <c r="B905" s="98">
        <v>169241</v>
      </c>
      <c r="C905" s="98" t="s">
        <v>98</v>
      </c>
    </row>
    <row r="906" spans="1:3" ht="15" customHeight="1">
      <c r="A906" s="98" t="s">
        <v>510</v>
      </c>
      <c r="B906" s="98">
        <v>169280</v>
      </c>
      <c r="C906" s="98" t="s">
        <v>98</v>
      </c>
    </row>
    <row r="907" spans="1:3" ht="15" customHeight="1">
      <c r="A907" s="98" t="s">
        <v>510</v>
      </c>
      <c r="B907" s="98">
        <v>2835</v>
      </c>
      <c r="C907" s="98" t="s">
        <v>97</v>
      </c>
    </row>
    <row r="908" spans="1:3" ht="15" customHeight="1">
      <c r="A908" s="98" t="s">
        <v>510</v>
      </c>
      <c r="B908" s="98">
        <v>2834</v>
      </c>
      <c r="C908" s="98" t="s">
        <v>97</v>
      </c>
    </row>
    <row r="909" spans="1:3" ht="15" customHeight="1">
      <c r="A909" s="98" t="s">
        <v>510</v>
      </c>
      <c r="B909" s="98">
        <v>2882</v>
      </c>
      <c r="C909" s="98" t="s">
        <v>94</v>
      </c>
    </row>
    <row r="910" spans="1:3" ht="15" customHeight="1">
      <c r="A910" s="98" t="s">
        <v>510</v>
      </c>
      <c r="B910" s="98">
        <v>2834</v>
      </c>
      <c r="C910" s="98" t="s">
        <v>97</v>
      </c>
    </row>
    <row r="911" spans="1:3" ht="15" customHeight="1">
      <c r="A911" s="98" t="s">
        <v>510</v>
      </c>
      <c r="B911" s="98">
        <v>2882</v>
      </c>
      <c r="C911" s="98" t="s">
        <v>94</v>
      </c>
    </row>
    <row r="912" spans="1:3" ht="15" customHeight="1">
      <c r="A912" s="98" t="s">
        <v>510</v>
      </c>
      <c r="B912" s="98">
        <v>169240</v>
      </c>
      <c r="C912" s="98" t="s">
        <v>98</v>
      </c>
    </row>
    <row r="913" spans="1:3" ht="15" customHeight="1">
      <c r="A913" s="98" t="s">
        <v>510</v>
      </c>
      <c r="B913" s="98">
        <v>113303</v>
      </c>
      <c r="C913" s="98" t="s">
        <v>95</v>
      </c>
    </row>
    <row r="914" spans="1:3" ht="15" customHeight="1">
      <c r="A914" s="98" t="s">
        <v>510</v>
      </c>
      <c r="B914" s="98">
        <v>169260</v>
      </c>
      <c r="C914" s="98" t="s">
        <v>98</v>
      </c>
    </row>
    <row r="915" spans="1:3" ht="15" customHeight="1">
      <c r="A915" s="98" t="s">
        <v>510</v>
      </c>
      <c r="B915" s="98">
        <v>168130</v>
      </c>
      <c r="C915" s="98" t="s">
        <v>95</v>
      </c>
    </row>
    <row r="916" spans="1:3" ht="15" customHeight="1">
      <c r="A916" s="98" t="s">
        <v>510</v>
      </c>
      <c r="B916" s="98">
        <v>200320</v>
      </c>
      <c r="C916" s="98" t="s">
        <v>94</v>
      </c>
    </row>
    <row r="917" spans="1:3" ht="15" customHeight="1">
      <c r="A917" s="98" t="s">
        <v>510</v>
      </c>
      <c r="B917" s="98">
        <v>200321</v>
      </c>
      <c r="C917" s="98" t="s">
        <v>94</v>
      </c>
    </row>
    <row r="918" spans="1:3" ht="15" customHeight="1">
      <c r="A918" s="98" t="s">
        <v>510</v>
      </c>
      <c r="B918" s="98">
        <v>2910</v>
      </c>
      <c r="C918" s="98" t="s">
        <v>100</v>
      </c>
    </row>
    <row r="919" spans="1:3" ht="15" customHeight="1">
      <c r="A919" s="98" t="s">
        <v>510</v>
      </c>
      <c r="B919" s="98">
        <v>112022</v>
      </c>
      <c r="C919" s="98" t="s">
        <v>96</v>
      </c>
    </row>
    <row r="920" spans="1:3" ht="15" customHeight="1">
      <c r="A920" s="98" t="s">
        <v>510</v>
      </c>
      <c r="B920" s="98">
        <v>113304</v>
      </c>
      <c r="C920" s="98" t="s">
        <v>96</v>
      </c>
    </row>
    <row r="921" spans="1:3" ht="15" customHeight="1">
      <c r="A921" s="98" t="s">
        <v>510</v>
      </c>
      <c r="B921" s="98">
        <v>114216</v>
      </c>
      <c r="C921" s="98" t="s">
        <v>97</v>
      </c>
    </row>
    <row r="922" spans="1:3" ht="15" customHeight="1">
      <c r="A922" s="98" t="s">
        <v>517</v>
      </c>
      <c r="B922" s="98">
        <v>90456</v>
      </c>
      <c r="C922" s="98" t="s">
        <v>97</v>
      </c>
    </row>
    <row r="923" spans="1:3" ht="15" customHeight="1">
      <c r="A923" s="98" t="s">
        <v>517</v>
      </c>
      <c r="B923" s="98">
        <v>42404</v>
      </c>
      <c r="C923" s="98" t="s">
        <v>100</v>
      </c>
    </row>
    <row r="924" spans="1:3" ht="15" customHeight="1">
      <c r="A924" s="98" t="s">
        <v>517</v>
      </c>
      <c r="B924" s="98">
        <v>42422</v>
      </c>
      <c r="C924" s="98" t="s">
        <v>100</v>
      </c>
    </row>
    <row r="925" spans="1:3" ht="15" customHeight="1">
      <c r="A925" s="98" t="s">
        <v>517</v>
      </c>
      <c r="B925" s="98">
        <v>94012</v>
      </c>
      <c r="C925" s="98" t="s">
        <v>94</v>
      </c>
    </row>
    <row r="926" spans="1:3" ht="15" customHeight="1">
      <c r="A926" s="98" t="s">
        <v>517</v>
      </c>
      <c r="B926" s="98">
        <v>94013</v>
      </c>
      <c r="C926" s="98" t="s">
        <v>94</v>
      </c>
    </row>
    <row r="927" spans="1:3" ht="15" customHeight="1">
      <c r="A927" s="98" t="s">
        <v>523</v>
      </c>
      <c r="B927" s="98">
        <v>12525</v>
      </c>
      <c r="C927" s="98" t="s">
        <v>94</v>
      </c>
    </row>
    <row r="928" spans="1:3" ht="15" customHeight="1">
      <c r="A928" s="98" t="s">
        <v>517</v>
      </c>
      <c r="B928" s="98">
        <v>90481</v>
      </c>
      <c r="C928" s="98" t="s">
        <v>97</v>
      </c>
    </row>
    <row r="929" spans="1:4" ht="15" customHeight="1">
      <c r="A929" s="98" t="s">
        <v>517</v>
      </c>
      <c r="B929" s="98">
        <v>90482</v>
      </c>
      <c r="C929" s="98" t="s">
        <v>97</v>
      </c>
    </row>
    <row r="930" spans="1:4" ht="15" customHeight="1">
      <c r="A930" s="98" t="s">
        <v>521</v>
      </c>
      <c r="B930" s="98">
        <v>6650</v>
      </c>
      <c r="C930" s="98" t="s">
        <v>100</v>
      </c>
    </row>
    <row r="931" spans="1:4" ht="15" customHeight="1">
      <c r="A931" s="98" t="s">
        <v>521</v>
      </c>
      <c r="B931" s="98">
        <v>3239</v>
      </c>
      <c r="C931" s="98" t="s">
        <v>98</v>
      </c>
    </row>
    <row r="932" spans="1:4" ht="15" customHeight="1">
      <c r="A932" s="98" t="s">
        <v>521</v>
      </c>
      <c r="B932" s="98">
        <v>8047</v>
      </c>
      <c r="C932" s="98" t="s">
        <v>94</v>
      </c>
    </row>
    <row r="933" spans="1:4" ht="15" customHeight="1">
      <c r="A933" s="98" t="s">
        <v>521</v>
      </c>
      <c r="B933" s="98">
        <v>8049</v>
      </c>
      <c r="C933" s="98" t="s">
        <v>94</v>
      </c>
    </row>
    <row r="934" spans="1:4" ht="15" customHeight="1">
      <c r="A934" s="98" t="s">
        <v>521</v>
      </c>
      <c r="B934" s="98">
        <v>8048</v>
      </c>
      <c r="C934" s="98" t="s">
        <v>94</v>
      </c>
    </row>
    <row r="935" spans="1:4" ht="15" customHeight="1">
      <c r="A935" s="98" t="s">
        <v>521</v>
      </c>
      <c r="B935" s="98">
        <v>8054</v>
      </c>
      <c r="C935" s="98" t="s">
        <v>94</v>
      </c>
    </row>
    <row r="936" spans="1:4" ht="15" customHeight="1">
      <c r="A936" s="98" t="s">
        <v>521</v>
      </c>
      <c r="B936" s="98">
        <v>8052</v>
      </c>
      <c r="C936" s="98" t="s">
        <v>94</v>
      </c>
    </row>
    <row r="937" spans="1:4" ht="15" customHeight="1">
      <c r="A937" s="98" t="s">
        <v>521</v>
      </c>
      <c r="B937" s="98">
        <v>9189</v>
      </c>
      <c r="C937" s="98" t="s">
        <v>100</v>
      </c>
    </row>
    <row r="938" spans="1:4" ht="15" customHeight="1">
      <c r="A938" s="98" t="s">
        <v>515</v>
      </c>
      <c r="B938" s="98" t="s">
        <v>402</v>
      </c>
      <c r="C938" s="98" t="s">
        <v>403</v>
      </c>
    </row>
    <row r="939" spans="1:4" ht="15" customHeight="1">
      <c r="A939" s="98" t="s">
        <v>515</v>
      </c>
      <c r="B939" s="98" t="s">
        <v>404</v>
      </c>
      <c r="C939" s="98" t="s">
        <v>93</v>
      </c>
    </row>
    <row r="940" spans="1:4" ht="15" customHeight="1">
      <c r="A940" s="98" t="s">
        <v>515</v>
      </c>
      <c r="B940" s="98" t="s">
        <v>405</v>
      </c>
      <c r="C940" s="98" t="s">
        <v>95</v>
      </c>
    </row>
    <row r="941" spans="1:4" ht="15" customHeight="1">
      <c r="A941" s="98" t="s">
        <v>522</v>
      </c>
      <c r="B941" s="98">
        <v>60368</v>
      </c>
      <c r="C941" s="98" t="s">
        <v>95</v>
      </c>
    </row>
    <row r="942" spans="1:4" ht="15" customHeight="1">
      <c r="A942" s="98" t="s">
        <v>516</v>
      </c>
      <c r="B942" s="98">
        <v>12616</v>
      </c>
      <c r="C942" s="98" t="s">
        <v>95</v>
      </c>
    </row>
    <row r="943" spans="1:4" ht="16.5" customHeight="1">
      <c r="A943" s="98" t="s">
        <v>516</v>
      </c>
      <c r="B943" s="98">
        <v>12503</v>
      </c>
      <c r="C943" s="98" t="s">
        <v>94</v>
      </c>
      <c r="D943" s="200" t="s">
        <v>524</v>
      </c>
    </row>
    <row r="944" spans="1:4" ht="15" customHeight="1">
      <c r="A944" s="98" t="s">
        <v>516</v>
      </c>
      <c r="B944" s="98">
        <v>12570</v>
      </c>
      <c r="C944" s="98" t="s">
        <v>95</v>
      </c>
    </row>
    <row r="945" spans="1:10" ht="15" customHeight="1">
      <c r="A945" s="98" t="s">
        <v>516</v>
      </c>
      <c r="B945" s="98">
        <v>12502</v>
      </c>
      <c r="C945" s="98" t="s">
        <v>96</v>
      </c>
    </row>
    <row r="946" spans="1:10" ht="15" customHeight="1">
      <c r="A946" s="98" t="s">
        <v>521</v>
      </c>
      <c r="B946" s="98">
        <v>3195</v>
      </c>
      <c r="C946" s="98" t="s">
        <v>100</v>
      </c>
    </row>
    <row r="947" spans="1:10" ht="15" customHeight="1">
      <c r="A947" s="98" t="s">
        <v>521</v>
      </c>
      <c r="B947" s="98">
        <v>2799</v>
      </c>
      <c r="C947" s="98" t="s">
        <v>98</v>
      </c>
    </row>
    <row r="948" spans="1:10" ht="15" customHeight="1">
      <c r="A948" s="98" t="s">
        <v>523</v>
      </c>
      <c r="B948" s="98">
        <v>12566</v>
      </c>
      <c r="C948" s="98" t="s">
        <v>96</v>
      </c>
    </row>
    <row r="949" spans="1:10" ht="15" customHeight="1">
      <c r="A949" s="98" t="s">
        <v>521</v>
      </c>
      <c r="B949" s="98">
        <v>3024</v>
      </c>
      <c r="C949" s="98" t="s">
        <v>98</v>
      </c>
    </row>
    <row r="950" spans="1:10" ht="15" customHeight="1">
      <c r="A950" s="98" t="s">
        <v>521</v>
      </c>
      <c r="B950" s="98">
        <v>8053</v>
      </c>
      <c r="C950" s="98" t="s">
        <v>94</v>
      </c>
      <c r="D950" s="200" t="s">
        <v>525</v>
      </c>
    </row>
    <row r="951" spans="1:10" ht="15" customHeight="1">
      <c r="A951" s="98" t="s">
        <v>521</v>
      </c>
      <c r="B951" s="98">
        <v>8054</v>
      </c>
      <c r="C951" s="98" t="s">
        <v>94</v>
      </c>
    </row>
    <row r="952" spans="1:10" ht="15" customHeight="1">
      <c r="A952" s="98" t="s">
        <v>520</v>
      </c>
      <c r="B952" s="98" t="s">
        <v>406</v>
      </c>
      <c r="C952" s="98" t="s">
        <v>96</v>
      </c>
    </row>
    <row r="953" spans="1:10" ht="15" customHeight="1">
      <c r="A953" s="98" t="s">
        <v>520</v>
      </c>
      <c r="B953" s="98" t="s">
        <v>407</v>
      </c>
      <c r="C953" s="98" t="s">
        <v>100</v>
      </c>
    </row>
    <row r="954" spans="1:10" ht="15" customHeight="1">
      <c r="A954" s="98" t="s">
        <v>520</v>
      </c>
      <c r="B954" s="98" t="s">
        <v>408</v>
      </c>
      <c r="C954" s="98" t="s">
        <v>95</v>
      </c>
    </row>
    <row r="955" spans="1:10" ht="15" customHeight="1">
      <c r="A955" s="98" t="s">
        <v>520</v>
      </c>
      <c r="B955" s="98" t="s">
        <v>409</v>
      </c>
      <c r="C955" s="98" t="s">
        <v>97</v>
      </c>
      <c r="H955" s="98">
        <v>27754000000</v>
      </c>
      <c r="I955" s="98">
        <v>1.0999999999999999E-2</v>
      </c>
      <c r="J955" s="98">
        <v>305294000</v>
      </c>
    </row>
    <row r="956" spans="1:10" ht="15" customHeight="1">
      <c r="A956" s="98" t="s">
        <v>520</v>
      </c>
      <c r="B956" s="98" t="s">
        <v>410</v>
      </c>
      <c r="C956" s="98" t="s">
        <v>97</v>
      </c>
    </row>
    <row r="957" spans="1:10" ht="15" customHeight="1">
      <c r="A957" s="98" t="s">
        <v>520</v>
      </c>
      <c r="B957" s="98" t="s">
        <v>411</v>
      </c>
      <c r="C957" s="98" t="s">
        <v>97</v>
      </c>
    </row>
    <row r="958" spans="1:10" ht="15" customHeight="1">
      <c r="A958" s="98" t="s">
        <v>520</v>
      </c>
      <c r="B958" s="98" t="s">
        <v>412</v>
      </c>
      <c r="C958" s="98" t="s">
        <v>95</v>
      </c>
    </row>
    <row r="959" spans="1:10" ht="15" customHeight="1">
      <c r="A959" s="98" t="s">
        <v>521</v>
      </c>
      <c r="B959" s="98">
        <v>8050</v>
      </c>
      <c r="C959" s="98" t="s">
        <v>94</v>
      </c>
    </row>
    <row r="960" spans="1:10" ht="15" customHeight="1">
      <c r="A960" s="98" t="s">
        <v>523</v>
      </c>
      <c r="B960" s="98">
        <v>12571</v>
      </c>
      <c r="C960" s="98" t="s">
        <v>96</v>
      </c>
    </row>
    <row r="961" spans="1:4" ht="15" customHeight="1">
      <c r="A961" s="98" t="s">
        <v>520</v>
      </c>
      <c r="B961" s="98" t="s">
        <v>413</v>
      </c>
      <c r="C961" s="98" t="s">
        <v>95</v>
      </c>
    </row>
    <row r="962" spans="1:4" ht="15" customHeight="1">
      <c r="A962" s="98" t="s">
        <v>521</v>
      </c>
      <c r="B962" s="98">
        <v>8051</v>
      </c>
      <c r="C962" s="98" t="s">
        <v>94</v>
      </c>
    </row>
    <row r="963" spans="1:4" ht="15" customHeight="1">
      <c r="A963" s="98" t="s">
        <v>517</v>
      </c>
      <c r="B963" s="98">
        <v>90461</v>
      </c>
      <c r="C963" s="98" t="s">
        <v>97</v>
      </c>
    </row>
    <row r="964" spans="1:4" ht="15" customHeight="1">
      <c r="A964" s="98" t="s">
        <v>521</v>
      </c>
      <c r="B964" s="98">
        <v>3179</v>
      </c>
      <c r="C964" s="98" t="s">
        <v>100</v>
      </c>
      <c r="D964" s="200" t="s">
        <v>526</v>
      </c>
    </row>
    <row r="965" spans="1:4" ht="15" customHeight="1">
      <c r="A965" s="98" t="s">
        <v>521</v>
      </c>
      <c r="B965" s="98">
        <v>8055</v>
      </c>
      <c r="C965" s="98" t="s">
        <v>94</v>
      </c>
    </row>
    <row r="966" spans="1:4" ht="15" customHeight="1">
      <c r="A966" s="98" t="s">
        <v>523</v>
      </c>
      <c r="B966" s="98">
        <v>12573</v>
      </c>
      <c r="C966" s="98" t="s">
        <v>98</v>
      </c>
    </row>
    <row r="967" spans="1:4" ht="15" customHeight="1">
      <c r="A967" s="98" t="s">
        <v>521</v>
      </c>
      <c r="B967" s="98">
        <v>4326</v>
      </c>
      <c r="C967" s="98" t="s">
        <v>100</v>
      </c>
    </row>
    <row r="968" spans="1:4" ht="15" customHeight="1">
      <c r="A968" s="98" t="s">
        <v>511</v>
      </c>
      <c r="B968" s="98" t="s">
        <v>414</v>
      </c>
      <c r="C968" s="98" t="s">
        <v>97</v>
      </c>
    </row>
    <row r="969" spans="1:4" ht="15" customHeight="1">
      <c r="A969" s="98" t="s">
        <v>511</v>
      </c>
      <c r="B969" s="98" t="s">
        <v>415</v>
      </c>
      <c r="C969" s="98" t="s">
        <v>97</v>
      </c>
    </row>
    <row r="970" spans="1:4" ht="15" customHeight="1">
      <c r="A970" s="98" t="s">
        <v>511</v>
      </c>
      <c r="B970" s="98" t="s">
        <v>416</v>
      </c>
      <c r="C970" s="98" t="s">
        <v>96</v>
      </c>
    </row>
    <row r="971" spans="1:4" ht="15" customHeight="1">
      <c r="A971" s="98" t="s">
        <v>521</v>
      </c>
      <c r="B971" s="98">
        <v>5326</v>
      </c>
      <c r="C971" s="98" t="s">
        <v>100</v>
      </c>
    </row>
    <row r="972" spans="1:4" ht="15" customHeight="1">
      <c r="A972" s="98" t="s">
        <v>521</v>
      </c>
      <c r="B972" s="98">
        <v>6552</v>
      </c>
      <c r="C972" s="98" t="s">
        <v>100</v>
      </c>
    </row>
    <row r="973" spans="1:4" ht="15" customHeight="1">
      <c r="A973" s="98" t="s">
        <v>521</v>
      </c>
      <c r="B973" s="98">
        <v>3254</v>
      </c>
      <c r="C973" s="98" t="s">
        <v>100</v>
      </c>
    </row>
    <row r="974" spans="1:4" ht="15" customHeight="1">
      <c r="A974" s="98" t="s">
        <v>509</v>
      </c>
      <c r="B974" s="98">
        <v>8174</v>
      </c>
      <c r="C974" s="98" t="s">
        <v>93</v>
      </c>
    </row>
    <row r="975" spans="1:4" ht="15" customHeight="1">
      <c r="A975" s="98" t="s">
        <v>509</v>
      </c>
      <c r="B975" s="98">
        <v>50010</v>
      </c>
      <c r="C975" s="98" t="s">
        <v>94</v>
      </c>
    </row>
    <row r="976" spans="1:4" ht="15" customHeight="1">
      <c r="A976" s="98" t="s">
        <v>509</v>
      </c>
      <c r="B976" s="98">
        <v>57100</v>
      </c>
      <c r="C976" s="98" t="s">
        <v>94</v>
      </c>
    </row>
    <row r="977" spans="1:3" ht="15" customHeight="1">
      <c r="A977" s="98" t="s">
        <v>509</v>
      </c>
      <c r="B977" s="98">
        <v>96600</v>
      </c>
      <c r="C977" s="98" t="s">
        <v>94</v>
      </c>
    </row>
    <row r="978" spans="1:3" ht="15" customHeight="1">
      <c r="A978" s="98" t="s">
        <v>509</v>
      </c>
      <c r="B978" s="98">
        <v>96604</v>
      </c>
      <c r="C978" s="98" t="s">
        <v>94</v>
      </c>
    </row>
    <row r="979" spans="1:3" ht="15" customHeight="1">
      <c r="A979" s="98" t="s">
        <v>517</v>
      </c>
      <c r="B979" s="98">
        <v>90452</v>
      </c>
      <c r="C979" s="98" t="s">
        <v>97</v>
      </c>
    </row>
    <row r="980" spans="1:3" ht="15" customHeight="1">
      <c r="A980" s="98" t="s">
        <v>517</v>
      </c>
      <c r="B980" s="98">
        <v>90457</v>
      </c>
      <c r="C980" s="98" t="s">
        <v>97</v>
      </c>
    </row>
    <row r="981" spans="1:3" ht="15" customHeight="1">
      <c r="A981" s="98" t="s">
        <v>517</v>
      </c>
      <c r="B981" s="98">
        <v>90463</v>
      </c>
      <c r="C981" s="98" t="s">
        <v>97</v>
      </c>
    </row>
    <row r="982" spans="1:3" ht="15" customHeight="1">
      <c r="A982" s="98" t="s">
        <v>517</v>
      </c>
      <c r="B982" s="98">
        <v>90466</v>
      </c>
      <c r="C982" s="98" t="s">
        <v>97</v>
      </c>
    </row>
    <row r="983" spans="1:3" ht="15" customHeight="1">
      <c r="A983" s="98" t="s">
        <v>517</v>
      </c>
      <c r="B983" s="98">
        <v>90469</v>
      </c>
      <c r="C983" s="98" t="s">
        <v>97</v>
      </c>
    </row>
    <row r="984" spans="1:3" ht="15" customHeight="1">
      <c r="A984" s="98" t="s">
        <v>517</v>
      </c>
      <c r="B984" s="98">
        <v>90470</v>
      </c>
      <c r="C984" s="98" t="s">
        <v>97</v>
      </c>
    </row>
    <row r="985" spans="1:3" ht="15" customHeight="1">
      <c r="A985" s="98" t="s">
        <v>517</v>
      </c>
      <c r="B985" s="98">
        <v>90473</v>
      </c>
      <c r="C985" s="98" t="s">
        <v>97</v>
      </c>
    </row>
    <row r="986" spans="1:3" ht="15" customHeight="1">
      <c r="A986" s="98" t="s">
        <v>517</v>
      </c>
      <c r="B986" s="98">
        <v>90476</v>
      </c>
      <c r="C986" s="98" t="s">
        <v>97</v>
      </c>
    </row>
    <row r="987" spans="1:3" ht="15" customHeight="1">
      <c r="A987" s="98" t="s">
        <v>521</v>
      </c>
      <c r="B987" s="98">
        <v>8020</v>
      </c>
      <c r="C987" s="98" t="s">
        <v>94</v>
      </c>
    </row>
    <row r="988" spans="1:3" ht="15" customHeight="1">
      <c r="A988" s="98" t="s">
        <v>511</v>
      </c>
      <c r="B988" s="98" t="s">
        <v>417</v>
      </c>
      <c r="C988" s="98" t="s">
        <v>97</v>
      </c>
    </row>
    <row r="989" spans="1:3" ht="15" customHeight="1">
      <c r="A989" s="98" t="s">
        <v>511</v>
      </c>
      <c r="B989" s="98" t="s">
        <v>418</v>
      </c>
      <c r="C989" s="98" t="s">
        <v>97</v>
      </c>
    </row>
    <row r="990" spans="1:3" ht="15" customHeight="1">
      <c r="A990" s="98" t="s">
        <v>511</v>
      </c>
      <c r="B990" s="98" t="s">
        <v>419</v>
      </c>
      <c r="C990" s="98" t="s">
        <v>97</v>
      </c>
    </row>
    <row r="991" spans="1:3" ht="15" customHeight="1">
      <c r="A991" s="98" t="s">
        <v>511</v>
      </c>
      <c r="B991" s="98" t="s">
        <v>420</v>
      </c>
      <c r="C991" s="98" t="s">
        <v>94</v>
      </c>
    </row>
    <row r="992" spans="1:3" ht="15" customHeight="1">
      <c r="A992" s="98" t="s">
        <v>511</v>
      </c>
      <c r="B992" s="98" t="s">
        <v>421</v>
      </c>
      <c r="C992" s="98" t="s">
        <v>95</v>
      </c>
    </row>
    <row r="993" spans="1:3" ht="15" customHeight="1">
      <c r="A993" s="98" t="s">
        <v>517</v>
      </c>
      <c r="B993" s="98">
        <v>90453</v>
      </c>
      <c r="C993" s="98" t="s">
        <v>97</v>
      </c>
    </row>
    <row r="994" spans="1:3" ht="15" customHeight="1">
      <c r="A994" s="98" t="s">
        <v>522</v>
      </c>
      <c r="B994" s="98">
        <v>60310</v>
      </c>
      <c r="C994" s="98" t="s">
        <v>98</v>
      </c>
    </row>
    <row r="995" spans="1:3" ht="15" customHeight="1">
      <c r="A995" s="98" t="s">
        <v>515</v>
      </c>
      <c r="B995" s="98" t="s">
        <v>422</v>
      </c>
      <c r="C995" s="98" t="s">
        <v>98</v>
      </c>
    </row>
    <row r="996" spans="1:3" ht="15" customHeight="1">
      <c r="A996" s="98" t="s">
        <v>515</v>
      </c>
      <c r="B996" s="98" t="s">
        <v>423</v>
      </c>
      <c r="C996" s="98" t="s">
        <v>98</v>
      </c>
    </row>
    <row r="997" spans="1:3" ht="15" customHeight="1">
      <c r="A997" s="98" t="s">
        <v>515</v>
      </c>
      <c r="B997" s="98" t="s">
        <v>424</v>
      </c>
      <c r="C997" s="98" t="s">
        <v>98</v>
      </c>
    </row>
    <row r="998" spans="1:3" ht="15" customHeight="1">
      <c r="A998" s="98" t="s">
        <v>515</v>
      </c>
      <c r="B998" s="98" t="s">
        <v>425</v>
      </c>
      <c r="C998" s="98" t="s">
        <v>94</v>
      </c>
    </row>
    <row r="999" spans="1:3" ht="15" customHeight="1">
      <c r="A999" s="98" t="s">
        <v>515</v>
      </c>
      <c r="B999" s="98" t="s">
        <v>426</v>
      </c>
      <c r="C999" s="98" t="s">
        <v>98</v>
      </c>
    </row>
    <row r="1000" spans="1:3" ht="15" customHeight="1">
      <c r="A1000" s="98" t="s">
        <v>520</v>
      </c>
      <c r="B1000" s="98" t="s">
        <v>427</v>
      </c>
      <c r="C1000" s="98" t="s">
        <v>100</v>
      </c>
    </row>
    <row r="1001" spans="1:3" ht="15" customHeight="1">
      <c r="A1001" s="98" t="s">
        <v>521</v>
      </c>
      <c r="B1001" s="98">
        <v>2797</v>
      </c>
      <c r="C1001" s="98" t="s">
        <v>100</v>
      </c>
    </row>
    <row r="1002" spans="1:3" ht="15" customHeight="1">
      <c r="A1002" s="98" t="s">
        <v>520</v>
      </c>
      <c r="B1002" s="98" t="s">
        <v>428</v>
      </c>
      <c r="C1002" s="98" t="s">
        <v>100</v>
      </c>
    </row>
    <row r="1003" spans="1:3" ht="15" customHeight="1">
      <c r="A1003" s="98" t="s">
        <v>520</v>
      </c>
      <c r="B1003" s="98" t="s">
        <v>429</v>
      </c>
      <c r="C1003" s="98" t="s">
        <v>96</v>
      </c>
    </row>
    <row r="1004" spans="1:3" ht="15" customHeight="1">
      <c r="A1004" s="98" t="s">
        <v>520</v>
      </c>
      <c r="B1004" s="98" t="s">
        <v>430</v>
      </c>
      <c r="C1004" s="98" t="s">
        <v>96</v>
      </c>
    </row>
    <row r="1005" spans="1:3" ht="15" customHeight="1">
      <c r="A1005" s="98" t="s">
        <v>520</v>
      </c>
      <c r="B1005" s="98" t="s">
        <v>431</v>
      </c>
      <c r="C1005" s="98" t="s">
        <v>96</v>
      </c>
    </row>
    <row r="1006" spans="1:3" ht="15" customHeight="1">
      <c r="A1006" s="98" t="s">
        <v>512</v>
      </c>
      <c r="B1006" s="98">
        <v>161112</v>
      </c>
      <c r="C1006" s="98" t="s">
        <v>96</v>
      </c>
    </row>
    <row r="1007" spans="1:3" ht="15" customHeight="1">
      <c r="A1007" s="98" t="s">
        <v>512</v>
      </c>
      <c r="B1007" s="98">
        <v>402027</v>
      </c>
      <c r="C1007" s="98" t="s">
        <v>102</v>
      </c>
    </row>
    <row r="1008" spans="1:3" ht="15" customHeight="1">
      <c r="A1008" s="98" t="s">
        <v>520</v>
      </c>
      <c r="B1008" s="98" t="s">
        <v>432</v>
      </c>
      <c r="C1008" s="98" t="s">
        <v>98</v>
      </c>
    </row>
    <row r="1009" spans="1:4" ht="15" customHeight="1">
      <c r="A1009" s="98" t="s">
        <v>520</v>
      </c>
      <c r="B1009" s="98" t="s">
        <v>433</v>
      </c>
      <c r="C1009" s="98" t="s">
        <v>94</v>
      </c>
    </row>
    <row r="1010" spans="1:4" ht="15" customHeight="1">
      <c r="A1010" s="98" t="s">
        <v>516</v>
      </c>
      <c r="B1010" s="98" t="s">
        <v>434</v>
      </c>
      <c r="C1010" s="98" t="s">
        <v>94</v>
      </c>
    </row>
    <row r="1011" spans="1:4" ht="15" customHeight="1">
      <c r="A1011" s="98" t="s">
        <v>516</v>
      </c>
      <c r="B1011" s="98">
        <v>13508</v>
      </c>
      <c r="C1011" s="98" t="s">
        <v>96</v>
      </c>
    </row>
    <row r="1012" spans="1:4" ht="15" customHeight="1">
      <c r="A1012" s="98" t="s">
        <v>521</v>
      </c>
      <c r="B1012" s="98">
        <v>8755</v>
      </c>
      <c r="C1012" s="98" t="s">
        <v>94</v>
      </c>
    </row>
    <row r="1013" spans="1:4" ht="15" customHeight="1">
      <c r="A1013" s="98" t="s">
        <v>521</v>
      </c>
      <c r="B1013" s="98">
        <v>3138</v>
      </c>
      <c r="C1013" s="98" t="s">
        <v>100</v>
      </c>
      <c r="D1013" s="200" t="s">
        <v>527</v>
      </c>
    </row>
    <row r="1014" spans="1:4" ht="15" customHeight="1">
      <c r="A1014" s="98" t="s">
        <v>521</v>
      </c>
      <c r="B1014" s="98">
        <v>3139</v>
      </c>
      <c r="C1014" s="98" t="s">
        <v>100</v>
      </c>
    </row>
    <row r="1015" spans="1:4" ht="15" customHeight="1">
      <c r="A1015" s="98" t="s">
        <v>528</v>
      </c>
      <c r="B1015" s="98">
        <v>75000</v>
      </c>
      <c r="C1015" s="98" t="s">
        <v>94</v>
      </c>
    </row>
    <row r="1016" spans="1:4" ht="15" customHeight="1">
      <c r="A1016" s="98" t="s">
        <v>528</v>
      </c>
      <c r="B1016" s="98">
        <v>73000</v>
      </c>
      <c r="C1016" s="98" t="s">
        <v>94</v>
      </c>
    </row>
    <row r="1017" spans="1:4" ht="15" customHeight="1">
      <c r="A1017" s="98" t="s">
        <v>529</v>
      </c>
      <c r="B1017" s="98">
        <v>58328</v>
      </c>
      <c r="C1017" s="98" t="s">
        <v>98</v>
      </c>
    </row>
    <row r="1018" spans="1:4" ht="15" customHeight="1">
      <c r="A1018" s="98" t="s">
        <v>529</v>
      </c>
      <c r="B1018" s="98">
        <v>58319</v>
      </c>
      <c r="C1018" s="98" t="s">
        <v>98</v>
      </c>
    </row>
    <row r="1019" spans="1:4" ht="15" customHeight="1">
      <c r="A1019" s="98" t="s">
        <v>521</v>
      </c>
      <c r="B1019" s="98">
        <v>4329</v>
      </c>
      <c r="C1019" s="98" t="s">
        <v>100</v>
      </c>
      <c r="D1019" s="200" t="s">
        <v>527</v>
      </c>
    </row>
    <row r="1020" spans="1:4" ht="15" customHeight="1">
      <c r="A1020" s="98" t="s">
        <v>520</v>
      </c>
      <c r="B1020" s="98" t="s">
        <v>435</v>
      </c>
      <c r="C1020" s="98" t="s">
        <v>100</v>
      </c>
    </row>
    <row r="1021" spans="1:4" ht="15" customHeight="1">
      <c r="A1021" s="98" t="s">
        <v>521</v>
      </c>
      <c r="B1021" s="98">
        <v>2954</v>
      </c>
      <c r="C1021" s="98" t="s">
        <v>98</v>
      </c>
    </row>
    <row r="1022" spans="1:4" ht="15" customHeight="1">
      <c r="A1022" s="98" t="s">
        <v>521</v>
      </c>
      <c r="B1022" s="98">
        <v>8911</v>
      </c>
      <c r="C1022" s="98" t="s">
        <v>94</v>
      </c>
    </row>
    <row r="1023" spans="1:4" ht="15" customHeight="1">
      <c r="A1023" s="98" t="s">
        <v>521</v>
      </c>
      <c r="B1023" s="98">
        <v>8913</v>
      </c>
      <c r="C1023" s="98" t="s">
        <v>94</v>
      </c>
    </row>
    <row r="1024" spans="1:4" ht="15" customHeight="1">
      <c r="A1024" s="98" t="s">
        <v>521</v>
      </c>
      <c r="B1024" s="98">
        <v>7069</v>
      </c>
      <c r="C1024" s="98" t="s">
        <v>95</v>
      </c>
    </row>
    <row r="1025" spans="1:5" ht="16.5" customHeight="1">
      <c r="A1025" s="98" t="s">
        <v>516</v>
      </c>
      <c r="B1025" s="98">
        <v>35105</v>
      </c>
      <c r="C1025" s="98" t="s">
        <v>95</v>
      </c>
      <c r="E1025" s="200" t="s">
        <v>530</v>
      </c>
    </row>
    <row r="1026" spans="1:5" ht="15" customHeight="1">
      <c r="A1026" s="98" t="s">
        <v>516</v>
      </c>
      <c r="B1026" s="98">
        <v>37002</v>
      </c>
      <c r="C1026" s="98" t="s">
        <v>97</v>
      </c>
    </row>
    <row r="1027" spans="1:5" ht="15" customHeight="1">
      <c r="A1027" s="98" t="s">
        <v>516</v>
      </c>
      <c r="B1027" s="98">
        <v>37003</v>
      </c>
      <c r="C1027" s="98" t="s">
        <v>97</v>
      </c>
    </row>
    <row r="1028" spans="1:5" ht="15" customHeight="1">
      <c r="A1028" s="98" t="s">
        <v>516</v>
      </c>
      <c r="B1028" s="98">
        <v>37004</v>
      </c>
      <c r="C1028" s="98" t="s">
        <v>97</v>
      </c>
    </row>
    <row r="1029" spans="1:5" ht="15" customHeight="1">
      <c r="A1029" s="98" t="s">
        <v>516</v>
      </c>
      <c r="B1029" s="98">
        <v>37005</v>
      </c>
      <c r="C1029" s="98" t="s">
        <v>97</v>
      </c>
    </row>
    <row r="1030" spans="1:5" ht="15" customHeight="1">
      <c r="A1030" s="98" t="s">
        <v>516</v>
      </c>
      <c r="B1030" s="98">
        <v>37008</v>
      </c>
      <c r="C1030" s="98" t="s">
        <v>97</v>
      </c>
    </row>
    <row r="1031" spans="1:5" ht="16.5" customHeight="1">
      <c r="A1031" s="98" t="s">
        <v>531</v>
      </c>
      <c r="B1031" s="98" t="s">
        <v>436</v>
      </c>
      <c r="C1031" s="98" t="s">
        <v>98</v>
      </c>
      <c r="E1031" s="98" t="s">
        <v>532</v>
      </c>
    </row>
    <row r="1032" spans="1:5" ht="16.5" customHeight="1">
      <c r="A1032" s="98" t="s">
        <v>531</v>
      </c>
      <c r="B1032" s="98" t="s">
        <v>437</v>
      </c>
      <c r="C1032" s="200" t="s">
        <v>438</v>
      </c>
      <c r="E1032" s="98" t="s">
        <v>533</v>
      </c>
    </row>
    <row r="1033" spans="1:5" ht="15" customHeight="1">
      <c r="A1033" s="98" t="s">
        <v>531</v>
      </c>
      <c r="B1033" s="98" t="s">
        <v>439</v>
      </c>
      <c r="C1033" s="98" t="s">
        <v>98</v>
      </c>
    </row>
    <row r="1034" spans="1:5" ht="15" customHeight="1">
      <c r="A1034" s="98" t="s">
        <v>511</v>
      </c>
      <c r="B1034" s="98" t="s">
        <v>440</v>
      </c>
      <c r="C1034" s="98" t="s">
        <v>97</v>
      </c>
    </row>
    <row r="1035" spans="1:5" ht="15" customHeight="1">
      <c r="A1035" s="98" t="s">
        <v>511</v>
      </c>
      <c r="B1035" s="98" t="s">
        <v>441</v>
      </c>
      <c r="C1035" s="98" t="s">
        <v>97</v>
      </c>
    </row>
    <row r="1036" spans="1:5" ht="15" customHeight="1">
      <c r="A1036" s="98" t="s">
        <v>511</v>
      </c>
      <c r="B1036" s="98" t="s">
        <v>442</v>
      </c>
      <c r="C1036" s="98" t="s">
        <v>97</v>
      </c>
    </row>
    <row r="1037" spans="1:5" ht="15" customHeight="1">
      <c r="A1037" s="98" t="s">
        <v>515</v>
      </c>
      <c r="B1037" s="98" t="s">
        <v>443</v>
      </c>
      <c r="C1037" s="98" t="s">
        <v>100</v>
      </c>
    </row>
    <row r="1038" spans="1:5" ht="15" customHeight="1">
      <c r="A1038" s="98" t="s">
        <v>511</v>
      </c>
      <c r="B1038" s="98" t="s">
        <v>444</v>
      </c>
      <c r="C1038" s="98" t="s">
        <v>94</v>
      </c>
    </row>
    <row r="1039" spans="1:5" ht="15" customHeight="1">
      <c r="A1039" s="98" t="s">
        <v>511</v>
      </c>
      <c r="B1039" s="98" t="s">
        <v>445</v>
      </c>
      <c r="C1039" s="98" t="s">
        <v>94</v>
      </c>
    </row>
    <row r="1040" spans="1:5" ht="15" customHeight="1">
      <c r="A1040" s="98" t="s">
        <v>521</v>
      </c>
      <c r="B1040" s="98">
        <v>3206</v>
      </c>
      <c r="C1040" s="98" t="s">
        <v>96</v>
      </c>
    </row>
    <row r="1041" spans="1:3" ht="15" customHeight="1">
      <c r="A1041" s="98" t="s">
        <v>508</v>
      </c>
      <c r="B1041" s="98">
        <v>17800</v>
      </c>
      <c r="C1041" s="98" t="s">
        <v>97</v>
      </c>
    </row>
    <row r="1042" spans="1:3" ht="15" customHeight="1">
      <c r="A1042" s="98" t="s">
        <v>508</v>
      </c>
      <c r="B1042" s="98">
        <v>17809</v>
      </c>
      <c r="C1042" s="98" t="s">
        <v>96</v>
      </c>
    </row>
    <row r="1043" spans="1:3" ht="15" customHeight="1">
      <c r="A1043" s="98" t="s">
        <v>508</v>
      </c>
      <c r="B1043" s="98">
        <v>17859</v>
      </c>
      <c r="C1043" s="98" t="s">
        <v>97</v>
      </c>
    </row>
    <row r="1044" spans="1:3" ht="15" customHeight="1">
      <c r="A1044" s="98" t="s">
        <v>508</v>
      </c>
      <c r="B1044" s="98">
        <v>17862</v>
      </c>
      <c r="C1044" s="98" t="s">
        <v>96</v>
      </c>
    </row>
    <row r="1045" spans="1:3" ht="15" customHeight="1">
      <c r="A1045" s="98" t="s">
        <v>508</v>
      </c>
      <c r="B1045" s="98">
        <v>45306</v>
      </c>
      <c r="C1045" s="98" t="s">
        <v>97</v>
      </c>
    </row>
    <row r="1046" spans="1:3" ht="15" customHeight="1">
      <c r="A1046" s="98" t="s">
        <v>508</v>
      </c>
      <c r="B1046" s="98">
        <v>55880</v>
      </c>
      <c r="C1046" s="98" t="s">
        <v>96</v>
      </c>
    </row>
    <row r="1047" spans="1:3" ht="15" customHeight="1">
      <c r="A1047" s="98" t="s">
        <v>521</v>
      </c>
      <c r="B1047" s="98">
        <v>2884</v>
      </c>
      <c r="C1047" s="98" t="s">
        <v>98</v>
      </c>
    </row>
    <row r="1048" spans="1:3" ht="15" customHeight="1">
      <c r="A1048" s="98" t="s">
        <v>517</v>
      </c>
      <c r="B1048" s="98">
        <v>93031</v>
      </c>
      <c r="C1048" s="98" t="s">
        <v>98</v>
      </c>
    </row>
    <row r="1049" spans="1:3" ht="15" customHeight="1">
      <c r="A1049" s="98" t="s">
        <v>515</v>
      </c>
      <c r="B1049" s="98" t="s">
        <v>446</v>
      </c>
      <c r="C1049" s="98" t="s">
        <v>96</v>
      </c>
    </row>
    <row r="1050" spans="1:3" ht="15" customHeight="1">
      <c r="A1050" s="98" t="s">
        <v>521</v>
      </c>
      <c r="B1050" s="98">
        <v>8400</v>
      </c>
      <c r="C1050" s="98" t="s">
        <v>94</v>
      </c>
    </row>
    <row r="1051" spans="1:3" ht="15" customHeight="1">
      <c r="A1051" s="98" t="s">
        <v>521</v>
      </c>
      <c r="B1051" s="98">
        <v>3986</v>
      </c>
      <c r="C1051" s="98" t="s">
        <v>94</v>
      </c>
    </row>
    <row r="1052" spans="1:3" ht="15" customHeight="1">
      <c r="A1052" s="98" t="s">
        <v>521</v>
      </c>
      <c r="B1052" s="98">
        <v>3987</v>
      </c>
      <c r="C1052" s="98" t="s">
        <v>94</v>
      </c>
    </row>
    <row r="1053" spans="1:3" ht="15" customHeight="1">
      <c r="A1053" s="98" t="s">
        <v>521</v>
      </c>
      <c r="B1053" s="98">
        <v>3988</v>
      </c>
      <c r="C1053" s="98" t="s">
        <v>94</v>
      </c>
    </row>
    <row r="1054" spans="1:3" ht="15" customHeight="1">
      <c r="A1054" s="98" t="s">
        <v>521</v>
      </c>
      <c r="B1054" s="98">
        <v>3989</v>
      </c>
      <c r="C1054" s="98" t="s">
        <v>94</v>
      </c>
    </row>
    <row r="1055" spans="1:3" ht="15" customHeight="1">
      <c r="A1055" s="98" t="s">
        <v>508</v>
      </c>
      <c r="B1055" s="98">
        <v>17700</v>
      </c>
      <c r="C1055" s="98" t="s">
        <v>96</v>
      </c>
    </row>
    <row r="1056" spans="1:3" ht="15" customHeight="1">
      <c r="A1056" s="98" t="s">
        <v>515</v>
      </c>
      <c r="B1056" s="98" t="s">
        <v>447</v>
      </c>
      <c r="C1056" s="98" t="s">
        <v>95</v>
      </c>
    </row>
    <row r="1057" spans="1:3" ht="15" customHeight="1">
      <c r="A1057" s="98" t="s">
        <v>528</v>
      </c>
      <c r="B1057" s="98">
        <v>86030</v>
      </c>
      <c r="C1057" s="98" t="s">
        <v>98</v>
      </c>
    </row>
    <row r="1058" spans="1:3" ht="15" customHeight="1">
      <c r="A1058" s="98" t="s">
        <v>520</v>
      </c>
      <c r="B1058" s="98" t="s">
        <v>448</v>
      </c>
      <c r="C1058" s="98" t="s">
        <v>95</v>
      </c>
    </row>
    <row r="1059" spans="1:3" ht="15" customHeight="1">
      <c r="A1059" s="98" t="s">
        <v>519</v>
      </c>
      <c r="B1059" s="98">
        <v>233975</v>
      </c>
      <c r="C1059" s="98" t="s">
        <v>93</v>
      </c>
    </row>
    <row r="1060" spans="1:3" ht="15" customHeight="1">
      <c r="A1060" s="98" t="s">
        <v>516</v>
      </c>
      <c r="B1060" s="98">
        <v>12617</v>
      </c>
      <c r="C1060" s="98" t="s">
        <v>97</v>
      </c>
    </row>
    <row r="1061" spans="1:3" ht="15" customHeight="1">
      <c r="A1061" s="98" t="s">
        <v>521</v>
      </c>
      <c r="B1061" s="98">
        <v>3026</v>
      </c>
      <c r="C1061" s="98" t="s">
        <v>98</v>
      </c>
    </row>
    <row r="1062" spans="1:3" ht="15" customHeight="1">
      <c r="A1062" s="98" t="s">
        <v>516</v>
      </c>
      <c r="B1062" s="98" t="s">
        <v>449</v>
      </c>
      <c r="C1062" s="98" t="s">
        <v>450</v>
      </c>
    </row>
    <row r="1063" spans="1:3" ht="15" customHeight="1">
      <c r="A1063" s="98" t="s">
        <v>521</v>
      </c>
      <c r="B1063" s="98">
        <v>5529</v>
      </c>
      <c r="C1063" s="98" t="s">
        <v>94</v>
      </c>
    </row>
    <row r="1064" spans="1:3" ht="15" customHeight="1">
      <c r="A1064" s="98" t="s">
        <v>516</v>
      </c>
      <c r="B1064" s="98" t="s">
        <v>451</v>
      </c>
      <c r="C1064" s="98" t="s">
        <v>98</v>
      </c>
    </row>
    <row r="1065" spans="1:3" ht="15" customHeight="1">
      <c r="A1065" s="98" t="s">
        <v>515</v>
      </c>
      <c r="B1065" s="98" t="s">
        <v>452</v>
      </c>
      <c r="C1065" s="98" t="s">
        <v>93</v>
      </c>
    </row>
    <row r="1066" spans="1:3" ht="15" customHeight="1">
      <c r="A1066" s="98" t="s">
        <v>511</v>
      </c>
      <c r="B1066" s="98" t="s">
        <v>453</v>
      </c>
      <c r="C1066" s="98" t="s">
        <v>98</v>
      </c>
    </row>
    <row r="1067" spans="1:3" ht="15" customHeight="1">
      <c r="A1067" s="98" t="s">
        <v>521</v>
      </c>
      <c r="B1067" s="98">
        <v>2953</v>
      </c>
      <c r="C1067" s="98" t="s">
        <v>101</v>
      </c>
    </row>
    <row r="1068" spans="1:3" ht="15" customHeight="1">
      <c r="A1068" s="98" t="s">
        <v>515</v>
      </c>
      <c r="B1068" s="98" t="s">
        <v>454</v>
      </c>
      <c r="C1068" s="98" t="s">
        <v>98</v>
      </c>
    </row>
    <row r="1069" spans="1:3" ht="15" customHeight="1">
      <c r="A1069" s="98" t="s">
        <v>511</v>
      </c>
      <c r="B1069" s="98" t="s">
        <v>455</v>
      </c>
      <c r="C1069" s="98" t="s">
        <v>98</v>
      </c>
    </row>
    <row r="1070" spans="1:3" ht="15" customHeight="1">
      <c r="A1070" s="98" t="s">
        <v>516</v>
      </c>
      <c r="B1070" s="98">
        <v>12618</v>
      </c>
      <c r="C1070" s="98" t="s">
        <v>97</v>
      </c>
    </row>
    <row r="1071" spans="1:3" ht="15" customHeight="1">
      <c r="A1071" s="98" t="s">
        <v>516</v>
      </c>
      <c r="B1071" s="98" t="s">
        <v>456</v>
      </c>
      <c r="C1071" s="98" t="s">
        <v>95</v>
      </c>
    </row>
    <row r="1072" spans="1:3" ht="15" customHeight="1">
      <c r="A1072" s="98" t="s">
        <v>511</v>
      </c>
      <c r="B1072" s="98" t="s">
        <v>457</v>
      </c>
      <c r="C1072" s="98" t="s">
        <v>96</v>
      </c>
    </row>
    <row r="1073" spans="1:4" ht="15" customHeight="1">
      <c r="A1073" s="98" t="s">
        <v>515</v>
      </c>
      <c r="B1073" s="98" t="s">
        <v>458</v>
      </c>
      <c r="C1073" s="98" t="s">
        <v>98</v>
      </c>
    </row>
    <row r="1074" spans="1:4" ht="15" customHeight="1">
      <c r="A1074" s="98" t="s">
        <v>521</v>
      </c>
      <c r="B1074" s="98">
        <v>3027</v>
      </c>
      <c r="C1074" s="98" t="s">
        <v>98</v>
      </c>
    </row>
    <row r="1075" spans="1:4" ht="15" customHeight="1">
      <c r="A1075" s="98" t="s">
        <v>521</v>
      </c>
      <c r="B1075" s="98">
        <v>3276</v>
      </c>
      <c r="C1075" s="98" t="s">
        <v>98</v>
      </c>
    </row>
    <row r="1076" spans="1:4" ht="15" customHeight="1">
      <c r="A1076" s="98" t="s">
        <v>521</v>
      </c>
      <c r="B1076" s="98">
        <v>3277</v>
      </c>
      <c r="C1076" s="98" t="s">
        <v>98</v>
      </c>
    </row>
    <row r="1077" spans="1:4" ht="15" customHeight="1">
      <c r="A1077" s="98" t="s">
        <v>534</v>
      </c>
      <c r="B1077" s="98">
        <v>57776</v>
      </c>
      <c r="C1077" s="98" t="s">
        <v>97</v>
      </c>
      <c r="D1077" s="200" t="s">
        <v>535</v>
      </c>
    </row>
    <row r="1078" spans="1:4" ht="15" customHeight="1">
      <c r="A1078" s="98" t="s">
        <v>515</v>
      </c>
      <c r="B1078" s="98" t="s">
        <v>459</v>
      </c>
      <c r="C1078" s="98" t="s">
        <v>450</v>
      </c>
    </row>
    <row r="1079" spans="1:4" ht="15" customHeight="1">
      <c r="A1079" s="98" t="s">
        <v>512</v>
      </c>
      <c r="B1079" s="98">
        <v>302047</v>
      </c>
      <c r="C1079" s="98" t="s">
        <v>102</v>
      </c>
    </row>
    <row r="1080" spans="1:4" ht="15" customHeight="1">
      <c r="A1080" s="98" t="s">
        <v>534</v>
      </c>
      <c r="B1080" s="98">
        <v>99820</v>
      </c>
      <c r="C1080" s="98" t="s">
        <v>94</v>
      </c>
      <c r="D1080" s="200" t="s">
        <v>536</v>
      </c>
    </row>
    <row r="1081" spans="1:4" ht="15" customHeight="1">
      <c r="A1081" s="98" t="s">
        <v>515</v>
      </c>
      <c r="B1081" s="98" t="s">
        <v>460</v>
      </c>
      <c r="C1081" s="98" t="s">
        <v>98</v>
      </c>
      <c r="D1081" s="200" t="s">
        <v>537</v>
      </c>
    </row>
    <row r="1082" spans="1:4" ht="15" customHeight="1">
      <c r="A1082" s="98" t="s">
        <v>515</v>
      </c>
      <c r="B1082" s="98" t="s">
        <v>461</v>
      </c>
      <c r="C1082" s="98" t="s">
        <v>450</v>
      </c>
    </row>
    <row r="1083" spans="1:4" ht="15" customHeight="1">
      <c r="A1083" s="98" t="s">
        <v>508</v>
      </c>
      <c r="B1083" s="98">
        <v>45600</v>
      </c>
      <c r="C1083" s="98" t="s">
        <v>98</v>
      </c>
    </row>
    <row r="1084" spans="1:4" ht="15" customHeight="1">
      <c r="A1084" s="98" t="s">
        <v>521</v>
      </c>
      <c r="B1084" s="98">
        <v>2967</v>
      </c>
      <c r="C1084" s="98" t="s">
        <v>98</v>
      </c>
    </row>
    <row r="1085" spans="1:4" ht="15" customHeight="1">
      <c r="A1085" s="98" t="s">
        <v>508</v>
      </c>
      <c r="B1085" s="98">
        <v>69000</v>
      </c>
      <c r="C1085" s="98" t="s">
        <v>98</v>
      </c>
    </row>
    <row r="1086" spans="1:4" ht="15" customHeight="1">
      <c r="A1086" s="98" t="s">
        <v>520</v>
      </c>
      <c r="B1086" s="98" t="s">
        <v>462</v>
      </c>
      <c r="C1086" s="98" t="s">
        <v>100</v>
      </c>
    </row>
    <row r="1087" spans="1:4" ht="15" customHeight="1">
      <c r="A1087" s="98" t="s">
        <v>521</v>
      </c>
      <c r="B1087" s="98">
        <v>2949</v>
      </c>
      <c r="C1087" s="98" t="s">
        <v>100</v>
      </c>
    </row>
    <row r="1088" spans="1:4" ht="15" customHeight="1">
      <c r="A1088" s="98" t="s">
        <v>516</v>
      </c>
      <c r="B1088" s="98">
        <v>13520</v>
      </c>
      <c r="C1088" s="98" t="s">
        <v>97</v>
      </c>
    </row>
    <row r="1089" spans="1:3" ht="15" customHeight="1">
      <c r="A1089" s="98" t="s">
        <v>516</v>
      </c>
      <c r="B1089" s="98">
        <v>12618</v>
      </c>
      <c r="C1089" s="98" t="s">
        <v>97</v>
      </c>
    </row>
    <row r="1090" spans="1:3" ht="15" customHeight="1">
      <c r="A1090" s="98" t="s">
        <v>521</v>
      </c>
      <c r="B1090" s="98">
        <v>2966</v>
      </c>
      <c r="C1090" s="98" t="s">
        <v>98</v>
      </c>
    </row>
    <row r="1091" spans="1:3" ht="15" customHeight="1">
      <c r="A1091" s="98" t="s">
        <v>508</v>
      </c>
      <c r="B1091" s="98">
        <v>46500</v>
      </c>
      <c r="C1091" s="98" t="s">
        <v>98</v>
      </c>
    </row>
    <row r="1092" spans="1:3" ht="15" customHeight="1">
      <c r="A1092" s="98" t="s">
        <v>538</v>
      </c>
      <c r="B1092" s="98">
        <v>80062</v>
      </c>
      <c r="C1092" s="98" t="s">
        <v>96</v>
      </c>
    </row>
    <row r="1093" spans="1:3" ht="15" customHeight="1">
      <c r="A1093" s="98" t="s">
        <v>515</v>
      </c>
      <c r="B1093" s="98" t="s">
        <v>463</v>
      </c>
      <c r="C1093" s="98" t="s">
        <v>98</v>
      </c>
    </row>
    <row r="1094" spans="1:3" ht="15" customHeight="1">
      <c r="A1094" s="98" t="s">
        <v>516</v>
      </c>
      <c r="B1094" s="98">
        <v>13519</v>
      </c>
      <c r="C1094" s="98" t="s">
        <v>96</v>
      </c>
    </row>
    <row r="1095" spans="1:3" ht="15" customHeight="1">
      <c r="A1095" s="98" t="s">
        <v>516</v>
      </c>
      <c r="B1095" s="98" t="s">
        <v>464</v>
      </c>
      <c r="C1095" s="98" t="s">
        <v>97</v>
      </c>
    </row>
    <row r="1096" spans="1:3" ht="15" customHeight="1">
      <c r="A1096" s="98" t="s">
        <v>516</v>
      </c>
      <c r="B1096" s="98" t="s">
        <v>465</v>
      </c>
      <c r="C1096" s="98" t="s">
        <v>96</v>
      </c>
    </row>
    <row r="1097" spans="1:3" ht="15" customHeight="1">
      <c r="A1097" s="98" t="s">
        <v>531</v>
      </c>
      <c r="B1097" s="98" t="s">
        <v>466</v>
      </c>
      <c r="C1097" s="98" t="s">
        <v>467</v>
      </c>
    </row>
    <row r="1098" spans="1:3" ht="15" customHeight="1">
      <c r="A1098" s="98" t="s">
        <v>521</v>
      </c>
      <c r="B1098" s="98">
        <v>5611</v>
      </c>
      <c r="C1098" s="98" t="s">
        <v>94</v>
      </c>
    </row>
    <row r="1099" spans="1:3" ht="15" customHeight="1">
      <c r="A1099" s="98" t="s">
        <v>521</v>
      </c>
      <c r="B1099" s="98">
        <v>3048</v>
      </c>
      <c r="C1099" s="98" t="s">
        <v>97</v>
      </c>
    </row>
    <row r="1100" spans="1:3" ht="15" customHeight="1">
      <c r="A1100" s="98" t="s">
        <v>521</v>
      </c>
      <c r="B1100" s="98">
        <v>7073</v>
      </c>
      <c r="C1100" s="98" t="s">
        <v>96</v>
      </c>
    </row>
    <row r="1101" spans="1:3" ht="15" customHeight="1">
      <c r="A1101" s="98" t="s">
        <v>508</v>
      </c>
      <c r="B1101" s="98">
        <v>65101</v>
      </c>
      <c r="C1101" s="98" t="s">
        <v>98</v>
      </c>
    </row>
    <row r="1102" spans="1:3" ht="15" customHeight="1">
      <c r="A1102" s="98" t="s">
        <v>520</v>
      </c>
      <c r="B1102" s="98" t="s">
        <v>468</v>
      </c>
      <c r="C1102" s="98" t="s">
        <v>100</v>
      </c>
    </row>
    <row r="1103" spans="1:3" ht="15" customHeight="1">
      <c r="A1103" s="98" t="s">
        <v>521</v>
      </c>
      <c r="B1103" s="98">
        <v>3027</v>
      </c>
      <c r="C1103" s="98" t="s">
        <v>98</v>
      </c>
    </row>
    <row r="1104" spans="1:3" ht="15" customHeight="1">
      <c r="A1104" s="98" t="s">
        <v>521</v>
      </c>
      <c r="B1104" s="98">
        <v>3188</v>
      </c>
      <c r="C1104" s="98" t="s">
        <v>100</v>
      </c>
    </row>
    <row r="1105" spans="1:3" ht="15" customHeight="1">
      <c r="A1105" s="98" t="s">
        <v>508</v>
      </c>
      <c r="B1105" s="98">
        <v>45400</v>
      </c>
      <c r="C1105" s="98" t="s">
        <v>98</v>
      </c>
    </row>
    <row r="1106" spans="1:3" ht="15" customHeight="1">
      <c r="A1106" s="98" t="s">
        <v>508</v>
      </c>
      <c r="B1106" s="98">
        <v>45365</v>
      </c>
      <c r="C1106" s="98" t="s">
        <v>98</v>
      </c>
    </row>
    <row r="1107" spans="1:3" ht="15" customHeight="1">
      <c r="A1107" s="98" t="s">
        <v>508</v>
      </c>
      <c r="B1107" s="98">
        <v>45390</v>
      </c>
      <c r="C1107" s="98" t="s">
        <v>98</v>
      </c>
    </row>
    <row r="1108" spans="1:3" ht="15" customHeight="1">
      <c r="A1108" s="98" t="s">
        <v>508</v>
      </c>
      <c r="B1108" s="98">
        <v>92302</v>
      </c>
      <c r="C1108" s="98" t="s">
        <v>94</v>
      </c>
    </row>
    <row r="1109" spans="1:3" ht="15" customHeight="1">
      <c r="A1109" s="98" t="s">
        <v>521</v>
      </c>
      <c r="B1109" s="98">
        <v>3229</v>
      </c>
      <c r="C1109" s="98" t="s">
        <v>100</v>
      </c>
    </row>
    <row r="1110" spans="1:3" ht="15" customHeight="1">
      <c r="A1110" s="98" t="s">
        <v>519</v>
      </c>
      <c r="B1110" s="98">
        <v>231968</v>
      </c>
      <c r="C1110" s="98" t="s">
        <v>94</v>
      </c>
    </row>
    <row r="1111" spans="1:3" ht="15" customHeight="1">
      <c r="A1111" s="98" t="s">
        <v>508</v>
      </c>
      <c r="B1111" s="98">
        <v>91388</v>
      </c>
      <c r="C1111" s="98" t="s">
        <v>96</v>
      </c>
    </row>
    <row r="1112" spans="1:3" ht="15" customHeight="1">
      <c r="A1112" s="98" t="s">
        <v>508</v>
      </c>
      <c r="B1112" s="98">
        <v>91305</v>
      </c>
      <c r="C1112" s="98" t="s">
        <v>96</v>
      </c>
    </row>
    <row r="1113" spans="1:3" ht="15" customHeight="1">
      <c r="A1113" s="98" t="s">
        <v>508</v>
      </c>
      <c r="B1113" s="98">
        <v>91392</v>
      </c>
      <c r="C1113" s="98" t="s">
        <v>96</v>
      </c>
    </row>
    <row r="1114" spans="1:3" ht="15" customHeight="1">
      <c r="A1114" s="98" t="s">
        <v>508</v>
      </c>
      <c r="B1114" s="98">
        <v>91393</v>
      </c>
      <c r="C1114" s="98" t="s">
        <v>96</v>
      </c>
    </row>
    <row r="1115" spans="1:3" ht="15" customHeight="1">
      <c r="A1115" s="98" t="s">
        <v>508</v>
      </c>
      <c r="B1115" s="98">
        <v>91394</v>
      </c>
      <c r="C1115" s="98" t="s">
        <v>96</v>
      </c>
    </row>
    <row r="1116" spans="1:3" ht="15" customHeight="1">
      <c r="A1116" s="98" t="s">
        <v>508</v>
      </c>
      <c r="B1116" s="98">
        <v>91395</v>
      </c>
      <c r="C1116" s="98" t="s">
        <v>96</v>
      </c>
    </row>
    <row r="1117" spans="1:3" ht="15" customHeight="1">
      <c r="A1117" s="98" t="s">
        <v>508</v>
      </c>
      <c r="B1117" s="98">
        <v>91396</v>
      </c>
      <c r="C1117" s="98" t="s">
        <v>96</v>
      </c>
    </row>
    <row r="1118" spans="1:3" ht="15" customHeight="1">
      <c r="A1118" s="98" t="s">
        <v>508</v>
      </c>
      <c r="B1118" s="98">
        <v>91397</v>
      </c>
      <c r="C1118" s="98" t="s">
        <v>96</v>
      </c>
    </row>
    <row r="1119" spans="1:3" ht="15" customHeight="1">
      <c r="A1119" s="98" t="s">
        <v>508</v>
      </c>
      <c r="B1119" s="98">
        <v>91398</v>
      </c>
      <c r="C1119" s="98" t="s">
        <v>96</v>
      </c>
    </row>
    <row r="1120" spans="1:3" ht="15" customHeight="1">
      <c r="A1120" s="98" t="s">
        <v>516</v>
      </c>
      <c r="B1120" s="98">
        <v>12624</v>
      </c>
      <c r="C1120" s="98" t="s">
        <v>94</v>
      </c>
    </row>
    <row r="1121" spans="1:3" ht="15" customHeight="1">
      <c r="A1121" s="98" t="s">
        <v>521</v>
      </c>
      <c r="B1121" s="98">
        <v>5569</v>
      </c>
      <c r="C1121" s="98" t="s">
        <v>98</v>
      </c>
    </row>
    <row r="1122" spans="1:3" ht="15" customHeight="1">
      <c r="A1122" s="98" t="s">
        <v>521</v>
      </c>
      <c r="B1122" s="98">
        <v>5590</v>
      </c>
      <c r="C1122" s="98" t="s">
        <v>98</v>
      </c>
    </row>
    <row r="1123" spans="1:3" ht="15" customHeight="1">
      <c r="A1123" s="98" t="s">
        <v>515</v>
      </c>
      <c r="B1123" s="98" t="s">
        <v>469</v>
      </c>
      <c r="C1123" s="98" t="s">
        <v>95</v>
      </c>
    </row>
    <row r="1124" spans="1:3" ht="15" customHeight="1">
      <c r="A1124" s="98" t="s">
        <v>515</v>
      </c>
      <c r="B1124" s="98" t="s">
        <v>470</v>
      </c>
      <c r="C1124" s="98" t="s">
        <v>95</v>
      </c>
    </row>
    <row r="1125" spans="1:3" ht="15" customHeight="1">
      <c r="A1125" s="98" t="s">
        <v>508</v>
      </c>
      <c r="B1125" s="98">
        <v>45490</v>
      </c>
      <c r="C1125" s="98" t="s">
        <v>98</v>
      </c>
    </row>
    <row r="1126" spans="1:3" ht="15" customHeight="1">
      <c r="A1126" s="98" t="s">
        <v>521</v>
      </c>
      <c r="B1126" s="98">
        <v>8148</v>
      </c>
      <c r="C1126" s="98" t="s">
        <v>95</v>
      </c>
    </row>
    <row r="1127" spans="1:3" ht="15" customHeight="1">
      <c r="A1127" s="98" t="s">
        <v>521</v>
      </c>
      <c r="B1127" s="98">
        <v>2979</v>
      </c>
      <c r="C1127" s="98" t="s">
        <v>94</v>
      </c>
    </row>
    <row r="1128" spans="1:3" ht="15" customHeight="1">
      <c r="A1128" s="98" t="s">
        <v>521</v>
      </c>
      <c r="B1128" s="98">
        <v>5649</v>
      </c>
      <c r="C1128" s="98" t="s">
        <v>94</v>
      </c>
    </row>
    <row r="1129" spans="1:3" ht="15" customHeight="1">
      <c r="A1129" s="98" t="s">
        <v>521</v>
      </c>
      <c r="B1129" s="98">
        <v>5689</v>
      </c>
      <c r="C1129" s="98" t="s">
        <v>94</v>
      </c>
    </row>
    <row r="1130" spans="1:3" ht="15" customHeight="1">
      <c r="A1130" s="98" t="s">
        <v>521</v>
      </c>
      <c r="B1130" s="98">
        <v>5729</v>
      </c>
      <c r="C1130" s="98" t="s">
        <v>94</v>
      </c>
    </row>
    <row r="1131" spans="1:3" ht="15" customHeight="1">
      <c r="A1131" s="98" t="s">
        <v>521</v>
      </c>
      <c r="B1131" s="98">
        <v>8146</v>
      </c>
      <c r="C1131" s="98" t="s">
        <v>95</v>
      </c>
    </row>
    <row r="1132" spans="1:3" ht="15" customHeight="1">
      <c r="A1132" s="98" t="s">
        <v>521</v>
      </c>
      <c r="B1132" s="98">
        <v>8147</v>
      </c>
      <c r="C1132" s="98" t="s">
        <v>95</v>
      </c>
    </row>
    <row r="1133" spans="1:3" ht="15" customHeight="1">
      <c r="A1133" s="98" t="s">
        <v>520</v>
      </c>
      <c r="B1133" s="98">
        <v>2509</v>
      </c>
      <c r="C1133" s="98" t="s">
        <v>94</v>
      </c>
    </row>
    <row r="1134" spans="1:3" ht="15" customHeight="1">
      <c r="A1134" s="98" t="s">
        <v>520</v>
      </c>
      <c r="B1134" s="98" t="s">
        <v>471</v>
      </c>
      <c r="C1134" s="98" t="s">
        <v>98</v>
      </c>
    </row>
    <row r="1135" spans="1:3" ht="15" customHeight="1">
      <c r="A1135" s="98" t="s">
        <v>508</v>
      </c>
      <c r="B1135" s="98">
        <v>91306</v>
      </c>
      <c r="C1135" s="98" t="s">
        <v>96</v>
      </c>
    </row>
    <row r="1136" spans="1:3" ht="15" customHeight="1">
      <c r="A1136" s="98" t="s">
        <v>515</v>
      </c>
      <c r="B1136" s="98" t="s">
        <v>472</v>
      </c>
      <c r="C1136" s="98" t="s">
        <v>95</v>
      </c>
    </row>
    <row r="1137" spans="1:3" ht="15" customHeight="1">
      <c r="A1137" s="98" t="s">
        <v>515</v>
      </c>
      <c r="B1137" s="98" t="s">
        <v>473</v>
      </c>
      <c r="C1137" s="98" t="s">
        <v>96</v>
      </c>
    </row>
    <row r="1138" spans="1:3" ht="15" customHeight="1">
      <c r="A1138" s="98" t="s">
        <v>515</v>
      </c>
      <c r="B1138" s="98" t="s">
        <v>474</v>
      </c>
      <c r="C1138" s="98" t="s">
        <v>96</v>
      </c>
    </row>
    <row r="1139" spans="1:3" ht="15" customHeight="1">
      <c r="A1139" s="98" t="s">
        <v>534</v>
      </c>
      <c r="B1139" s="98">
        <v>57788</v>
      </c>
      <c r="C1139" s="98" t="s">
        <v>94</v>
      </c>
    </row>
    <row r="1140" spans="1:3" ht="15" customHeight="1">
      <c r="A1140" s="98" t="s">
        <v>516</v>
      </c>
      <c r="B1140" s="98" t="s">
        <v>475</v>
      </c>
      <c r="C1140" s="98" t="s">
        <v>95</v>
      </c>
    </row>
    <row r="1141" spans="1:3" ht="15" customHeight="1">
      <c r="A1141" s="98" t="s">
        <v>508</v>
      </c>
      <c r="B1141" s="98">
        <v>45420</v>
      </c>
      <c r="C1141" s="98" t="s">
        <v>98</v>
      </c>
    </row>
    <row r="1142" spans="1:3" ht="15" customHeight="1">
      <c r="A1142" s="98" t="s">
        <v>508</v>
      </c>
      <c r="B1142" s="98">
        <v>45308</v>
      </c>
      <c r="C1142" s="98" t="s">
        <v>98</v>
      </c>
    </row>
    <row r="1143" spans="1:3" ht="15" customHeight="1">
      <c r="A1143" s="98" t="s">
        <v>521</v>
      </c>
      <c r="B1143" s="98">
        <v>2983</v>
      </c>
      <c r="C1143" s="98" t="s">
        <v>98</v>
      </c>
    </row>
    <row r="1144" spans="1:3" ht="15" customHeight="1">
      <c r="A1144" s="98" t="s">
        <v>515</v>
      </c>
      <c r="B1144" s="98" t="s">
        <v>476</v>
      </c>
      <c r="C1144" s="98" t="s">
        <v>98</v>
      </c>
    </row>
    <row r="1145" spans="1:3" ht="15" customHeight="1">
      <c r="A1145" s="98" t="s">
        <v>516</v>
      </c>
      <c r="B1145" s="98">
        <v>14959</v>
      </c>
      <c r="C1145" s="98" t="s">
        <v>96</v>
      </c>
    </row>
    <row r="1146" spans="1:3" ht="15" customHeight="1">
      <c r="A1146" s="98" t="s">
        <v>521</v>
      </c>
      <c r="B1146" s="98">
        <v>8454</v>
      </c>
      <c r="C1146" s="98" t="s">
        <v>98</v>
      </c>
    </row>
    <row r="1147" spans="1:3" ht="15" customHeight="1">
      <c r="A1147" s="98" t="s">
        <v>517</v>
      </c>
      <c r="B1147" s="98">
        <v>63250</v>
      </c>
      <c r="C1147" s="98" t="s">
        <v>94</v>
      </c>
    </row>
    <row r="1148" spans="1:3" ht="15" customHeight="1">
      <c r="A1148" s="98" t="s">
        <v>521</v>
      </c>
      <c r="B1148" s="98">
        <v>8453</v>
      </c>
      <c r="C1148" s="98" t="s">
        <v>98</v>
      </c>
    </row>
    <row r="1149" spans="1:3" ht="15" customHeight="1">
      <c r="A1149" s="98" t="s">
        <v>520</v>
      </c>
      <c r="B1149" s="98" t="s">
        <v>477</v>
      </c>
      <c r="C1149" s="98" t="s">
        <v>96</v>
      </c>
    </row>
    <row r="1150" spans="1:3" ht="15" customHeight="1">
      <c r="A1150" s="98" t="s">
        <v>534</v>
      </c>
      <c r="B1150" s="98">
        <v>90670</v>
      </c>
      <c r="C1150" s="98" t="s">
        <v>94</v>
      </c>
    </row>
    <row r="1151" spans="1:3" ht="15" customHeight="1">
      <c r="A1151" s="98" t="s">
        <v>521</v>
      </c>
      <c r="B1151" s="98">
        <v>2987</v>
      </c>
      <c r="C1151" s="98" t="s">
        <v>96</v>
      </c>
    </row>
    <row r="1152" spans="1:3" ht="15" customHeight="1">
      <c r="A1152" s="98" t="s">
        <v>521</v>
      </c>
      <c r="B1152" s="98">
        <v>2988</v>
      </c>
      <c r="C1152" s="98" t="s">
        <v>96</v>
      </c>
    </row>
    <row r="1153" spans="1:3" ht="15" customHeight="1">
      <c r="A1153" s="98" t="s">
        <v>508</v>
      </c>
      <c r="B1153" s="98">
        <v>45310</v>
      </c>
      <c r="C1153" s="98" t="s">
        <v>98</v>
      </c>
    </row>
    <row r="1154" spans="1:3" ht="15" customHeight="1">
      <c r="A1154" s="98" t="s">
        <v>511</v>
      </c>
      <c r="B1154" s="98" t="s">
        <v>478</v>
      </c>
      <c r="C1154" s="98" t="s">
        <v>96</v>
      </c>
    </row>
    <row r="1155" spans="1:3" ht="15" customHeight="1">
      <c r="A1155" s="98" t="s">
        <v>520</v>
      </c>
      <c r="B1155" s="98" t="s">
        <v>479</v>
      </c>
      <c r="C1155" s="98" t="s">
        <v>100</v>
      </c>
    </row>
    <row r="1156" spans="1:3" ht="15" customHeight="1">
      <c r="A1156" s="98" t="s">
        <v>520</v>
      </c>
      <c r="B1156" s="98" t="s">
        <v>480</v>
      </c>
      <c r="C1156" s="98" t="s">
        <v>98</v>
      </c>
    </row>
    <row r="1157" spans="1:3" ht="15" customHeight="1">
      <c r="A1157" s="98" t="s">
        <v>520</v>
      </c>
      <c r="B1157" s="98" t="s">
        <v>481</v>
      </c>
      <c r="C1157" s="98" t="s">
        <v>96</v>
      </c>
    </row>
    <row r="1158" spans="1:3" ht="15" customHeight="1">
      <c r="A1158" s="98" t="s">
        <v>520</v>
      </c>
      <c r="B1158" s="98" t="s">
        <v>482</v>
      </c>
      <c r="C1158" s="98" t="s">
        <v>98</v>
      </c>
    </row>
    <row r="1159" spans="1:3" ht="15" customHeight="1">
      <c r="A1159" s="98" t="s">
        <v>531</v>
      </c>
      <c r="B1159" s="98" t="s">
        <v>483</v>
      </c>
      <c r="C1159" s="98" t="s">
        <v>467</v>
      </c>
    </row>
    <row r="1160" spans="1:3" ht="15" customHeight="1">
      <c r="A1160" s="98" t="s">
        <v>531</v>
      </c>
      <c r="B1160" s="98" t="s">
        <v>484</v>
      </c>
      <c r="C1160" s="98" t="s">
        <v>467</v>
      </c>
    </row>
    <row r="1161" spans="1:3" ht="15" customHeight="1">
      <c r="A1161" s="98" t="s">
        <v>531</v>
      </c>
      <c r="B1161" s="98" t="s">
        <v>485</v>
      </c>
      <c r="C1161" s="98" t="s">
        <v>98</v>
      </c>
    </row>
    <row r="1162" spans="1:3" ht="15" customHeight="1">
      <c r="A1162" s="98" t="s">
        <v>531</v>
      </c>
      <c r="B1162" s="98" t="s">
        <v>486</v>
      </c>
      <c r="C1162" s="98" t="s">
        <v>98</v>
      </c>
    </row>
    <row r="1163" spans="1:3" ht="15" customHeight="1">
      <c r="A1163" s="98" t="s">
        <v>520</v>
      </c>
      <c r="B1163" s="98" t="s">
        <v>487</v>
      </c>
      <c r="C1163" s="98" t="s">
        <v>98</v>
      </c>
    </row>
    <row r="1164" spans="1:3" ht="15" customHeight="1">
      <c r="A1164" s="98" t="s">
        <v>520</v>
      </c>
      <c r="B1164" s="98" t="s">
        <v>488</v>
      </c>
      <c r="C1164" s="98" t="s">
        <v>94</v>
      </c>
    </row>
    <row r="1165" spans="1:3" ht="15" customHeight="1">
      <c r="A1165" s="98" t="s">
        <v>520</v>
      </c>
      <c r="B1165" s="98" t="s">
        <v>489</v>
      </c>
      <c r="C1165" s="98" t="s">
        <v>96</v>
      </c>
    </row>
    <row r="1166" spans="1:3" ht="15" customHeight="1">
      <c r="A1166" s="98" t="s">
        <v>520</v>
      </c>
      <c r="B1166" s="98" t="s">
        <v>490</v>
      </c>
      <c r="C1166" s="98" t="s">
        <v>122</v>
      </c>
    </row>
    <row r="1167" spans="1:3" ht="15" customHeight="1">
      <c r="A1167" s="98" t="s">
        <v>520</v>
      </c>
      <c r="B1167" s="98" t="s">
        <v>491</v>
      </c>
      <c r="C1167" s="98" t="s">
        <v>94</v>
      </c>
    </row>
    <row r="1168" spans="1:3" ht="15" customHeight="1">
      <c r="A1168" s="98" t="s">
        <v>520</v>
      </c>
      <c r="B1168" s="98" t="s">
        <v>492</v>
      </c>
      <c r="C1168" s="98" t="s">
        <v>100</v>
      </c>
    </row>
    <row r="1169" spans="1:3" ht="15" customHeight="1">
      <c r="A1169" s="98" t="s">
        <v>521</v>
      </c>
      <c r="B1169" s="98">
        <v>3007</v>
      </c>
      <c r="C1169" s="98" t="s">
        <v>100</v>
      </c>
    </row>
    <row r="1170" spans="1:3" ht="15" customHeight="1">
      <c r="A1170" s="98" t="s">
        <v>521</v>
      </c>
      <c r="B1170" s="98">
        <v>3006</v>
      </c>
      <c r="C1170" s="98" t="s">
        <v>100</v>
      </c>
    </row>
    <row r="1171" spans="1:3" ht="15" customHeight="1">
      <c r="A1171" s="98" t="s">
        <v>520</v>
      </c>
      <c r="B1171" s="98" t="s">
        <v>493</v>
      </c>
      <c r="C1171" s="98" t="s">
        <v>98</v>
      </c>
    </row>
    <row r="1172" spans="1:3" ht="15" customHeight="1">
      <c r="A1172" s="98" t="s">
        <v>520</v>
      </c>
      <c r="B1172" s="98" t="s">
        <v>494</v>
      </c>
      <c r="C1172" s="98" t="s">
        <v>98</v>
      </c>
    </row>
    <row r="1173" spans="1:3" ht="15" customHeight="1">
      <c r="A1173" s="98" t="s">
        <v>515</v>
      </c>
      <c r="B1173" s="98" t="s">
        <v>495</v>
      </c>
      <c r="C1173" s="98" t="s">
        <v>450</v>
      </c>
    </row>
    <row r="1174" spans="1:3" ht="15" customHeight="1">
      <c r="A1174" s="98" t="s">
        <v>515</v>
      </c>
      <c r="B1174" s="98" t="s">
        <v>496</v>
      </c>
      <c r="C1174" s="98" t="s">
        <v>450</v>
      </c>
    </row>
    <row r="1175" spans="1:3" ht="15" customHeight="1">
      <c r="A1175" s="98" t="s">
        <v>521</v>
      </c>
      <c r="B1175" s="98">
        <v>1532</v>
      </c>
      <c r="C1175" s="98" t="s">
        <v>98</v>
      </c>
    </row>
    <row r="1176" spans="1:3" ht="15" customHeight="1">
      <c r="A1176" s="98" t="s">
        <v>539</v>
      </c>
      <c r="B1176" s="98">
        <v>57859</v>
      </c>
      <c r="C1176" s="98" t="s">
        <v>94</v>
      </c>
    </row>
    <row r="1177" spans="1:3" ht="15" customHeight="1">
      <c r="A1177" s="98" t="s">
        <v>520</v>
      </c>
      <c r="B1177" s="98" t="s">
        <v>497</v>
      </c>
      <c r="C1177" s="98" t="s">
        <v>102</v>
      </c>
    </row>
    <row r="1178" spans="1:3" ht="15" customHeight="1">
      <c r="A1178" s="98" t="s">
        <v>520</v>
      </c>
      <c r="B1178" s="98" t="s">
        <v>498</v>
      </c>
      <c r="C1178" s="98" t="s">
        <v>98</v>
      </c>
    </row>
    <row r="1179" spans="1:3" ht="15" customHeight="1">
      <c r="A1179" s="98" t="s">
        <v>520</v>
      </c>
      <c r="B1179" s="98" t="s">
        <v>499</v>
      </c>
      <c r="C1179" s="98" t="s">
        <v>96</v>
      </c>
    </row>
    <row r="1180" spans="1:3" ht="15" customHeight="1">
      <c r="A1180" s="98" t="s">
        <v>520</v>
      </c>
      <c r="B1180" s="98" t="s">
        <v>500</v>
      </c>
      <c r="C1180" s="98" t="s">
        <v>93</v>
      </c>
    </row>
    <row r="1181" spans="1:3" ht="15" customHeight="1">
      <c r="A1181" s="98" t="s">
        <v>516</v>
      </c>
      <c r="B1181" s="98">
        <v>12570</v>
      </c>
      <c r="C1181" s="98" t="s">
        <v>95</v>
      </c>
    </row>
    <row r="1182" spans="1:3" ht="15" customHeight="1">
      <c r="A1182" s="98" t="s">
        <v>516</v>
      </c>
      <c r="B1182" s="98">
        <v>12616</v>
      </c>
      <c r="C1182" s="98" t="s">
        <v>95</v>
      </c>
    </row>
    <row r="1183" spans="1:3" ht="15" customHeight="1">
      <c r="A1183" s="98" t="s">
        <v>516</v>
      </c>
      <c r="B1183" s="98" t="s">
        <v>456</v>
      </c>
      <c r="C1183" s="98" t="s">
        <v>95</v>
      </c>
    </row>
    <row r="1184" spans="1:3" ht="15" customHeight="1">
      <c r="A1184" s="98" t="s">
        <v>508</v>
      </c>
      <c r="B1184" s="98">
        <v>45430</v>
      </c>
      <c r="C1184" s="98" t="s">
        <v>96</v>
      </c>
    </row>
    <row r="1185" spans="1:3" ht="15" customHeight="1">
      <c r="A1185" s="98" t="s">
        <v>520</v>
      </c>
      <c r="B1185" s="98" t="s">
        <v>503</v>
      </c>
      <c r="C1185" s="98" t="s">
        <v>100</v>
      </c>
    </row>
    <row r="1186" spans="1:3" ht="15" customHeight="1">
      <c r="A1186" s="98" t="s">
        <v>520</v>
      </c>
      <c r="B1186" s="98" t="s">
        <v>504</v>
      </c>
      <c r="C1186" s="98" t="s">
        <v>95</v>
      </c>
    </row>
    <row r="1187" spans="1:3" ht="15" customHeight="1">
      <c r="A1187" s="98" t="s">
        <v>521</v>
      </c>
      <c r="B1187" s="98">
        <v>2989</v>
      </c>
      <c r="C1187" s="98" t="s">
        <v>98</v>
      </c>
    </row>
    <row r="1188" spans="1:3" ht="15" customHeight="1">
      <c r="A1188" s="98" t="s">
        <v>539</v>
      </c>
      <c r="B1188" s="98">
        <v>57803</v>
      </c>
      <c r="C1188" s="98" t="s">
        <v>94</v>
      </c>
    </row>
    <row r="1189" spans="1:3" ht="15" customHeight="1">
      <c r="A1189" s="98" t="s">
        <v>539</v>
      </c>
      <c r="B1189" s="98">
        <v>57470</v>
      </c>
      <c r="C1189" s="98" t="s">
        <v>97</v>
      </c>
    </row>
    <row r="1190" spans="1:3" ht="15" customHeight="1">
      <c r="A1190" s="98" t="s">
        <v>520</v>
      </c>
      <c r="B1190" s="98" t="s">
        <v>505</v>
      </c>
      <c r="C1190" s="98" t="s">
        <v>98</v>
      </c>
    </row>
    <row r="1191" spans="1:3" ht="15" customHeight="1">
      <c r="A1191" s="98" t="s">
        <v>521</v>
      </c>
      <c r="B1191" s="98">
        <v>2167</v>
      </c>
      <c r="C1191" s="98" t="s">
        <v>94</v>
      </c>
    </row>
    <row r="1192" spans="1:3" ht="15" customHeight="1">
      <c r="A1192" s="98" t="s">
        <v>521</v>
      </c>
      <c r="B1192" s="98">
        <v>8023</v>
      </c>
      <c r="C1192" s="98" t="s">
        <v>94</v>
      </c>
    </row>
    <row r="1193" spans="1:3" ht="15" customHeight="1">
      <c r="A1193" s="98" t="s">
        <v>516</v>
      </c>
      <c r="B1193" s="98" t="s">
        <v>540</v>
      </c>
      <c r="C1193" s="98" t="s">
        <v>96</v>
      </c>
    </row>
    <row r="1194" spans="1:3" ht="15" customHeight="1">
      <c r="A1194" s="98" t="s">
        <v>515</v>
      </c>
      <c r="B1194" s="98" t="s">
        <v>541</v>
      </c>
      <c r="C1194" s="98" t="s">
        <v>95</v>
      </c>
    </row>
    <row r="1195" spans="1:3" ht="15" customHeight="1">
      <c r="A1195" s="98" t="s">
        <v>521</v>
      </c>
      <c r="B1195" s="98">
        <v>3008</v>
      </c>
      <c r="C1195" s="98" t="s">
        <v>98</v>
      </c>
    </row>
    <row r="1196" spans="1:3" ht="15" customHeight="1">
      <c r="A1196" s="98" t="s">
        <v>508</v>
      </c>
      <c r="B1196" s="98">
        <v>91399</v>
      </c>
      <c r="C1196" s="98" t="s">
        <v>96</v>
      </c>
    </row>
    <row r="1197" spans="1:3" ht="15" customHeight="1">
      <c r="A1197" s="98" t="s">
        <v>508</v>
      </c>
      <c r="B1197" s="98">
        <v>91400</v>
      </c>
      <c r="C1197" s="98" t="s">
        <v>96</v>
      </c>
    </row>
    <row r="1198" spans="1:3" ht="15" customHeight="1">
      <c r="A1198" s="98" t="s">
        <v>531</v>
      </c>
      <c r="B1198" s="98" t="s">
        <v>542</v>
      </c>
      <c r="C1198" s="98" t="s">
        <v>98</v>
      </c>
    </row>
    <row r="1199" spans="1:3" ht="15" customHeight="1">
      <c r="A1199" s="98" t="s">
        <v>531</v>
      </c>
      <c r="B1199" s="98" t="s">
        <v>543</v>
      </c>
      <c r="C1199" s="98" t="s">
        <v>98</v>
      </c>
    </row>
    <row r="1200" spans="1:3" ht="15" customHeight="1">
      <c r="A1200" s="98" t="s">
        <v>521</v>
      </c>
      <c r="B1200" s="98">
        <v>3017</v>
      </c>
      <c r="C1200" s="98" t="s">
        <v>94</v>
      </c>
    </row>
    <row r="1201" spans="1:3" ht="15" customHeight="1">
      <c r="A1201" s="98" t="s">
        <v>521</v>
      </c>
      <c r="B1201" s="98">
        <v>3383</v>
      </c>
      <c r="C1201" s="98" t="s">
        <v>94</v>
      </c>
    </row>
    <row r="1202" spans="1:3" ht="15" customHeight="1">
      <c r="A1202" s="98" t="s">
        <v>521</v>
      </c>
      <c r="B1202" s="98">
        <v>3668</v>
      </c>
      <c r="C1202" s="98" t="s">
        <v>544</v>
      </c>
    </row>
    <row r="1203" spans="1:3" ht="15" customHeight="1">
      <c r="A1203" s="98" t="s">
        <v>529</v>
      </c>
      <c r="B1203" s="98">
        <v>60524</v>
      </c>
      <c r="C1203" s="98" t="s">
        <v>94</v>
      </c>
    </row>
    <row r="1204" spans="1:3" ht="15" customHeight="1">
      <c r="A1204" s="98" t="s">
        <v>521</v>
      </c>
      <c r="B1204" s="98">
        <v>3283</v>
      </c>
      <c r="C1204" s="98" t="s">
        <v>94</v>
      </c>
    </row>
    <row r="1205" spans="1:3" ht="15" customHeight="1">
      <c r="A1205" s="98" t="s">
        <v>516</v>
      </c>
      <c r="B1205" s="98">
        <v>12621</v>
      </c>
      <c r="C1205" s="98" t="s">
        <v>96</v>
      </c>
    </row>
    <row r="1206" spans="1:3" ht="15" customHeight="1">
      <c r="A1206" s="98" t="s">
        <v>529</v>
      </c>
      <c r="B1206" s="98">
        <v>59608</v>
      </c>
      <c r="C1206" s="98" t="s">
        <v>94</v>
      </c>
    </row>
    <row r="1207" spans="1:3" ht="15" customHeight="1">
      <c r="A1207" s="98" t="s">
        <v>520</v>
      </c>
      <c r="B1207" s="98" t="s">
        <v>545</v>
      </c>
      <c r="C1207" s="98" t="s">
        <v>98</v>
      </c>
    </row>
    <row r="1208" spans="1:3" ht="15" customHeight="1">
      <c r="A1208" s="98" t="s">
        <v>521</v>
      </c>
      <c r="B1208" s="98">
        <v>3304</v>
      </c>
      <c r="C1208" s="98" t="s">
        <v>94</v>
      </c>
    </row>
    <row r="1209" spans="1:3">
      <c r="A1209" s="98" t="s">
        <v>508</v>
      </c>
      <c r="B1209" s="98">
        <v>45610</v>
      </c>
      <c r="C1209" s="98" t="s">
        <v>98</v>
      </c>
    </row>
    <row r="1210" spans="1:3">
      <c r="A1210" s="98" t="s">
        <v>520</v>
      </c>
      <c r="B1210" t="s">
        <v>3194</v>
      </c>
      <c r="C1210" s="98" t="s">
        <v>96</v>
      </c>
    </row>
    <row r="1211" spans="1:3">
      <c r="A1211" s="98" t="s">
        <v>508</v>
      </c>
      <c r="B1211">
        <v>91952</v>
      </c>
      <c r="C1211" s="98" t="s">
        <v>94</v>
      </c>
    </row>
    <row r="1212" spans="1:3">
      <c r="A1212" s="98" t="s">
        <v>520</v>
      </c>
      <c r="B1212" t="s">
        <v>3203</v>
      </c>
      <c r="C1212" s="98" t="s">
        <v>96</v>
      </c>
    </row>
    <row r="1213" spans="1:3">
      <c r="A1213" s="98" t="s">
        <v>520</v>
      </c>
      <c r="B1213" t="s">
        <v>3204</v>
      </c>
      <c r="C1213" s="98" t="s">
        <v>96</v>
      </c>
    </row>
    <row r="1214" spans="1:3">
      <c r="A1214" s="98" t="s">
        <v>520</v>
      </c>
      <c r="B1214" t="s">
        <v>3205</v>
      </c>
      <c r="C1214" s="98" t="s">
        <v>96</v>
      </c>
    </row>
    <row r="1215" spans="1:3">
      <c r="A1215" s="98" t="s">
        <v>521</v>
      </c>
      <c r="B1215">
        <v>3018</v>
      </c>
      <c r="C1215" s="98" t="s">
        <v>3212</v>
      </c>
    </row>
    <row r="1216" spans="1:3">
      <c r="A1216" s="98" t="s">
        <v>521</v>
      </c>
      <c r="B1216">
        <v>3286</v>
      </c>
      <c r="C1216" s="98" t="s">
        <v>3212</v>
      </c>
    </row>
    <row r="1217" spans="1:3">
      <c r="A1217" s="98" t="s">
        <v>521</v>
      </c>
      <c r="B1217">
        <v>6090</v>
      </c>
      <c r="C1217" s="98" t="s">
        <v>3212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O52"/>
  <sheetViews>
    <sheetView zoomScaleNormal="100" workbookViewId="0"/>
  </sheetViews>
  <sheetFormatPr defaultColWidth="8.5546875" defaultRowHeight="13.5"/>
  <sheetData>
    <row r="1" spans="1:15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548</v>
      </c>
      <c r="H1" s="200" t="s">
        <v>549</v>
      </c>
      <c r="I1" s="200" t="s">
        <v>550</v>
      </c>
      <c r="J1" s="200" t="s">
        <v>551</v>
      </c>
      <c r="K1" s="200" t="s">
        <v>23</v>
      </c>
      <c r="L1" s="200" t="s">
        <v>552</v>
      </c>
      <c r="M1" s="200" t="s">
        <v>553</v>
      </c>
      <c r="N1" s="200" t="s">
        <v>554</v>
      </c>
    </row>
    <row r="2" spans="1:15" ht="16.5" customHeight="1">
      <c r="A2" s="98">
        <v>1</v>
      </c>
      <c r="B2" s="200" t="s">
        <v>555</v>
      </c>
      <c r="C2" s="98">
        <v>12251</v>
      </c>
      <c r="D2" s="200" t="s">
        <v>556</v>
      </c>
      <c r="E2" s="98" t="s">
        <v>557</v>
      </c>
      <c r="F2" s="98" t="s">
        <v>95</v>
      </c>
      <c r="G2" s="200" t="s">
        <v>558</v>
      </c>
      <c r="H2" s="200" t="s">
        <v>559</v>
      </c>
      <c r="I2" s="200" t="s">
        <v>560</v>
      </c>
      <c r="J2" s="98" t="s">
        <v>561</v>
      </c>
      <c r="K2" s="98">
        <v>1154.53</v>
      </c>
      <c r="L2" s="98">
        <v>183751156688</v>
      </c>
      <c r="M2" s="98">
        <v>159156767944</v>
      </c>
      <c r="N2" s="98" t="s">
        <v>562</v>
      </c>
    </row>
    <row r="3" spans="1:15" ht="16.5" customHeight="1">
      <c r="A3" s="98">
        <v>2</v>
      </c>
      <c r="B3" s="200" t="s">
        <v>555</v>
      </c>
      <c r="C3" s="98">
        <v>12284</v>
      </c>
      <c r="D3" s="200" t="s">
        <v>556</v>
      </c>
      <c r="E3" s="98" t="s">
        <v>563</v>
      </c>
      <c r="F3" s="98" t="s">
        <v>95</v>
      </c>
      <c r="G3" s="200" t="s">
        <v>558</v>
      </c>
      <c r="H3" s="200" t="s">
        <v>564</v>
      </c>
      <c r="I3" s="200" t="s">
        <v>565</v>
      </c>
      <c r="J3" s="98">
        <v>2017.05</v>
      </c>
      <c r="K3" s="98">
        <v>1982.96</v>
      </c>
      <c r="L3" s="98">
        <v>260184957211</v>
      </c>
      <c r="M3" s="98">
        <v>131210132941</v>
      </c>
      <c r="N3" s="98" t="s">
        <v>562</v>
      </c>
    </row>
    <row r="4" spans="1:15" ht="16.5" customHeight="1">
      <c r="A4" s="98">
        <v>3</v>
      </c>
      <c r="B4" s="200" t="s">
        <v>555</v>
      </c>
      <c r="C4" s="98">
        <v>12470</v>
      </c>
      <c r="D4" s="200" t="s">
        <v>566</v>
      </c>
      <c r="E4" s="98" t="s">
        <v>567</v>
      </c>
      <c r="F4" s="98" t="s">
        <v>96</v>
      </c>
      <c r="G4" s="200" t="s">
        <v>558</v>
      </c>
      <c r="H4" s="200" t="s">
        <v>568</v>
      </c>
      <c r="I4" s="200" t="s">
        <v>569</v>
      </c>
      <c r="J4" s="98">
        <v>2020.09</v>
      </c>
      <c r="K4" s="98">
        <v>1011.6</v>
      </c>
      <c r="L4" s="98">
        <v>36274042560</v>
      </c>
      <c r="M4" s="98">
        <v>35858137611</v>
      </c>
      <c r="N4" s="98" t="s">
        <v>562</v>
      </c>
    </row>
    <row r="5" spans="1:15" ht="16.5" customHeight="1">
      <c r="A5" s="98">
        <v>4</v>
      </c>
      <c r="B5" s="200" t="s">
        <v>555</v>
      </c>
      <c r="C5" s="98">
        <v>12526</v>
      </c>
      <c r="D5" s="200" t="s">
        <v>556</v>
      </c>
      <c r="E5" s="98" t="s">
        <v>570</v>
      </c>
      <c r="F5" s="98" t="s">
        <v>94</v>
      </c>
      <c r="G5" s="200" t="s">
        <v>558</v>
      </c>
      <c r="H5" s="200" t="s">
        <v>568</v>
      </c>
      <c r="I5" s="200" t="s">
        <v>571</v>
      </c>
      <c r="J5" s="98">
        <v>2021.08</v>
      </c>
      <c r="K5" s="98">
        <v>822.36</v>
      </c>
      <c r="L5" s="98">
        <v>10649011824</v>
      </c>
      <c r="M5" s="98">
        <v>12949265374</v>
      </c>
      <c r="N5" s="98" t="s">
        <v>562</v>
      </c>
    </row>
    <row r="6" spans="1:15" ht="16.5" customHeight="1">
      <c r="A6" s="98">
        <v>5</v>
      </c>
      <c r="B6" s="200" t="s">
        <v>555</v>
      </c>
      <c r="C6" s="98">
        <v>13470</v>
      </c>
      <c r="D6" s="200" t="s">
        <v>556</v>
      </c>
      <c r="E6" s="98" t="s">
        <v>572</v>
      </c>
      <c r="F6" s="98" t="s">
        <v>95</v>
      </c>
      <c r="G6" s="200" t="s">
        <v>573</v>
      </c>
      <c r="H6" s="200" t="s">
        <v>568</v>
      </c>
      <c r="I6" s="200" t="s">
        <v>574</v>
      </c>
      <c r="J6" s="98">
        <v>2021.03</v>
      </c>
      <c r="K6" s="98">
        <v>884.4</v>
      </c>
      <c r="L6" s="98">
        <v>88235180929</v>
      </c>
      <c r="M6" s="98">
        <v>99768314042</v>
      </c>
      <c r="N6" s="98" t="s">
        <v>562</v>
      </c>
    </row>
    <row r="7" spans="1:15" ht="16.5" customHeight="1">
      <c r="A7" s="98">
        <v>6</v>
      </c>
      <c r="B7" s="200" t="s">
        <v>555</v>
      </c>
      <c r="C7" s="98">
        <v>14493</v>
      </c>
      <c r="D7" s="200" t="s">
        <v>556</v>
      </c>
      <c r="E7" s="98" t="s">
        <v>575</v>
      </c>
      <c r="F7" s="98" t="s">
        <v>95</v>
      </c>
      <c r="G7" s="200" t="s">
        <v>576</v>
      </c>
      <c r="I7" s="200" t="s">
        <v>577</v>
      </c>
      <c r="J7" s="98">
        <v>2014.09</v>
      </c>
      <c r="K7" s="98">
        <v>1106.3699999999999</v>
      </c>
      <c r="L7" s="98">
        <v>7229159812</v>
      </c>
      <c r="M7" s="98">
        <v>6534110596</v>
      </c>
      <c r="N7" s="98" t="s">
        <v>562</v>
      </c>
    </row>
    <row r="8" spans="1:15" ht="16.5" customHeight="1">
      <c r="A8" s="98">
        <v>7</v>
      </c>
      <c r="B8" s="200" t="s">
        <v>555</v>
      </c>
      <c r="C8" s="98" t="s">
        <v>578</v>
      </c>
      <c r="D8" s="200" t="s">
        <v>579</v>
      </c>
      <c r="E8" s="98" t="s">
        <v>580</v>
      </c>
      <c r="F8" s="98" t="s">
        <v>97</v>
      </c>
      <c r="G8" s="200" t="s">
        <v>573</v>
      </c>
      <c r="I8" s="200" t="s">
        <v>581</v>
      </c>
      <c r="J8" s="98">
        <v>2022.05</v>
      </c>
      <c r="K8" s="98">
        <v>988.5</v>
      </c>
      <c r="L8" s="98">
        <v>39371889639</v>
      </c>
      <c r="M8" s="98">
        <v>39830004500</v>
      </c>
      <c r="N8" s="98" t="s">
        <v>562</v>
      </c>
      <c r="O8" s="200" t="s">
        <v>582</v>
      </c>
    </row>
    <row r="9" spans="1:15" ht="16.5" customHeight="1">
      <c r="A9" s="98">
        <v>8</v>
      </c>
      <c r="B9" s="200" t="s">
        <v>555</v>
      </c>
      <c r="C9" s="98">
        <v>13416</v>
      </c>
      <c r="D9" s="200" t="s">
        <v>556</v>
      </c>
      <c r="E9" s="98" t="s">
        <v>583</v>
      </c>
      <c r="F9" s="98" t="s">
        <v>95</v>
      </c>
      <c r="G9" s="200" t="s">
        <v>584</v>
      </c>
      <c r="H9" s="200" t="s">
        <v>585</v>
      </c>
      <c r="I9" s="200" t="s">
        <v>586</v>
      </c>
      <c r="J9" s="98">
        <v>2019.09</v>
      </c>
      <c r="K9" s="98">
        <v>1221.1099999999999</v>
      </c>
      <c r="L9" s="98" t="s">
        <v>587</v>
      </c>
      <c r="M9" s="98" t="s">
        <v>588</v>
      </c>
      <c r="N9" s="98" t="s">
        <v>589</v>
      </c>
    </row>
    <row r="10" spans="1:15" ht="16.5" customHeight="1">
      <c r="A10" s="98">
        <v>9</v>
      </c>
      <c r="B10" s="200" t="s">
        <v>555</v>
      </c>
      <c r="C10" s="98" t="s">
        <v>590</v>
      </c>
      <c r="D10" s="200" t="s">
        <v>566</v>
      </c>
      <c r="E10" s="98" t="s">
        <v>591</v>
      </c>
      <c r="F10" s="98" t="s">
        <v>96</v>
      </c>
      <c r="G10" s="200" t="s">
        <v>592</v>
      </c>
      <c r="H10" s="200" t="s">
        <v>593</v>
      </c>
      <c r="I10" s="200" t="s">
        <v>594</v>
      </c>
      <c r="J10" s="98" t="s">
        <v>595</v>
      </c>
      <c r="K10" s="98">
        <v>843.4</v>
      </c>
      <c r="L10" s="98">
        <v>50000000000</v>
      </c>
      <c r="M10" s="98">
        <v>49822673815</v>
      </c>
    </row>
    <row r="11" spans="1:15" ht="16.5" customHeight="1">
      <c r="A11" s="98">
        <v>10</v>
      </c>
      <c r="B11" s="200" t="s">
        <v>555</v>
      </c>
      <c r="C11" s="98" t="s">
        <v>292</v>
      </c>
      <c r="D11" s="200" t="s">
        <v>566</v>
      </c>
      <c r="E11" s="98" t="s">
        <v>596</v>
      </c>
      <c r="F11" s="98" t="s">
        <v>96</v>
      </c>
      <c r="G11" s="200" t="s">
        <v>592</v>
      </c>
      <c r="H11" s="200" t="s">
        <v>593</v>
      </c>
      <c r="I11" s="200" t="s">
        <v>597</v>
      </c>
      <c r="J11" s="98" t="s">
        <v>598</v>
      </c>
      <c r="K11" s="98">
        <v>740.22</v>
      </c>
      <c r="L11" s="98">
        <v>52280000000</v>
      </c>
      <c r="M11" s="98">
        <v>43555406793</v>
      </c>
    </row>
    <row r="12" spans="1:15" ht="16.5" customHeight="1">
      <c r="A12" s="98">
        <v>11</v>
      </c>
      <c r="B12" s="200" t="s">
        <v>555</v>
      </c>
      <c r="C12" s="98" t="s">
        <v>465</v>
      </c>
      <c r="D12" s="200" t="s">
        <v>566</v>
      </c>
      <c r="E12" s="98" t="s">
        <v>599</v>
      </c>
      <c r="F12" s="98" t="s">
        <v>96</v>
      </c>
      <c r="G12" s="200" t="s">
        <v>592</v>
      </c>
      <c r="H12" s="200" t="s">
        <v>600</v>
      </c>
      <c r="I12" s="200" t="s">
        <v>601</v>
      </c>
      <c r="J12" s="98">
        <v>2020.12</v>
      </c>
      <c r="K12" s="98">
        <v>758.04</v>
      </c>
      <c r="L12" s="98">
        <v>32240821044</v>
      </c>
      <c r="M12" s="98">
        <v>35000000000</v>
      </c>
      <c r="N12" s="98" t="s">
        <v>562</v>
      </c>
    </row>
    <row r="13" spans="1:15" ht="16.5" customHeight="1">
      <c r="A13" s="98">
        <v>12</v>
      </c>
      <c r="B13" s="200" t="s">
        <v>555</v>
      </c>
      <c r="C13" s="98" t="s">
        <v>602</v>
      </c>
      <c r="D13" s="200" t="s">
        <v>579</v>
      </c>
      <c r="E13" s="98" t="s">
        <v>603</v>
      </c>
      <c r="F13" s="98" t="s">
        <v>95</v>
      </c>
      <c r="G13" s="200" t="s">
        <v>584</v>
      </c>
      <c r="H13" s="200" t="s">
        <v>604</v>
      </c>
      <c r="I13" s="200" t="s">
        <v>605</v>
      </c>
      <c r="J13" s="98">
        <v>2024.07</v>
      </c>
      <c r="K13" s="98">
        <v>1000</v>
      </c>
      <c r="N13" s="98" t="s">
        <v>562</v>
      </c>
    </row>
    <row r="14" spans="1:15" ht="16.5" customHeight="1">
      <c r="A14" s="98">
        <v>13</v>
      </c>
      <c r="B14" s="200" t="s">
        <v>555</v>
      </c>
      <c r="C14" s="98" t="s">
        <v>606</v>
      </c>
      <c r="D14" s="200" t="s">
        <v>556</v>
      </c>
      <c r="E14" s="98" t="s">
        <v>607</v>
      </c>
      <c r="F14" s="98" t="s">
        <v>97</v>
      </c>
      <c r="G14" s="200" t="s">
        <v>608</v>
      </c>
      <c r="H14" s="200" t="s">
        <v>600</v>
      </c>
      <c r="I14" s="200" t="s">
        <v>609</v>
      </c>
      <c r="J14" s="98">
        <v>2024.11</v>
      </c>
      <c r="K14" s="98">
        <v>1017.34</v>
      </c>
    </row>
    <row r="15" spans="1:15" ht="16.5" customHeight="1">
      <c r="A15" s="98">
        <v>14</v>
      </c>
      <c r="B15" s="200" t="s">
        <v>555</v>
      </c>
      <c r="C15" s="98" t="s">
        <v>610</v>
      </c>
      <c r="D15" s="200" t="s">
        <v>556</v>
      </c>
      <c r="E15" s="98" t="s">
        <v>611</v>
      </c>
      <c r="F15" s="98" t="s">
        <v>97</v>
      </c>
      <c r="G15" s="200" t="s">
        <v>608</v>
      </c>
      <c r="H15" s="200" t="s">
        <v>600</v>
      </c>
      <c r="I15" s="200" t="s">
        <v>612</v>
      </c>
      <c r="J15" s="98">
        <v>2024.11</v>
      </c>
      <c r="K15" s="98">
        <v>998.19</v>
      </c>
    </row>
    <row r="16" spans="1:15" ht="16.5" customHeight="1">
      <c r="A16" s="98">
        <v>15</v>
      </c>
      <c r="B16" s="200" t="s">
        <v>555</v>
      </c>
      <c r="C16" s="98" t="s">
        <v>613</v>
      </c>
      <c r="D16" s="200" t="s">
        <v>556</v>
      </c>
      <c r="E16" s="98" t="s">
        <v>614</v>
      </c>
      <c r="F16" s="98" t="s">
        <v>96</v>
      </c>
      <c r="G16" s="200" t="s">
        <v>584</v>
      </c>
      <c r="H16" s="200" t="s">
        <v>604</v>
      </c>
      <c r="I16" s="200" t="s">
        <v>615</v>
      </c>
      <c r="J16" s="98">
        <v>2025.11</v>
      </c>
      <c r="K16" s="98">
        <v>1000</v>
      </c>
    </row>
    <row r="17" spans="1:14" ht="16.5" customHeight="1">
      <c r="A17" s="98">
        <v>16</v>
      </c>
      <c r="B17" s="200" t="s">
        <v>555</v>
      </c>
      <c r="C17" s="98">
        <v>12621</v>
      </c>
      <c r="D17" s="200" t="s">
        <v>579</v>
      </c>
      <c r="E17" s="98" t="s">
        <v>616</v>
      </c>
      <c r="F17" s="98" t="s">
        <v>96</v>
      </c>
      <c r="H17" s="200" t="s">
        <v>568</v>
      </c>
      <c r="I17" s="200" t="s">
        <v>617</v>
      </c>
      <c r="J17" s="98">
        <v>2025.11</v>
      </c>
      <c r="K17" s="98">
        <v>1000</v>
      </c>
    </row>
    <row r="18" spans="1:14" ht="16.5" customHeight="1">
      <c r="A18" s="98">
        <v>17</v>
      </c>
      <c r="B18" s="200" t="s">
        <v>555</v>
      </c>
      <c r="C18" s="98">
        <v>12622</v>
      </c>
      <c r="D18" s="200" t="s">
        <v>579</v>
      </c>
      <c r="E18" s="98" t="s">
        <v>618</v>
      </c>
      <c r="F18" s="98" t="s">
        <v>96</v>
      </c>
      <c r="H18" s="200" t="s">
        <v>568</v>
      </c>
      <c r="I18" s="200" t="s">
        <v>619</v>
      </c>
      <c r="J18" s="98">
        <v>2025.11</v>
      </c>
      <c r="K18" s="98">
        <v>1000</v>
      </c>
    </row>
    <row r="19" spans="1:14" ht="16.5" customHeight="1">
      <c r="A19" s="98">
        <v>18</v>
      </c>
      <c r="B19" s="200" t="s">
        <v>555</v>
      </c>
      <c r="C19" s="98">
        <v>12643</v>
      </c>
      <c r="D19" s="200" t="s">
        <v>579</v>
      </c>
      <c r="E19" s="98" t="s">
        <v>620</v>
      </c>
      <c r="F19" s="98" t="s">
        <v>96</v>
      </c>
      <c r="H19" s="200" t="s">
        <v>604</v>
      </c>
      <c r="I19" s="200" t="s">
        <v>621</v>
      </c>
      <c r="J19" s="98">
        <v>2025.11</v>
      </c>
      <c r="K19" s="98">
        <v>1000</v>
      </c>
    </row>
    <row r="20" spans="1:14" ht="16.5" customHeight="1">
      <c r="A20" s="98">
        <v>19</v>
      </c>
      <c r="B20" s="200" t="s">
        <v>555</v>
      </c>
      <c r="C20" s="98">
        <v>14959</v>
      </c>
      <c r="D20" s="200" t="s">
        <v>556</v>
      </c>
      <c r="E20" s="98" t="s">
        <v>622</v>
      </c>
      <c r="F20" s="98" t="s">
        <v>96</v>
      </c>
      <c r="H20" s="200" t="s">
        <v>604</v>
      </c>
      <c r="I20" s="200" t="s">
        <v>623</v>
      </c>
      <c r="J20" s="98">
        <v>2025.09</v>
      </c>
      <c r="K20" s="98">
        <v>1000</v>
      </c>
    </row>
    <row r="21" spans="1:14" ht="16.5" customHeight="1">
      <c r="A21" s="98">
        <v>20</v>
      </c>
      <c r="B21" s="200" t="s">
        <v>555</v>
      </c>
      <c r="C21" s="98" t="s">
        <v>624</v>
      </c>
      <c r="D21" s="200" t="s">
        <v>556</v>
      </c>
      <c r="E21" s="98" t="s">
        <v>625</v>
      </c>
      <c r="F21" s="98" t="s">
        <v>98</v>
      </c>
      <c r="H21" s="200" t="s">
        <v>604</v>
      </c>
      <c r="I21" s="200" t="s">
        <v>626</v>
      </c>
      <c r="J21" s="98">
        <v>2022.1</v>
      </c>
      <c r="K21" s="98">
        <v>1000</v>
      </c>
      <c r="L21" s="98">
        <v>77071266347</v>
      </c>
    </row>
    <row r="22" spans="1:14" ht="16.5" customHeight="1">
      <c r="A22" s="98">
        <v>21</v>
      </c>
      <c r="B22" s="200" t="s">
        <v>555</v>
      </c>
      <c r="C22" s="98" t="s">
        <v>627</v>
      </c>
      <c r="D22" s="200" t="s">
        <v>566</v>
      </c>
      <c r="E22" s="98" t="s">
        <v>628</v>
      </c>
      <c r="F22" s="98" t="s">
        <v>98</v>
      </c>
      <c r="H22" s="200" t="s">
        <v>604</v>
      </c>
      <c r="I22" s="200" t="s">
        <v>629</v>
      </c>
      <c r="J22" s="98">
        <v>2025.01</v>
      </c>
      <c r="K22" s="98">
        <v>1000</v>
      </c>
      <c r="L22" s="98">
        <v>161450609858</v>
      </c>
    </row>
    <row r="23" spans="1:14" ht="16.5" customHeight="1">
      <c r="A23" s="98">
        <v>22</v>
      </c>
      <c r="B23" s="200" t="s">
        <v>555</v>
      </c>
      <c r="C23" s="98">
        <v>12649</v>
      </c>
      <c r="D23" s="200" t="s">
        <v>566</v>
      </c>
      <c r="E23" s="98" t="s">
        <v>630</v>
      </c>
      <c r="F23" s="98" t="s">
        <v>96</v>
      </c>
      <c r="H23" s="200" t="s">
        <v>604</v>
      </c>
      <c r="I23" s="200" t="s">
        <v>631</v>
      </c>
      <c r="J23" s="98" t="s">
        <v>632</v>
      </c>
      <c r="K23" s="98">
        <v>1000</v>
      </c>
    </row>
    <row r="31" spans="1:14" ht="15" customHeight="1">
      <c r="A31" s="200" t="s">
        <v>633</v>
      </c>
    </row>
    <row r="32" spans="1:14" ht="16.5" customHeight="1">
      <c r="A32" s="200" t="s">
        <v>16</v>
      </c>
      <c r="B32" s="200" t="s">
        <v>506</v>
      </c>
      <c r="C32" s="200" t="s">
        <v>38</v>
      </c>
      <c r="D32" s="200" t="s">
        <v>546</v>
      </c>
      <c r="E32" s="200" t="s">
        <v>547</v>
      </c>
      <c r="F32" s="200" t="s">
        <v>42</v>
      </c>
      <c r="G32" s="200" t="s">
        <v>548</v>
      </c>
      <c r="H32" s="200" t="s">
        <v>549</v>
      </c>
      <c r="I32" s="200" t="s">
        <v>550</v>
      </c>
      <c r="J32" s="200" t="s">
        <v>551</v>
      </c>
      <c r="K32" s="200" t="s">
        <v>23</v>
      </c>
      <c r="L32" s="200" t="s">
        <v>552</v>
      </c>
      <c r="M32" s="200" t="s">
        <v>553</v>
      </c>
      <c r="N32" s="200" t="s">
        <v>554</v>
      </c>
    </row>
    <row r="33" spans="1:15" ht="16.5" customHeight="1">
      <c r="A33" s="98">
        <v>1</v>
      </c>
      <c r="B33" s="200" t="s">
        <v>555</v>
      </c>
      <c r="C33" s="98" t="s">
        <v>295</v>
      </c>
      <c r="D33" s="200" t="s">
        <v>566</v>
      </c>
      <c r="F33" s="98" t="s">
        <v>97</v>
      </c>
      <c r="G33" s="200" t="s">
        <v>584</v>
      </c>
      <c r="H33" s="200" t="s">
        <v>634</v>
      </c>
      <c r="I33" s="98" t="s">
        <v>635</v>
      </c>
      <c r="J33" s="98">
        <v>2019.03</v>
      </c>
      <c r="K33" s="98">
        <v>951.77</v>
      </c>
      <c r="L33" s="98">
        <v>27700000000</v>
      </c>
      <c r="M33" s="98" t="s">
        <v>636</v>
      </c>
      <c r="N33" s="98" t="s">
        <v>562</v>
      </c>
    </row>
    <row r="34" spans="1:15" ht="16.5" customHeight="1">
      <c r="A34" s="98">
        <v>2</v>
      </c>
      <c r="B34" s="200" t="s">
        <v>555</v>
      </c>
      <c r="C34" s="98" t="s">
        <v>637</v>
      </c>
      <c r="D34" s="200" t="s">
        <v>566</v>
      </c>
      <c r="E34" s="98" t="s">
        <v>638</v>
      </c>
      <c r="F34" s="98" t="s">
        <v>97</v>
      </c>
      <c r="G34" s="200" t="s">
        <v>584</v>
      </c>
      <c r="H34" s="200" t="s">
        <v>634</v>
      </c>
      <c r="I34" s="98" t="s">
        <v>639</v>
      </c>
      <c r="J34" s="98">
        <v>2019.1</v>
      </c>
      <c r="K34" s="98">
        <v>902.25</v>
      </c>
      <c r="L34" s="98">
        <v>54966829054</v>
      </c>
      <c r="M34" s="98">
        <v>60922103633</v>
      </c>
      <c r="N34" s="98" t="s">
        <v>562</v>
      </c>
    </row>
    <row r="35" spans="1:15" ht="16.5" customHeight="1">
      <c r="A35" s="98">
        <v>3</v>
      </c>
      <c r="B35" s="200" t="s">
        <v>555</v>
      </c>
      <c r="C35" s="98">
        <v>12393</v>
      </c>
      <c r="D35" s="200" t="s">
        <v>556</v>
      </c>
      <c r="F35" s="98" t="s">
        <v>95</v>
      </c>
      <c r="G35" s="200" t="s">
        <v>584</v>
      </c>
      <c r="H35" s="200" t="s">
        <v>585</v>
      </c>
      <c r="I35" s="98" t="s">
        <v>640</v>
      </c>
      <c r="J35" s="98">
        <v>2019.07</v>
      </c>
      <c r="K35" s="98">
        <v>1253</v>
      </c>
      <c r="L35" s="98" t="s">
        <v>641</v>
      </c>
      <c r="M35" s="98" t="s">
        <v>642</v>
      </c>
      <c r="N35" s="98" t="s">
        <v>589</v>
      </c>
    </row>
    <row r="36" spans="1:15" ht="16.5" customHeight="1">
      <c r="A36" s="98">
        <v>4</v>
      </c>
      <c r="B36" s="200" t="s">
        <v>555</v>
      </c>
      <c r="C36" s="98">
        <v>12427</v>
      </c>
      <c r="D36" s="200" t="s">
        <v>566</v>
      </c>
      <c r="F36" s="98" t="s">
        <v>95</v>
      </c>
      <c r="G36" s="200" t="s">
        <v>558</v>
      </c>
      <c r="H36" s="200" t="s">
        <v>559</v>
      </c>
      <c r="I36" s="98" t="s">
        <v>643</v>
      </c>
      <c r="J36" s="98">
        <v>2019.1</v>
      </c>
      <c r="K36" s="98">
        <v>979.86</v>
      </c>
      <c r="L36" s="98">
        <v>11565235942</v>
      </c>
      <c r="M36" s="98">
        <v>11803000000</v>
      </c>
      <c r="N36" s="98" t="s">
        <v>589</v>
      </c>
    </row>
    <row r="37" spans="1:15" ht="16.5" customHeight="1">
      <c r="A37" s="98">
        <v>5</v>
      </c>
      <c r="B37" s="200" t="s">
        <v>555</v>
      </c>
      <c r="C37" s="98" t="s">
        <v>293</v>
      </c>
      <c r="D37" s="200" t="s">
        <v>566</v>
      </c>
      <c r="F37" s="98" t="s">
        <v>96</v>
      </c>
      <c r="G37" s="200" t="s">
        <v>558</v>
      </c>
      <c r="H37" s="200" t="s">
        <v>644</v>
      </c>
      <c r="I37" s="98" t="s">
        <v>645</v>
      </c>
      <c r="J37" s="98">
        <v>2015.02</v>
      </c>
      <c r="K37" s="98" t="s">
        <v>636</v>
      </c>
      <c r="L37" s="98" t="s">
        <v>636</v>
      </c>
      <c r="M37" s="98" t="s">
        <v>636</v>
      </c>
      <c r="N37" s="98" t="s">
        <v>589</v>
      </c>
    </row>
    <row r="38" spans="1:15" ht="16.5" customHeight="1">
      <c r="A38" s="98">
        <v>6</v>
      </c>
      <c r="B38" s="200" t="s">
        <v>555</v>
      </c>
      <c r="C38" s="98">
        <v>12321</v>
      </c>
      <c r="D38" s="200" t="s">
        <v>556</v>
      </c>
      <c r="F38" s="98" t="s">
        <v>95</v>
      </c>
      <c r="G38" s="200" t="s">
        <v>558</v>
      </c>
      <c r="H38" s="200" t="s">
        <v>644</v>
      </c>
      <c r="I38" s="98" t="s">
        <v>646</v>
      </c>
      <c r="J38" s="98">
        <v>2017.09</v>
      </c>
      <c r="K38" s="98" t="s">
        <v>636</v>
      </c>
      <c r="L38" s="98" t="s">
        <v>636</v>
      </c>
      <c r="M38" s="98" t="s">
        <v>636</v>
      </c>
      <c r="N38" s="98" t="s">
        <v>589</v>
      </c>
    </row>
    <row r="39" spans="1:15" ht="16.5" customHeight="1">
      <c r="A39" s="98">
        <v>7</v>
      </c>
      <c r="B39" s="200" t="s">
        <v>555</v>
      </c>
      <c r="C39" s="98">
        <v>12315</v>
      </c>
      <c r="D39" s="200" t="s">
        <v>556</v>
      </c>
      <c r="F39" s="98" t="s">
        <v>95</v>
      </c>
      <c r="G39" s="200" t="s">
        <v>558</v>
      </c>
      <c r="H39" s="200" t="s">
        <v>644</v>
      </c>
      <c r="I39" s="98" t="s">
        <v>647</v>
      </c>
      <c r="J39" s="98">
        <v>2017.09</v>
      </c>
      <c r="K39" s="98" t="s">
        <v>636</v>
      </c>
      <c r="L39" s="98" t="s">
        <v>636</v>
      </c>
      <c r="M39" s="98" t="s">
        <v>636</v>
      </c>
      <c r="N39" s="98" t="s">
        <v>589</v>
      </c>
    </row>
    <row r="40" spans="1:15" ht="16.5" customHeight="1">
      <c r="A40" s="98">
        <v>8</v>
      </c>
      <c r="B40" s="200" t="s">
        <v>555</v>
      </c>
      <c r="C40" s="98">
        <v>12328</v>
      </c>
      <c r="D40" s="200" t="s">
        <v>556</v>
      </c>
      <c r="F40" s="98" t="s">
        <v>95</v>
      </c>
      <c r="G40" s="200" t="s">
        <v>558</v>
      </c>
      <c r="H40" s="200" t="s">
        <v>644</v>
      </c>
      <c r="I40" s="98" t="s">
        <v>648</v>
      </c>
      <c r="J40" s="98">
        <v>2017.1</v>
      </c>
      <c r="K40" s="98" t="s">
        <v>636</v>
      </c>
      <c r="L40" s="98" t="s">
        <v>636</v>
      </c>
      <c r="M40" s="98" t="s">
        <v>636</v>
      </c>
      <c r="N40" s="98" t="s">
        <v>589</v>
      </c>
    </row>
    <row r="41" spans="1:15" ht="16.5" customHeight="1">
      <c r="A41" s="98">
        <v>9</v>
      </c>
      <c r="B41" s="200" t="s">
        <v>555</v>
      </c>
      <c r="C41" s="98">
        <v>12433</v>
      </c>
      <c r="D41" s="200" t="s">
        <v>566</v>
      </c>
      <c r="F41" s="98" t="s">
        <v>96</v>
      </c>
      <c r="G41" s="200" t="s">
        <v>558</v>
      </c>
      <c r="H41" s="200" t="s">
        <v>644</v>
      </c>
      <c r="I41" s="98" t="s">
        <v>649</v>
      </c>
      <c r="J41" s="98">
        <v>2020.7</v>
      </c>
      <c r="K41" s="98">
        <v>1376.85</v>
      </c>
      <c r="L41" s="98">
        <v>13768491536</v>
      </c>
      <c r="M41" s="98">
        <v>10000000000</v>
      </c>
      <c r="N41" s="98" t="s">
        <v>589</v>
      </c>
    </row>
    <row r="42" spans="1:15" ht="16.5" customHeight="1">
      <c r="A42" s="98">
        <v>10</v>
      </c>
      <c r="B42" s="200" t="s">
        <v>555</v>
      </c>
      <c r="C42" s="98">
        <v>12574</v>
      </c>
      <c r="D42" s="200" t="s">
        <v>556</v>
      </c>
      <c r="F42" s="98" t="s">
        <v>650</v>
      </c>
      <c r="G42" s="200" t="s">
        <v>573</v>
      </c>
      <c r="H42" s="200" t="s">
        <v>568</v>
      </c>
      <c r="I42" s="98" t="s">
        <v>651</v>
      </c>
      <c r="J42" s="98">
        <v>2022.04</v>
      </c>
      <c r="K42" s="98">
        <v>1000.84</v>
      </c>
      <c r="L42" s="98">
        <v>1753962430</v>
      </c>
      <c r="M42" s="98">
        <v>1752490016</v>
      </c>
      <c r="N42" s="98" t="s">
        <v>562</v>
      </c>
    </row>
    <row r="43" spans="1:15" ht="16.5" customHeight="1">
      <c r="A43" s="98">
        <v>11</v>
      </c>
      <c r="B43" s="200" t="s">
        <v>555</v>
      </c>
      <c r="C43" s="98" t="s">
        <v>652</v>
      </c>
      <c r="D43" s="200" t="s">
        <v>579</v>
      </c>
      <c r="F43" s="98" t="s">
        <v>96</v>
      </c>
      <c r="G43" s="200" t="s">
        <v>584</v>
      </c>
      <c r="H43" s="200" t="s">
        <v>634</v>
      </c>
      <c r="I43" s="200" t="s">
        <v>653</v>
      </c>
      <c r="J43" s="98">
        <v>2022.07</v>
      </c>
      <c r="K43" s="98">
        <v>985.05</v>
      </c>
      <c r="L43" s="98">
        <v>5611214044</v>
      </c>
      <c r="M43" s="98">
        <v>5696372419</v>
      </c>
      <c r="N43" s="98" t="s">
        <v>562</v>
      </c>
    </row>
    <row r="44" spans="1:15" ht="16.5" customHeight="1">
      <c r="A44" s="98">
        <v>12</v>
      </c>
      <c r="B44" s="200" t="s">
        <v>555</v>
      </c>
      <c r="C44" s="98">
        <v>14891</v>
      </c>
      <c r="D44" s="200" t="s">
        <v>579</v>
      </c>
      <c r="F44" s="98" t="s">
        <v>95</v>
      </c>
      <c r="G44" s="200" t="s">
        <v>573</v>
      </c>
      <c r="I44" s="200" t="s">
        <v>654</v>
      </c>
      <c r="J44" s="98">
        <v>2022.08</v>
      </c>
    </row>
    <row r="45" spans="1:15" ht="16.5" customHeight="1">
      <c r="A45" s="98">
        <v>13</v>
      </c>
      <c r="B45" s="200" t="s">
        <v>555</v>
      </c>
      <c r="C45" s="98" t="s">
        <v>292</v>
      </c>
      <c r="D45" s="200" t="s">
        <v>566</v>
      </c>
      <c r="F45" s="98" t="s">
        <v>96</v>
      </c>
      <c r="G45" s="200" t="s">
        <v>558</v>
      </c>
      <c r="H45" s="200" t="s">
        <v>644</v>
      </c>
      <c r="I45" s="98" t="s">
        <v>655</v>
      </c>
      <c r="J45" s="98">
        <v>2017.09</v>
      </c>
      <c r="K45" s="98" t="s">
        <v>636</v>
      </c>
      <c r="L45" s="98" t="s">
        <v>636</v>
      </c>
      <c r="M45" s="98" t="s">
        <v>636</v>
      </c>
      <c r="N45" s="98" t="s">
        <v>589</v>
      </c>
    </row>
    <row r="46" spans="1:15" ht="16.5" customHeight="1">
      <c r="A46" s="98">
        <v>14</v>
      </c>
      <c r="B46" s="200" t="s">
        <v>555</v>
      </c>
      <c r="C46" s="98" t="s">
        <v>294</v>
      </c>
      <c r="D46" s="200" t="s">
        <v>566</v>
      </c>
      <c r="F46" s="98" t="s">
        <v>97</v>
      </c>
      <c r="G46" s="200" t="s">
        <v>584</v>
      </c>
      <c r="H46" s="200" t="s">
        <v>634</v>
      </c>
      <c r="I46" s="98" t="s">
        <v>656</v>
      </c>
      <c r="J46" s="98">
        <v>2017.05</v>
      </c>
      <c r="K46" s="98">
        <v>1019.63</v>
      </c>
      <c r="L46" s="98" t="s">
        <v>657</v>
      </c>
      <c r="M46" s="98" t="s">
        <v>658</v>
      </c>
      <c r="N46" s="98" t="s">
        <v>562</v>
      </c>
      <c r="O46" s="98" t="s">
        <v>659</v>
      </c>
    </row>
    <row r="47" spans="1:15" ht="16.5" customHeight="1">
      <c r="A47" s="98">
        <v>15</v>
      </c>
      <c r="B47" s="200" t="s">
        <v>555</v>
      </c>
      <c r="C47" s="98">
        <v>12523</v>
      </c>
      <c r="D47" s="200" t="s">
        <v>566</v>
      </c>
      <c r="F47" s="98" t="s">
        <v>97</v>
      </c>
      <c r="G47" s="200" t="s">
        <v>573</v>
      </c>
      <c r="I47" s="98" t="s">
        <v>660</v>
      </c>
      <c r="J47" s="98">
        <v>2021.06</v>
      </c>
      <c r="K47" s="98">
        <v>988.96</v>
      </c>
      <c r="L47" s="98">
        <v>97590732422</v>
      </c>
      <c r="M47" s="98">
        <v>97590732422</v>
      </c>
      <c r="N47" s="98" t="s">
        <v>562</v>
      </c>
      <c r="O47" s="98" t="s">
        <v>659</v>
      </c>
    </row>
    <row r="48" spans="1:15" ht="16.5" customHeight="1">
      <c r="A48" s="98">
        <v>16</v>
      </c>
      <c r="B48" s="200" t="s">
        <v>555</v>
      </c>
      <c r="C48" s="98">
        <v>14893</v>
      </c>
      <c r="D48" s="200" t="s">
        <v>579</v>
      </c>
      <c r="F48" s="98" t="s">
        <v>97</v>
      </c>
      <c r="G48" s="200" t="s">
        <v>573</v>
      </c>
      <c r="I48" s="200" t="s">
        <v>661</v>
      </c>
      <c r="J48" s="98">
        <v>2022.08</v>
      </c>
      <c r="O48" s="98" t="s">
        <v>659</v>
      </c>
    </row>
    <row r="49" spans="1:14" ht="16.5" customHeight="1">
      <c r="A49" s="98">
        <v>17</v>
      </c>
      <c r="B49" s="200" t="s">
        <v>555</v>
      </c>
      <c r="C49" s="98">
        <v>12591</v>
      </c>
      <c r="D49" s="200" t="s">
        <v>579</v>
      </c>
      <c r="E49" s="98" t="s">
        <v>662</v>
      </c>
      <c r="F49" s="98" t="s">
        <v>650</v>
      </c>
      <c r="G49" s="200" t="s">
        <v>573</v>
      </c>
      <c r="H49" s="200" t="s">
        <v>568</v>
      </c>
      <c r="I49" s="200" t="s">
        <v>663</v>
      </c>
      <c r="J49" s="98">
        <v>2022.03</v>
      </c>
      <c r="K49" s="98">
        <v>883.4</v>
      </c>
      <c r="L49" s="98">
        <v>26502117960</v>
      </c>
      <c r="M49" s="98">
        <v>30000000000</v>
      </c>
      <c r="N49" s="98" t="s">
        <v>562</v>
      </c>
    </row>
    <row r="50" spans="1:14" ht="16.5" customHeight="1">
      <c r="A50" s="98">
        <v>18</v>
      </c>
      <c r="B50" s="200" t="s">
        <v>555</v>
      </c>
      <c r="C50" s="98">
        <v>13490</v>
      </c>
      <c r="D50" s="200" t="s">
        <v>556</v>
      </c>
      <c r="E50" s="98" t="s">
        <v>664</v>
      </c>
      <c r="F50" s="98" t="s">
        <v>97</v>
      </c>
      <c r="G50" s="200" t="s">
        <v>573</v>
      </c>
      <c r="H50" s="200" t="s">
        <v>568</v>
      </c>
      <c r="I50" s="200" t="s">
        <v>665</v>
      </c>
      <c r="J50" s="98">
        <v>2022.12</v>
      </c>
      <c r="K50" s="98">
        <v>1004.12</v>
      </c>
      <c r="L50" s="98">
        <v>611024149</v>
      </c>
      <c r="M50" s="98">
        <v>608516625</v>
      </c>
      <c r="N50" s="98" t="s">
        <v>562</v>
      </c>
    </row>
    <row r="51" spans="1:14" ht="16.5" customHeight="1">
      <c r="A51" s="98">
        <v>10</v>
      </c>
      <c r="B51" s="200" t="s">
        <v>555</v>
      </c>
      <c r="C51" s="98">
        <v>14892</v>
      </c>
      <c r="D51" s="200" t="s">
        <v>579</v>
      </c>
      <c r="E51" s="98" t="s">
        <v>666</v>
      </c>
      <c r="F51" s="98" t="s">
        <v>95</v>
      </c>
      <c r="G51" s="200" t="s">
        <v>573</v>
      </c>
      <c r="I51" s="200" t="s">
        <v>667</v>
      </c>
      <c r="J51" s="98">
        <v>2022.08</v>
      </c>
    </row>
    <row r="52" spans="1:14" ht="16.5" customHeight="1">
      <c r="A52" s="98">
        <v>8</v>
      </c>
      <c r="B52" s="200" t="s">
        <v>555</v>
      </c>
      <c r="C52" s="98" t="s">
        <v>668</v>
      </c>
      <c r="D52" s="200" t="s">
        <v>579</v>
      </c>
      <c r="E52" s="98" t="s">
        <v>669</v>
      </c>
      <c r="F52" s="98" t="s">
        <v>97</v>
      </c>
      <c r="G52" s="200" t="s">
        <v>584</v>
      </c>
      <c r="H52" s="200" t="s">
        <v>634</v>
      </c>
      <c r="I52" s="200" t="s">
        <v>670</v>
      </c>
      <c r="J52" s="98">
        <v>2023.12</v>
      </c>
      <c r="K52" s="98">
        <v>1015.62</v>
      </c>
      <c r="L52" s="98">
        <v>15294490418</v>
      </c>
      <c r="M52" s="98">
        <v>15059290497</v>
      </c>
      <c r="N52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B1:O21"/>
  <sheetViews>
    <sheetView zoomScaleNormal="100" workbookViewId="0"/>
  </sheetViews>
  <sheetFormatPr defaultColWidth="8.5546875" defaultRowHeight="13.5"/>
  <sheetData>
    <row r="1" spans="2:14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672</v>
      </c>
      <c r="I1" s="200" t="s">
        <v>673</v>
      </c>
      <c r="J1" s="200" t="s">
        <v>674</v>
      </c>
      <c r="K1" s="200" t="s">
        <v>23</v>
      </c>
      <c r="L1" s="200" t="s">
        <v>552</v>
      </c>
      <c r="M1" s="200" t="s">
        <v>553</v>
      </c>
      <c r="N1" s="98" t="s">
        <v>675</v>
      </c>
    </row>
    <row r="2" spans="2:14" ht="16.5" customHeight="1">
      <c r="B2" s="200" t="s">
        <v>676</v>
      </c>
      <c r="C2" s="98">
        <v>19117</v>
      </c>
      <c r="D2" s="200" t="s">
        <v>566</v>
      </c>
      <c r="E2" s="98" t="s">
        <v>677</v>
      </c>
      <c r="F2" s="98" t="s">
        <v>95</v>
      </c>
      <c r="G2" s="200" t="s">
        <v>678</v>
      </c>
      <c r="H2" s="98" t="s">
        <v>679</v>
      </c>
      <c r="I2" s="200" t="s">
        <v>680</v>
      </c>
      <c r="J2" s="98">
        <v>2016.06</v>
      </c>
      <c r="K2" s="98">
        <v>1074.3900000000001</v>
      </c>
      <c r="L2" s="98">
        <v>4929243504</v>
      </c>
      <c r="M2" s="98">
        <v>4587945933</v>
      </c>
      <c r="N2" s="98" t="s">
        <v>562</v>
      </c>
    </row>
    <row r="3" spans="2:14" ht="16.5" customHeight="1">
      <c r="B3" s="200" t="s">
        <v>676</v>
      </c>
      <c r="C3" s="98">
        <v>19118</v>
      </c>
      <c r="D3" s="200" t="s">
        <v>566</v>
      </c>
      <c r="E3" s="98" t="s">
        <v>681</v>
      </c>
      <c r="F3" s="98" t="s">
        <v>95</v>
      </c>
      <c r="I3" s="200" t="s">
        <v>682</v>
      </c>
      <c r="J3" s="98">
        <v>2016.06</v>
      </c>
      <c r="K3" s="98">
        <v>952.65</v>
      </c>
      <c r="L3" s="98">
        <v>16882531477</v>
      </c>
      <c r="M3" s="98">
        <v>17721629626</v>
      </c>
      <c r="N3" s="98" t="s">
        <v>589</v>
      </c>
    </row>
    <row r="4" spans="2:14" ht="16.5" customHeight="1">
      <c r="B4" s="200" t="s">
        <v>676</v>
      </c>
      <c r="C4" s="98">
        <v>50146</v>
      </c>
      <c r="D4" s="200" t="s">
        <v>566</v>
      </c>
      <c r="E4" s="98" t="s">
        <v>683</v>
      </c>
      <c r="F4" s="98" t="s">
        <v>94</v>
      </c>
      <c r="I4" s="200" t="s">
        <v>684</v>
      </c>
      <c r="J4" s="98">
        <v>2019.12</v>
      </c>
      <c r="K4" s="98">
        <v>883.34</v>
      </c>
      <c r="L4" s="98">
        <v>57038074934</v>
      </c>
      <c r="M4" s="98">
        <v>64571277490</v>
      </c>
      <c r="N4" s="98" t="s">
        <v>562</v>
      </c>
    </row>
    <row r="5" spans="2:14" ht="16.5" customHeight="1">
      <c r="B5" s="200" t="s">
        <v>676</v>
      </c>
      <c r="C5" s="98">
        <v>74088</v>
      </c>
      <c r="D5" s="200" t="s">
        <v>566</v>
      </c>
      <c r="E5" s="98" t="s">
        <v>685</v>
      </c>
      <c r="F5" s="98" t="s">
        <v>96</v>
      </c>
      <c r="G5" s="200" t="s">
        <v>678</v>
      </c>
      <c r="I5" s="200" t="s">
        <v>686</v>
      </c>
      <c r="J5" s="98">
        <v>2021.06</v>
      </c>
      <c r="K5" s="98">
        <v>605.61</v>
      </c>
      <c r="L5" s="98">
        <v>16856618815</v>
      </c>
      <c r="M5" s="98">
        <v>27834121996</v>
      </c>
      <c r="N5" s="98" t="s">
        <v>562</v>
      </c>
    </row>
    <row r="6" spans="2:14" ht="16.5" customHeight="1">
      <c r="B6" s="200" t="s">
        <v>676</v>
      </c>
      <c r="C6" s="98">
        <v>52108</v>
      </c>
      <c r="D6" s="200" t="s">
        <v>566</v>
      </c>
      <c r="E6" s="98" t="s">
        <v>687</v>
      </c>
      <c r="F6" s="98" t="s">
        <v>94</v>
      </c>
      <c r="G6" s="200" t="s">
        <v>688</v>
      </c>
      <c r="H6" s="98" t="s">
        <v>689</v>
      </c>
      <c r="I6" s="200" t="s">
        <v>690</v>
      </c>
      <c r="J6" s="98" t="s">
        <v>691</v>
      </c>
      <c r="K6" s="98">
        <v>1402.08</v>
      </c>
      <c r="L6" s="98">
        <v>7930358877</v>
      </c>
      <c r="M6" s="98">
        <v>5656149844</v>
      </c>
      <c r="N6" s="98" t="s">
        <v>562</v>
      </c>
    </row>
    <row r="7" spans="2:14" ht="16.5" customHeight="1">
      <c r="B7" s="200" t="s">
        <v>676</v>
      </c>
      <c r="C7" s="98">
        <v>19208</v>
      </c>
      <c r="D7" s="200" t="s">
        <v>566</v>
      </c>
      <c r="E7" s="98" t="s">
        <v>692</v>
      </c>
      <c r="F7" s="98" t="s">
        <v>102</v>
      </c>
      <c r="G7" s="200" t="s">
        <v>693</v>
      </c>
      <c r="I7" s="200" t="s">
        <v>694</v>
      </c>
      <c r="J7" s="98" t="s">
        <v>695</v>
      </c>
      <c r="K7" s="98" t="s">
        <v>696</v>
      </c>
    </row>
    <row r="16" spans="2:14" ht="15" customHeight="1">
      <c r="B16" s="200" t="s">
        <v>633</v>
      </c>
    </row>
    <row r="17" spans="2:15" ht="16.5" customHeight="1">
      <c r="B17" s="200" t="s">
        <v>506</v>
      </c>
      <c r="C17" s="200" t="s">
        <v>38</v>
      </c>
      <c r="D17" s="200" t="s">
        <v>546</v>
      </c>
      <c r="E17" s="200" t="s">
        <v>671</v>
      </c>
      <c r="F17" s="200" t="s">
        <v>42</v>
      </c>
      <c r="G17" s="200" t="s">
        <v>549</v>
      </c>
      <c r="I17" s="200" t="s">
        <v>673</v>
      </c>
      <c r="J17" s="200" t="s">
        <v>674</v>
      </c>
      <c r="K17" s="200" t="s">
        <v>23</v>
      </c>
      <c r="L17" s="200" t="s">
        <v>552</v>
      </c>
      <c r="M17" s="200" t="s">
        <v>553</v>
      </c>
      <c r="N17" s="98" t="s">
        <v>675</v>
      </c>
      <c r="O17" s="200" t="s">
        <v>554</v>
      </c>
    </row>
    <row r="18" spans="2:15" ht="16.5" customHeight="1">
      <c r="B18" s="200" t="s">
        <v>676</v>
      </c>
      <c r="C18" s="98">
        <v>74067</v>
      </c>
      <c r="D18" s="200" t="s">
        <v>566</v>
      </c>
      <c r="E18" s="98" t="s">
        <v>697</v>
      </c>
      <c r="F18" s="98" t="s">
        <v>96</v>
      </c>
      <c r="G18" s="200" t="s">
        <v>698</v>
      </c>
      <c r="I18" s="200" t="s">
        <v>699</v>
      </c>
      <c r="J18" s="98">
        <v>2017.04</v>
      </c>
      <c r="K18" s="98">
        <v>1097.3</v>
      </c>
      <c r="L18" s="98">
        <v>36420130792</v>
      </c>
      <c r="M18" s="98">
        <v>33190783610</v>
      </c>
      <c r="N18" s="98" t="s">
        <v>589</v>
      </c>
    </row>
    <row r="19" spans="2:15" ht="16.5" customHeight="1">
      <c r="B19" s="200" t="s">
        <v>676</v>
      </c>
      <c r="D19" s="200" t="s">
        <v>566</v>
      </c>
      <c r="E19" s="98" t="s">
        <v>697</v>
      </c>
      <c r="G19" s="200" t="s">
        <v>700</v>
      </c>
      <c r="I19" s="200" t="s">
        <v>701</v>
      </c>
      <c r="J19" s="98">
        <v>2021.05</v>
      </c>
    </row>
    <row r="20" spans="2:15" ht="16.5" customHeight="1">
      <c r="B20" s="200" t="s">
        <v>676</v>
      </c>
      <c r="D20" s="200" t="s">
        <v>566</v>
      </c>
      <c r="E20" s="98" t="s">
        <v>697</v>
      </c>
      <c r="G20" s="200" t="s">
        <v>700</v>
      </c>
      <c r="I20" s="200" t="s">
        <v>702</v>
      </c>
      <c r="J20" s="98">
        <v>2021.05</v>
      </c>
    </row>
    <row r="21" spans="2:15" ht="16.5" customHeight="1">
      <c r="B21" s="200" t="s">
        <v>676</v>
      </c>
      <c r="C21" s="98">
        <v>19100</v>
      </c>
      <c r="D21" s="200" t="s">
        <v>566</v>
      </c>
      <c r="E21" s="98" t="s">
        <v>697</v>
      </c>
      <c r="F21" s="98" t="s">
        <v>94</v>
      </c>
      <c r="G21" s="200" t="s">
        <v>698</v>
      </c>
      <c r="I21" s="98" t="s">
        <v>703</v>
      </c>
      <c r="J21" s="98">
        <v>2012.11</v>
      </c>
      <c r="K21" s="98">
        <v>496.48</v>
      </c>
      <c r="L21" s="98">
        <v>430828454</v>
      </c>
      <c r="M21" s="98">
        <v>867758687</v>
      </c>
      <c r="N21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M29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42</v>
      </c>
      <c r="F1" s="200" t="s">
        <v>549</v>
      </c>
      <c r="G1" s="200" t="s">
        <v>547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706</v>
      </c>
      <c r="C2" s="98">
        <v>1512</v>
      </c>
      <c r="D2" s="200" t="s">
        <v>566</v>
      </c>
      <c r="E2" s="98" t="s">
        <v>96</v>
      </c>
      <c r="F2" s="200" t="s">
        <v>707</v>
      </c>
      <c r="G2" s="98" t="s">
        <v>708</v>
      </c>
      <c r="H2" s="200" t="s">
        <v>709</v>
      </c>
      <c r="I2" s="98">
        <v>2016.1</v>
      </c>
      <c r="J2" s="98">
        <v>999.68</v>
      </c>
      <c r="K2" s="98">
        <v>14929031018</v>
      </c>
      <c r="L2" s="98">
        <v>14933773442</v>
      </c>
      <c r="M2" s="98" t="s">
        <v>562</v>
      </c>
    </row>
    <row r="3" spans="1:13" ht="16.5" customHeight="1">
      <c r="A3" s="98">
        <v>2</v>
      </c>
      <c r="B3" s="200" t="s">
        <v>706</v>
      </c>
      <c r="C3" s="98">
        <v>1513</v>
      </c>
      <c r="D3" s="200" t="s">
        <v>566</v>
      </c>
      <c r="E3" s="98" t="s">
        <v>96</v>
      </c>
      <c r="F3" s="200" t="s">
        <v>707</v>
      </c>
      <c r="G3" s="98" t="s">
        <v>710</v>
      </c>
      <c r="H3" s="200" t="s">
        <v>711</v>
      </c>
      <c r="I3" s="98">
        <v>2016.1</v>
      </c>
      <c r="J3" s="98">
        <v>1019.49</v>
      </c>
      <c r="K3" s="98">
        <v>7473315148</v>
      </c>
      <c r="L3" s="98">
        <v>7330411653</v>
      </c>
      <c r="M3" s="98" t="s">
        <v>562</v>
      </c>
    </row>
    <row r="4" spans="1:13" ht="16.5" customHeight="1">
      <c r="A4" s="98">
        <v>3</v>
      </c>
      <c r="B4" s="200" t="s">
        <v>706</v>
      </c>
      <c r="C4" s="98">
        <v>1711</v>
      </c>
      <c r="D4" s="200" t="s">
        <v>566</v>
      </c>
      <c r="E4" s="98" t="s">
        <v>95</v>
      </c>
      <c r="F4" s="200" t="s">
        <v>707</v>
      </c>
      <c r="G4" s="98" t="s">
        <v>712</v>
      </c>
      <c r="H4" s="200" t="s">
        <v>713</v>
      </c>
      <c r="I4" s="98">
        <v>2015.1</v>
      </c>
      <c r="J4" s="98">
        <v>922.21</v>
      </c>
      <c r="K4" s="98">
        <v>10292726876</v>
      </c>
      <c r="L4" s="98">
        <v>11160893595</v>
      </c>
      <c r="M4" s="98" t="s">
        <v>562</v>
      </c>
    </row>
    <row r="5" spans="1:13" ht="16.5" customHeight="1">
      <c r="A5" s="98">
        <v>4</v>
      </c>
      <c r="B5" s="200" t="s">
        <v>706</v>
      </c>
      <c r="C5" s="98">
        <v>1800</v>
      </c>
      <c r="D5" s="200" t="s">
        <v>566</v>
      </c>
      <c r="E5" s="98" t="s">
        <v>95</v>
      </c>
      <c r="F5" s="200" t="s">
        <v>707</v>
      </c>
      <c r="G5" s="98" t="s">
        <v>714</v>
      </c>
      <c r="H5" s="200" t="s">
        <v>715</v>
      </c>
      <c r="I5" s="98">
        <v>2016.1</v>
      </c>
      <c r="J5" s="98">
        <v>1225.6400000000001</v>
      </c>
      <c r="K5" s="98">
        <v>15177908752</v>
      </c>
      <c r="L5" s="98">
        <v>12383639691</v>
      </c>
      <c r="M5" s="98" t="s">
        <v>562</v>
      </c>
    </row>
    <row r="6" spans="1:13" ht="16.5" customHeight="1">
      <c r="A6" s="98">
        <v>5</v>
      </c>
      <c r="B6" s="200" t="s">
        <v>706</v>
      </c>
      <c r="C6" s="98">
        <v>1804</v>
      </c>
      <c r="D6" s="200" t="s">
        <v>566</v>
      </c>
      <c r="E6" s="98" t="s">
        <v>96</v>
      </c>
      <c r="F6" s="200" t="s">
        <v>707</v>
      </c>
      <c r="G6" s="98" t="s">
        <v>716</v>
      </c>
      <c r="H6" s="200" t="s">
        <v>717</v>
      </c>
      <c r="I6" s="98">
        <v>2018.02</v>
      </c>
      <c r="J6" s="98">
        <v>2161.17</v>
      </c>
      <c r="K6" s="98">
        <v>7076180853</v>
      </c>
      <c r="L6" s="98">
        <v>3274240620</v>
      </c>
      <c r="M6" s="98" t="s">
        <v>562</v>
      </c>
    </row>
    <row r="7" spans="1:13" ht="16.5" customHeight="1">
      <c r="A7" s="98">
        <v>6</v>
      </c>
      <c r="B7" s="200" t="s">
        <v>706</v>
      </c>
      <c r="C7" s="98">
        <v>1805</v>
      </c>
      <c r="D7" s="200" t="s">
        <v>566</v>
      </c>
      <c r="E7" s="98" t="s">
        <v>96</v>
      </c>
      <c r="F7" s="200" t="s">
        <v>707</v>
      </c>
      <c r="G7" s="98" t="s">
        <v>718</v>
      </c>
      <c r="H7" s="200" t="s">
        <v>719</v>
      </c>
      <c r="I7" s="98">
        <v>2018.02</v>
      </c>
      <c r="J7" s="98">
        <v>2111.7600000000002</v>
      </c>
      <c r="K7" s="98">
        <v>4717121512</v>
      </c>
      <c r="L7" s="98">
        <v>2233736996</v>
      </c>
      <c r="M7" s="98" t="s">
        <v>562</v>
      </c>
    </row>
    <row r="8" spans="1:13" ht="15" customHeight="1">
      <c r="A8" s="98">
        <v>7</v>
      </c>
      <c r="B8" s="200" t="s">
        <v>706</v>
      </c>
      <c r="C8" s="98">
        <v>1810</v>
      </c>
      <c r="D8" s="200" t="s">
        <v>566</v>
      </c>
      <c r="E8" s="98" t="s">
        <v>101</v>
      </c>
      <c r="F8" s="200" t="s">
        <v>707</v>
      </c>
      <c r="G8" s="98" t="s">
        <v>720</v>
      </c>
      <c r="H8" s="200" t="s">
        <v>721</v>
      </c>
      <c r="I8" s="98">
        <v>2017.01</v>
      </c>
      <c r="J8" s="98">
        <v>1038.57</v>
      </c>
      <c r="K8" s="98">
        <v>12753915972</v>
      </c>
      <c r="L8" s="98">
        <v>12280278880</v>
      </c>
      <c r="M8" s="98" t="s">
        <v>562</v>
      </c>
    </row>
    <row r="9" spans="1:13" ht="16.5" customHeight="1">
      <c r="A9" s="98">
        <v>8</v>
      </c>
      <c r="B9" s="200" t="s">
        <v>706</v>
      </c>
      <c r="C9" s="98">
        <v>1850</v>
      </c>
      <c r="D9" s="200" t="s">
        <v>566</v>
      </c>
      <c r="E9" s="98" t="s">
        <v>101</v>
      </c>
      <c r="F9" s="200" t="s">
        <v>707</v>
      </c>
      <c r="G9" s="98" t="s">
        <v>722</v>
      </c>
      <c r="H9" s="200" t="s">
        <v>723</v>
      </c>
      <c r="I9" s="98">
        <v>2018.02</v>
      </c>
      <c r="J9" s="98">
        <v>851.56</v>
      </c>
      <c r="K9" s="98">
        <v>6367081632</v>
      </c>
      <c r="L9" s="98">
        <v>7476991302</v>
      </c>
      <c r="M9" s="98" t="s">
        <v>562</v>
      </c>
    </row>
    <row r="10" spans="1:13" ht="16.5" customHeight="1">
      <c r="A10" s="98">
        <v>9</v>
      </c>
      <c r="B10" s="200" t="s">
        <v>706</v>
      </c>
      <c r="C10" s="98">
        <v>8155</v>
      </c>
      <c r="D10" s="200" t="s">
        <v>566</v>
      </c>
      <c r="E10" s="98" t="s">
        <v>101</v>
      </c>
      <c r="F10" s="200" t="s">
        <v>707</v>
      </c>
      <c r="G10" s="98" t="s">
        <v>724</v>
      </c>
      <c r="H10" s="200" t="s">
        <v>725</v>
      </c>
      <c r="I10" s="98">
        <v>2018.09</v>
      </c>
      <c r="J10" s="98">
        <v>843.93</v>
      </c>
      <c r="K10" s="98">
        <v>6318542387</v>
      </c>
      <c r="L10" s="98">
        <v>7487006271</v>
      </c>
      <c r="M10" s="98" t="s">
        <v>562</v>
      </c>
    </row>
    <row r="11" spans="1:13" ht="16.5" customHeight="1">
      <c r="A11" s="98">
        <v>10</v>
      </c>
      <c r="B11" s="200" t="s">
        <v>706</v>
      </c>
      <c r="C11" s="98">
        <v>8164</v>
      </c>
      <c r="D11" s="200" t="s">
        <v>566</v>
      </c>
      <c r="E11" s="98" t="s">
        <v>101</v>
      </c>
      <c r="F11" s="200" t="s">
        <v>707</v>
      </c>
      <c r="G11" s="98" t="s">
        <v>726</v>
      </c>
      <c r="H11" s="200" t="s">
        <v>727</v>
      </c>
      <c r="I11" s="98">
        <v>2019.04</v>
      </c>
      <c r="J11" s="98">
        <v>1057.1300000000001</v>
      </c>
      <c r="K11" s="98">
        <v>6335807646</v>
      </c>
      <c r="L11" s="98">
        <v>5993420457</v>
      </c>
      <c r="M11" s="98" t="s">
        <v>562</v>
      </c>
    </row>
    <row r="12" spans="1:13" ht="16.5" customHeight="1">
      <c r="A12" s="98">
        <v>11</v>
      </c>
      <c r="B12" s="200" t="s">
        <v>706</v>
      </c>
      <c r="C12" s="98">
        <v>8169</v>
      </c>
      <c r="D12" s="200" t="s">
        <v>566</v>
      </c>
      <c r="E12" s="98" t="s">
        <v>102</v>
      </c>
      <c r="F12" s="200" t="s">
        <v>707</v>
      </c>
      <c r="G12" s="98" t="s">
        <v>728</v>
      </c>
      <c r="H12" s="200" t="s">
        <v>729</v>
      </c>
      <c r="I12" s="98">
        <v>2019.1</v>
      </c>
      <c r="J12" s="98">
        <v>810.06</v>
      </c>
      <c r="K12" s="98">
        <v>6673319723</v>
      </c>
      <c r="L12" s="98">
        <v>8238014775</v>
      </c>
      <c r="M12" s="98" t="s">
        <v>562</v>
      </c>
    </row>
    <row r="13" spans="1:13" ht="16.5" customHeight="1">
      <c r="A13" s="98">
        <v>12</v>
      </c>
      <c r="B13" s="200" t="s">
        <v>706</v>
      </c>
      <c r="C13" s="98">
        <v>73070</v>
      </c>
      <c r="D13" s="200" t="s">
        <v>566</v>
      </c>
      <c r="E13" s="98" t="s">
        <v>101</v>
      </c>
      <c r="F13" s="200" t="s">
        <v>707</v>
      </c>
      <c r="G13" s="98" t="s">
        <v>730</v>
      </c>
      <c r="H13" s="200" t="s">
        <v>731</v>
      </c>
      <c r="I13" s="98">
        <v>2018.08</v>
      </c>
      <c r="J13" s="98">
        <v>1657.85</v>
      </c>
      <c r="K13" s="98">
        <v>15092565823</v>
      </c>
      <c r="L13" s="98">
        <v>9103721828</v>
      </c>
      <c r="M13" s="98" t="s">
        <v>562</v>
      </c>
    </row>
    <row r="14" spans="1:13" ht="16.5" customHeight="1">
      <c r="A14" s="98">
        <v>13</v>
      </c>
      <c r="B14" s="200" t="s">
        <v>706</v>
      </c>
      <c r="C14" s="98">
        <v>97000</v>
      </c>
      <c r="D14" s="200" t="s">
        <v>566</v>
      </c>
      <c r="E14" s="98" t="s">
        <v>95</v>
      </c>
      <c r="F14" s="200" t="s">
        <v>707</v>
      </c>
      <c r="G14" s="98" t="s">
        <v>732</v>
      </c>
      <c r="H14" s="200" t="s">
        <v>733</v>
      </c>
      <c r="I14" s="98">
        <v>2020.01</v>
      </c>
      <c r="J14" s="98">
        <v>1317.17</v>
      </c>
      <c r="K14" s="98">
        <v>25265092958</v>
      </c>
      <c r="L14" s="98">
        <v>19181398805</v>
      </c>
      <c r="M14" s="98" t="s">
        <v>562</v>
      </c>
    </row>
    <row r="15" spans="1:13" ht="16.5" customHeight="1">
      <c r="A15" s="98">
        <v>14</v>
      </c>
      <c r="B15" s="200" t="s">
        <v>706</v>
      </c>
      <c r="C15" s="98">
        <v>50011</v>
      </c>
      <c r="D15" s="200" t="s">
        <v>556</v>
      </c>
      <c r="E15" s="98" t="s">
        <v>94</v>
      </c>
      <c r="F15" s="200" t="s">
        <v>535</v>
      </c>
      <c r="G15" s="98" t="s">
        <v>734</v>
      </c>
      <c r="H15" s="200" t="s">
        <v>735</v>
      </c>
      <c r="I15" s="98">
        <v>2019.08</v>
      </c>
      <c r="J15" s="98">
        <v>977.45</v>
      </c>
      <c r="K15" s="98">
        <v>1401000000</v>
      </c>
      <c r="L15" s="98">
        <v>1370000000</v>
      </c>
      <c r="M15" s="98" t="s">
        <v>562</v>
      </c>
    </row>
    <row r="16" spans="1:13" ht="16.5" customHeight="1">
      <c r="A16" s="98">
        <v>15</v>
      </c>
      <c r="B16" s="200" t="s">
        <v>706</v>
      </c>
      <c r="C16" s="98">
        <v>57471</v>
      </c>
      <c r="D16" s="200" t="s">
        <v>556</v>
      </c>
      <c r="E16" s="98" t="s">
        <v>97</v>
      </c>
      <c r="F16" s="200" t="s">
        <v>535</v>
      </c>
      <c r="G16" s="98" t="s">
        <v>736</v>
      </c>
      <c r="H16" s="200" t="s">
        <v>737</v>
      </c>
      <c r="I16" s="98">
        <v>2022.05</v>
      </c>
      <c r="J16" s="98">
        <v>1038.54</v>
      </c>
      <c r="K16" s="98">
        <v>8981000000</v>
      </c>
      <c r="L16" s="98">
        <v>8648000000</v>
      </c>
      <c r="M16" s="98" t="s">
        <v>562</v>
      </c>
    </row>
    <row r="17" spans="1:13" ht="16.5" customHeight="1">
      <c r="A17" s="98">
        <v>16</v>
      </c>
      <c r="B17" s="200" t="s">
        <v>706</v>
      </c>
      <c r="C17" s="98">
        <v>57500</v>
      </c>
      <c r="D17" s="200" t="s">
        <v>556</v>
      </c>
      <c r="E17" s="98" t="s">
        <v>97</v>
      </c>
      <c r="F17" s="200" t="s">
        <v>535</v>
      </c>
      <c r="G17" s="98" t="s">
        <v>738</v>
      </c>
      <c r="H17" s="200" t="s">
        <v>739</v>
      </c>
      <c r="I17" s="98">
        <v>2023.04</v>
      </c>
      <c r="J17" s="98">
        <v>1000</v>
      </c>
      <c r="K17" s="98">
        <v>200000000</v>
      </c>
      <c r="L17" s="98">
        <v>200000000</v>
      </c>
    </row>
    <row r="18" spans="1:13" ht="16.5" customHeight="1">
      <c r="A18" s="98">
        <v>17</v>
      </c>
      <c r="B18" s="200" t="s">
        <v>706</v>
      </c>
      <c r="C18" s="98">
        <v>57516</v>
      </c>
      <c r="D18" s="200" t="s">
        <v>556</v>
      </c>
      <c r="E18" s="98" t="s">
        <v>97</v>
      </c>
      <c r="F18" s="200" t="s">
        <v>535</v>
      </c>
      <c r="G18" s="98" t="s">
        <v>740</v>
      </c>
      <c r="H18" s="200" t="s">
        <v>741</v>
      </c>
      <c r="I18" s="98">
        <v>2023.04</v>
      </c>
      <c r="J18" s="98">
        <v>1000</v>
      </c>
      <c r="K18" s="98">
        <v>200000000</v>
      </c>
      <c r="L18" s="98">
        <v>200000000</v>
      </c>
    </row>
    <row r="19" spans="1:13" ht="16.5" customHeight="1">
      <c r="A19" s="98">
        <v>18</v>
      </c>
      <c r="B19" s="200" t="s">
        <v>706</v>
      </c>
      <c r="C19" s="98">
        <v>99801</v>
      </c>
      <c r="D19" s="200" t="s">
        <v>556</v>
      </c>
      <c r="E19" s="98" t="s">
        <v>94</v>
      </c>
      <c r="F19" s="200" t="s">
        <v>742</v>
      </c>
      <c r="G19" s="98" t="s">
        <v>743</v>
      </c>
      <c r="H19" s="200" t="s">
        <v>744</v>
      </c>
      <c r="I19" s="98">
        <v>2018.07</v>
      </c>
      <c r="J19" s="98">
        <v>2678.45</v>
      </c>
      <c r="K19" s="98">
        <v>16628118376</v>
      </c>
      <c r="L19" s="98">
        <v>6126490507</v>
      </c>
      <c r="M19" s="98" t="s">
        <v>562</v>
      </c>
    </row>
    <row r="24" spans="1:13" ht="15" customHeight="1">
      <c r="A24" s="200" t="s">
        <v>633</v>
      </c>
    </row>
    <row r="25" spans="1:13" ht="16.5" customHeight="1">
      <c r="A25" s="200" t="s">
        <v>16</v>
      </c>
      <c r="B25" s="200" t="s">
        <v>506</v>
      </c>
      <c r="C25" s="200" t="s">
        <v>38</v>
      </c>
      <c r="D25" s="200" t="s">
        <v>546</v>
      </c>
      <c r="E25" s="200" t="s">
        <v>42</v>
      </c>
      <c r="F25" s="200" t="s">
        <v>549</v>
      </c>
      <c r="G25" s="200" t="s">
        <v>547</v>
      </c>
      <c r="H25" s="200" t="s">
        <v>673</v>
      </c>
      <c r="I25" s="200" t="s">
        <v>704</v>
      </c>
      <c r="J25" s="200" t="s">
        <v>23</v>
      </c>
      <c r="K25" s="200" t="s">
        <v>552</v>
      </c>
      <c r="L25" s="200" t="s">
        <v>553</v>
      </c>
      <c r="M25" s="98" t="s">
        <v>705</v>
      </c>
    </row>
    <row r="26" spans="1:13" ht="16.5" customHeight="1">
      <c r="A26" s="98">
        <v>1</v>
      </c>
      <c r="B26" s="200" t="s">
        <v>706</v>
      </c>
      <c r="C26" s="98" t="s">
        <v>745</v>
      </c>
      <c r="D26" s="200" t="s">
        <v>556</v>
      </c>
      <c r="E26" s="98" t="s">
        <v>94</v>
      </c>
      <c r="F26" s="200" t="s">
        <v>746</v>
      </c>
      <c r="H26" s="200" t="s">
        <v>747</v>
      </c>
      <c r="I26" s="98">
        <v>2016.12</v>
      </c>
      <c r="J26" s="98">
        <v>1144.02</v>
      </c>
      <c r="K26" s="98">
        <v>10545000000</v>
      </c>
      <c r="L26" s="98">
        <v>9218000000</v>
      </c>
      <c r="M26" s="98" t="s">
        <v>589</v>
      </c>
    </row>
    <row r="27" spans="1:13" ht="16.5" customHeight="1">
      <c r="A27" s="98">
        <v>2</v>
      </c>
      <c r="B27" s="200" t="s">
        <v>706</v>
      </c>
      <c r="C27" s="98" t="s">
        <v>748</v>
      </c>
      <c r="D27" s="200" t="s">
        <v>566</v>
      </c>
      <c r="E27" s="98" t="s">
        <v>94</v>
      </c>
      <c r="F27" s="200" t="s">
        <v>746</v>
      </c>
      <c r="H27" s="200" t="s">
        <v>749</v>
      </c>
      <c r="I27" s="98">
        <v>2021.06</v>
      </c>
      <c r="J27" s="98" t="s">
        <v>636</v>
      </c>
      <c r="K27" s="98" t="s">
        <v>636</v>
      </c>
      <c r="L27" s="98" t="s">
        <v>636</v>
      </c>
    </row>
    <row r="28" spans="1:13" ht="16.5" customHeight="1">
      <c r="A28" s="98">
        <v>3</v>
      </c>
      <c r="B28" s="200" t="s">
        <v>706</v>
      </c>
      <c r="D28" s="200" t="s">
        <v>566</v>
      </c>
      <c r="F28" s="200" t="s">
        <v>750</v>
      </c>
      <c r="H28" s="200" t="s">
        <v>751</v>
      </c>
      <c r="I28" s="98">
        <v>2021.03</v>
      </c>
      <c r="J28" s="98" t="s">
        <v>636</v>
      </c>
      <c r="K28" s="98" t="s">
        <v>636</v>
      </c>
      <c r="L28" s="98" t="s">
        <v>636</v>
      </c>
      <c r="M28" s="98" t="s">
        <v>589</v>
      </c>
    </row>
    <row r="29" spans="1:13" ht="16.5" customHeight="1">
      <c r="A29" s="98">
        <v>4</v>
      </c>
      <c r="B29" s="200" t="s">
        <v>706</v>
      </c>
      <c r="D29" s="200" t="s">
        <v>566</v>
      </c>
      <c r="F29" s="200" t="s">
        <v>750</v>
      </c>
      <c r="H29" s="200" t="s">
        <v>752</v>
      </c>
      <c r="I29" s="98">
        <v>2021.03</v>
      </c>
      <c r="J29" s="98" t="s">
        <v>636</v>
      </c>
      <c r="K29" s="98" t="s">
        <v>636</v>
      </c>
      <c r="L29" s="98" t="s">
        <v>636</v>
      </c>
      <c r="M29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A1:L6"/>
  <sheetViews>
    <sheetView zoomScaleNormal="100" workbookViewId="0"/>
  </sheetViews>
  <sheetFormatPr defaultColWidth="8.5546875" defaultRowHeight="13.5"/>
  <sheetData>
    <row r="1" spans="1:12" ht="16.5" customHeight="1">
      <c r="A1" s="200" t="s">
        <v>506</v>
      </c>
      <c r="B1" s="200" t="s">
        <v>38</v>
      </c>
      <c r="C1" s="200" t="s">
        <v>546</v>
      </c>
      <c r="D1" s="200" t="s">
        <v>753</v>
      </c>
      <c r="E1" s="200" t="s">
        <v>42</v>
      </c>
      <c r="F1" s="200" t="s">
        <v>754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200" t="s">
        <v>755</v>
      </c>
      <c r="B2" s="98">
        <v>95389</v>
      </c>
      <c r="C2" s="200" t="s">
        <v>566</v>
      </c>
      <c r="D2" s="98" t="s">
        <v>756</v>
      </c>
      <c r="E2" s="98" t="s">
        <v>101</v>
      </c>
      <c r="F2" s="200" t="s">
        <v>757</v>
      </c>
      <c r="G2" s="98" t="s">
        <v>758</v>
      </c>
      <c r="H2" s="98">
        <v>2011.05</v>
      </c>
      <c r="I2" s="98">
        <v>1189.8699999999999</v>
      </c>
      <c r="J2" s="98">
        <v>204416541378</v>
      </c>
      <c r="K2" s="98">
        <v>171797955670</v>
      </c>
      <c r="L2" s="98" t="s">
        <v>562</v>
      </c>
    </row>
    <row r="4" spans="1:12" ht="15" customHeight="1">
      <c r="A4" s="200" t="s">
        <v>633</v>
      </c>
    </row>
    <row r="5" spans="1:12" ht="16.5" customHeight="1">
      <c r="A5" s="200" t="s">
        <v>506</v>
      </c>
      <c r="B5" s="200" t="s">
        <v>38</v>
      </c>
      <c r="C5" s="200" t="s">
        <v>546</v>
      </c>
      <c r="D5" s="200" t="s">
        <v>753</v>
      </c>
      <c r="E5" s="200" t="s">
        <v>42</v>
      </c>
      <c r="F5" s="200" t="s">
        <v>754</v>
      </c>
      <c r="G5" s="200" t="s">
        <v>673</v>
      </c>
      <c r="H5" s="200" t="s">
        <v>704</v>
      </c>
      <c r="I5" s="200" t="s">
        <v>23</v>
      </c>
      <c r="J5" s="200" t="s">
        <v>552</v>
      </c>
      <c r="K5" s="200" t="s">
        <v>553</v>
      </c>
      <c r="L5" s="98" t="s">
        <v>705</v>
      </c>
    </row>
    <row r="6" spans="1:12" ht="16.5" customHeight="1">
      <c r="A6" s="200" t="s">
        <v>755</v>
      </c>
      <c r="B6" s="98">
        <v>95364</v>
      </c>
      <c r="C6" s="200" t="s">
        <v>566</v>
      </c>
      <c r="E6" s="98" t="s">
        <v>101</v>
      </c>
      <c r="F6" s="200" t="s">
        <v>757</v>
      </c>
      <c r="G6" s="200" t="s">
        <v>759</v>
      </c>
      <c r="H6" s="98">
        <v>2009.09</v>
      </c>
      <c r="I6" s="98">
        <v>385.31</v>
      </c>
      <c r="J6" s="98">
        <v>140.45947057999999</v>
      </c>
      <c r="L6" s="98" t="s">
        <v>636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M14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760</v>
      </c>
      <c r="C2" s="98">
        <v>59636</v>
      </c>
      <c r="D2" s="200" t="s">
        <v>556</v>
      </c>
      <c r="E2" s="98" t="s">
        <v>761</v>
      </c>
      <c r="F2" s="98" t="s">
        <v>94</v>
      </c>
      <c r="G2" s="200" t="s">
        <v>762</v>
      </c>
      <c r="H2" s="200" t="s">
        <v>763</v>
      </c>
      <c r="I2" s="201">
        <v>42655</v>
      </c>
      <c r="J2" s="98">
        <v>1443.54</v>
      </c>
      <c r="K2" s="98">
        <v>12694136020</v>
      </c>
      <c r="L2" s="98">
        <v>8793755121</v>
      </c>
      <c r="M2" s="98" t="s">
        <v>562</v>
      </c>
    </row>
    <row r="3" spans="1:13" ht="16.5" customHeight="1">
      <c r="A3" s="98">
        <v>2</v>
      </c>
      <c r="B3" s="200" t="s">
        <v>760</v>
      </c>
      <c r="C3" s="98">
        <v>57188</v>
      </c>
      <c r="D3" s="200" t="s">
        <v>556</v>
      </c>
      <c r="E3" s="98" t="s">
        <v>764</v>
      </c>
      <c r="F3" s="98" t="s">
        <v>98</v>
      </c>
      <c r="G3" s="200" t="s">
        <v>762</v>
      </c>
      <c r="H3" s="200" t="s">
        <v>765</v>
      </c>
      <c r="I3" s="201">
        <v>39153</v>
      </c>
      <c r="J3" s="98">
        <v>1832.71</v>
      </c>
      <c r="K3" s="98">
        <v>132705868359</v>
      </c>
      <c r="L3" s="98">
        <v>72409634299</v>
      </c>
      <c r="M3" s="98" t="s">
        <v>562</v>
      </c>
    </row>
    <row r="4" spans="1:13" ht="16.5" customHeight="1">
      <c r="A4" s="98">
        <v>3</v>
      </c>
      <c r="B4" s="200" t="s">
        <v>760</v>
      </c>
      <c r="C4" s="98">
        <v>59561</v>
      </c>
      <c r="D4" s="200" t="s">
        <v>556</v>
      </c>
      <c r="E4" s="98" t="s">
        <v>766</v>
      </c>
      <c r="F4" s="98" t="s">
        <v>94</v>
      </c>
      <c r="G4" s="200" t="s">
        <v>762</v>
      </c>
      <c r="H4" s="200" t="s">
        <v>767</v>
      </c>
      <c r="I4" s="201">
        <v>42426</v>
      </c>
      <c r="J4" s="98">
        <v>1787.89</v>
      </c>
      <c r="K4" s="98">
        <v>141143635059</v>
      </c>
      <c r="L4" s="98">
        <v>78944374109</v>
      </c>
      <c r="M4" s="98" t="s">
        <v>562</v>
      </c>
    </row>
    <row r="5" spans="1:13" ht="16.5" customHeight="1">
      <c r="A5" s="98">
        <v>4</v>
      </c>
      <c r="B5" s="200" t="s">
        <v>760</v>
      </c>
      <c r="C5" s="98">
        <v>59818</v>
      </c>
      <c r="D5" s="200" t="s">
        <v>556</v>
      </c>
      <c r="E5" s="98" t="s">
        <v>768</v>
      </c>
      <c r="F5" s="98" t="s">
        <v>96</v>
      </c>
      <c r="G5" s="200" t="s">
        <v>762</v>
      </c>
      <c r="H5" s="200" t="s">
        <v>769</v>
      </c>
      <c r="I5" s="201">
        <v>42794</v>
      </c>
      <c r="J5" s="98">
        <v>1297.75</v>
      </c>
      <c r="K5" s="98">
        <v>17246000000</v>
      </c>
      <c r="L5" s="98">
        <v>13289000000</v>
      </c>
      <c r="M5" s="98" t="s">
        <v>589</v>
      </c>
    </row>
    <row r="6" spans="1:13" ht="16.5" customHeight="1">
      <c r="A6" s="98">
        <v>5</v>
      </c>
      <c r="B6" s="200" t="s">
        <v>760</v>
      </c>
      <c r="C6" s="98">
        <v>59632</v>
      </c>
      <c r="D6" s="200" t="s">
        <v>556</v>
      </c>
      <c r="E6" s="98" t="s">
        <v>770</v>
      </c>
      <c r="F6" s="98" t="s">
        <v>94</v>
      </c>
      <c r="G6" s="200" t="s">
        <v>762</v>
      </c>
      <c r="H6" s="200" t="s">
        <v>771</v>
      </c>
      <c r="I6" s="201">
        <v>42564</v>
      </c>
      <c r="J6" s="98">
        <v>1778.75</v>
      </c>
      <c r="K6" s="98">
        <v>11273000000</v>
      </c>
      <c r="L6" s="98">
        <v>6338000000</v>
      </c>
      <c r="M6" s="98" t="s">
        <v>589</v>
      </c>
    </row>
    <row r="7" spans="1:13" ht="16.5" customHeight="1">
      <c r="A7" s="98">
        <v>6</v>
      </c>
      <c r="B7" s="200" t="s">
        <v>760</v>
      </c>
      <c r="C7" s="98">
        <v>60154</v>
      </c>
      <c r="D7" s="200" t="s">
        <v>556</v>
      </c>
      <c r="E7" s="98" t="s">
        <v>772</v>
      </c>
      <c r="F7" s="98" t="s">
        <v>95</v>
      </c>
      <c r="G7" s="200" t="s">
        <v>762</v>
      </c>
      <c r="H7" s="200" t="s">
        <v>773</v>
      </c>
      <c r="I7" s="201">
        <v>43866</v>
      </c>
      <c r="J7" s="98">
        <v>1769.85</v>
      </c>
      <c r="K7" s="98">
        <v>255399000000</v>
      </c>
      <c r="L7" s="98">
        <v>144306000000</v>
      </c>
      <c r="M7" s="98" t="s">
        <v>589</v>
      </c>
    </row>
    <row r="8" spans="1:13" ht="16.5" customHeight="1">
      <c r="A8" s="98">
        <v>7</v>
      </c>
      <c r="B8" s="200" t="s">
        <v>760</v>
      </c>
      <c r="C8" s="98">
        <v>60155</v>
      </c>
      <c r="D8" s="200" t="s">
        <v>556</v>
      </c>
      <c r="E8" s="98" t="s">
        <v>774</v>
      </c>
      <c r="F8" s="98" t="s">
        <v>95</v>
      </c>
      <c r="G8" s="200" t="s">
        <v>762</v>
      </c>
      <c r="H8" s="200" t="s">
        <v>775</v>
      </c>
      <c r="I8" s="201">
        <v>43866</v>
      </c>
      <c r="J8" s="98">
        <v>1836.16</v>
      </c>
      <c r="K8" s="98">
        <v>347699472489</v>
      </c>
      <c r="L8" s="98">
        <v>189362702607</v>
      </c>
      <c r="M8" s="98" t="s">
        <v>562</v>
      </c>
    </row>
    <row r="9" spans="1:13" ht="16.5" customHeight="1">
      <c r="A9" s="98">
        <v>8</v>
      </c>
      <c r="B9" s="200" t="s">
        <v>760</v>
      </c>
      <c r="C9" s="98">
        <v>60272</v>
      </c>
      <c r="D9" s="200" t="s">
        <v>556</v>
      </c>
      <c r="E9" s="98" t="s">
        <v>776</v>
      </c>
      <c r="F9" s="98" t="s">
        <v>98</v>
      </c>
      <c r="G9" s="200" t="s">
        <v>762</v>
      </c>
      <c r="H9" s="200" t="s">
        <v>777</v>
      </c>
      <c r="I9" s="201">
        <v>44287</v>
      </c>
      <c r="J9" s="98" t="s">
        <v>636</v>
      </c>
      <c r="K9" s="98" t="s">
        <v>636</v>
      </c>
      <c r="L9" s="98" t="s">
        <v>636</v>
      </c>
      <c r="M9" s="98" t="s">
        <v>589</v>
      </c>
    </row>
    <row r="10" spans="1:13" ht="16.5" customHeight="1">
      <c r="A10" s="98">
        <v>9</v>
      </c>
      <c r="B10" s="200" t="s">
        <v>760</v>
      </c>
      <c r="C10" s="98">
        <v>60273</v>
      </c>
      <c r="D10" s="200" t="s">
        <v>556</v>
      </c>
      <c r="E10" s="98" t="s">
        <v>778</v>
      </c>
      <c r="F10" s="98" t="s">
        <v>98</v>
      </c>
      <c r="G10" s="200" t="s">
        <v>762</v>
      </c>
      <c r="H10" s="200" t="s">
        <v>779</v>
      </c>
      <c r="I10" s="201">
        <v>44287</v>
      </c>
      <c r="J10" s="98" t="s">
        <v>636</v>
      </c>
      <c r="K10" s="98" t="s">
        <v>636</v>
      </c>
      <c r="L10" s="98" t="s">
        <v>636</v>
      </c>
      <c r="M10" s="98" t="s">
        <v>589</v>
      </c>
    </row>
    <row r="12" spans="1:13" ht="15" customHeight="1">
      <c r="A12" s="200" t="s">
        <v>633</v>
      </c>
    </row>
    <row r="13" spans="1:13" ht="16.5" customHeight="1">
      <c r="A13" s="200" t="s">
        <v>16</v>
      </c>
      <c r="B13" s="200" t="s">
        <v>506</v>
      </c>
      <c r="C13" s="200" t="s">
        <v>38</v>
      </c>
      <c r="D13" s="200" t="s">
        <v>546</v>
      </c>
      <c r="E13" s="200" t="s">
        <v>671</v>
      </c>
      <c r="F13" s="200" t="s">
        <v>42</v>
      </c>
      <c r="G13" s="200" t="s">
        <v>549</v>
      </c>
      <c r="H13" s="200" t="s">
        <v>673</v>
      </c>
      <c r="I13" s="200" t="s">
        <v>704</v>
      </c>
      <c r="J13" s="200" t="s">
        <v>23</v>
      </c>
      <c r="K13" s="200" t="s">
        <v>552</v>
      </c>
      <c r="L13" s="200" t="s">
        <v>553</v>
      </c>
      <c r="M13" s="98" t="s">
        <v>705</v>
      </c>
    </row>
    <row r="14" spans="1:13" ht="16.5" customHeight="1">
      <c r="A14" s="98">
        <v>10</v>
      </c>
      <c r="B14" s="200" t="s">
        <v>760</v>
      </c>
      <c r="C14" s="98">
        <v>60291</v>
      </c>
      <c r="D14" s="200" t="s">
        <v>556</v>
      </c>
      <c r="F14" s="98" t="s">
        <v>98</v>
      </c>
      <c r="G14" s="200" t="s">
        <v>762</v>
      </c>
      <c r="H14" s="200" t="s">
        <v>780</v>
      </c>
      <c r="I14" s="201">
        <v>44317</v>
      </c>
      <c r="J14" s="98" t="s">
        <v>636</v>
      </c>
      <c r="K14" s="98" t="s">
        <v>636</v>
      </c>
      <c r="L14" s="98" t="s">
        <v>636</v>
      </c>
      <c r="M1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M150"/>
  <sheetViews>
    <sheetView zoomScaleNormal="100" workbookViewId="0">
      <selection activeCell="A6" sqref="A6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781</v>
      </c>
      <c r="C2" s="98" t="s">
        <v>280</v>
      </c>
      <c r="D2" s="200" t="s">
        <v>566</v>
      </c>
      <c r="E2" s="98" t="s">
        <v>782</v>
      </c>
      <c r="F2" s="98" t="s">
        <v>93</v>
      </c>
      <c r="G2" s="98" t="s">
        <v>783</v>
      </c>
      <c r="H2" s="200" t="s">
        <v>784</v>
      </c>
      <c r="I2" s="98">
        <v>2015.11</v>
      </c>
      <c r="M2" s="98" t="s">
        <v>589</v>
      </c>
    </row>
    <row r="3" spans="1:13" ht="16.5" customHeight="1">
      <c r="A3" s="98">
        <v>2</v>
      </c>
      <c r="B3" s="200" t="s">
        <v>781</v>
      </c>
      <c r="C3" s="98" t="s">
        <v>279</v>
      </c>
      <c r="D3" s="200" t="s">
        <v>566</v>
      </c>
      <c r="E3" s="98" t="s">
        <v>785</v>
      </c>
      <c r="F3" s="98" t="s">
        <v>93</v>
      </c>
      <c r="G3" s="98" t="s">
        <v>783</v>
      </c>
      <c r="H3" s="200" t="s">
        <v>786</v>
      </c>
      <c r="I3" s="98">
        <v>2015.11</v>
      </c>
      <c r="M3" s="98" t="s">
        <v>589</v>
      </c>
    </row>
    <row r="4" spans="1:13" ht="16.5" customHeight="1">
      <c r="A4" s="98">
        <v>3</v>
      </c>
      <c r="B4" s="200" t="s">
        <v>781</v>
      </c>
      <c r="C4" s="98" t="s">
        <v>223</v>
      </c>
      <c r="D4" s="200" t="s">
        <v>566</v>
      </c>
      <c r="E4" s="98" t="s">
        <v>787</v>
      </c>
      <c r="F4" s="98" t="s">
        <v>93</v>
      </c>
      <c r="G4" s="98" t="s">
        <v>783</v>
      </c>
      <c r="H4" s="200" t="s">
        <v>788</v>
      </c>
      <c r="I4" s="98">
        <v>2016.05</v>
      </c>
      <c r="J4" s="98">
        <v>939.55</v>
      </c>
      <c r="K4" s="98">
        <v>42708172433</v>
      </c>
      <c r="L4" s="98">
        <v>45456194149</v>
      </c>
      <c r="M4" s="98" t="s">
        <v>562</v>
      </c>
    </row>
    <row r="5" spans="1:13" ht="16.5" customHeight="1">
      <c r="A5" s="98">
        <v>4</v>
      </c>
      <c r="B5" s="200" t="s">
        <v>781</v>
      </c>
      <c r="C5" s="98" t="s">
        <v>220</v>
      </c>
      <c r="D5" s="200" t="s">
        <v>566</v>
      </c>
      <c r="E5" s="98" t="s">
        <v>789</v>
      </c>
      <c r="F5" s="98" t="s">
        <v>93</v>
      </c>
      <c r="G5" s="98" t="s">
        <v>783</v>
      </c>
      <c r="H5" s="200" t="s">
        <v>790</v>
      </c>
      <c r="I5" s="98">
        <v>2016.05</v>
      </c>
      <c r="M5" s="98" t="s">
        <v>589</v>
      </c>
    </row>
    <row r="6" spans="1:13" ht="16.5" customHeight="1">
      <c r="A6" s="98">
        <v>5</v>
      </c>
      <c r="B6" s="200" t="s">
        <v>781</v>
      </c>
      <c r="C6" s="98" t="s">
        <v>281</v>
      </c>
      <c r="D6" s="200" t="s">
        <v>566</v>
      </c>
      <c r="E6" s="98" t="s">
        <v>791</v>
      </c>
      <c r="F6" s="98" t="s">
        <v>95</v>
      </c>
      <c r="G6" s="98" t="s">
        <v>783</v>
      </c>
      <c r="H6" s="200" t="s">
        <v>792</v>
      </c>
      <c r="I6" s="98">
        <v>2017.08</v>
      </c>
      <c r="J6" s="98">
        <v>992.37</v>
      </c>
      <c r="K6" s="98">
        <v>16301847403</v>
      </c>
      <c r="L6" s="98">
        <v>16427211694</v>
      </c>
      <c r="M6" s="98" t="s">
        <v>562</v>
      </c>
    </row>
    <row r="7" spans="1:13" ht="16.5" customHeight="1">
      <c r="A7" s="98">
        <v>6</v>
      </c>
      <c r="B7" s="200" t="s">
        <v>781</v>
      </c>
      <c r="C7" s="98" t="s">
        <v>241</v>
      </c>
      <c r="D7" s="200" t="s">
        <v>566</v>
      </c>
      <c r="E7" s="98" t="s">
        <v>793</v>
      </c>
      <c r="F7" s="98" t="s">
        <v>95</v>
      </c>
      <c r="G7" s="98" t="s">
        <v>783</v>
      </c>
      <c r="H7" s="200" t="s">
        <v>794</v>
      </c>
      <c r="I7" s="98">
        <v>2017.1</v>
      </c>
      <c r="J7" s="98">
        <v>1212.1600000000001</v>
      </c>
      <c r="K7" s="98">
        <v>224813438931</v>
      </c>
      <c r="L7" s="98">
        <v>185464804113</v>
      </c>
      <c r="M7" s="98" t="s">
        <v>562</v>
      </c>
    </row>
    <row r="8" spans="1:13" ht="16.5" customHeight="1">
      <c r="A8" s="98">
        <v>7</v>
      </c>
      <c r="B8" s="200" t="s">
        <v>781</v>
      </c>
      <c r="C8" s="98" t="s">
        <v>242</v>
      </c>
      <c r="D8" s="200" t="s">
        <v>566</v>
      </c>
      <c r="E8" s="98" t="s">
        <v>795</v>
      </c>
      <c r="F8" s="98" t="s">
        <v>96</v>
      </c>
      <c r="G8" s="98" t="s">
        <v>783</v>
      </c>
      <c r="H8" s="200" t="s">
        <v>796</v>
      </c>
      <c r="I8" s="98">
        <v>2017.11</v>
      </c>
      <c r="M8" s="98" t="s">
        <v>589</v>
      </c>
    </row>
    <row r="9" spans="1:13" ht="16.5" customHeight="1">
      <c r="A9" s="98">
        <v>8</v>
      </c>
      <c r="B9" s="200" t="s">
        <v>781</v>
      </c>
      <c r="C9" s="98" t="s">
        <v>227</v>
      </c>
      <c r="D9" s="200" t="s">
        <v>566</v>
      </c>
      <c r="E9" s="98" t="s">
        <v>797</v>
      </c>
      <c r="F9" s="98" t="s">
        <v>95</v>
      </c>
      <c r="G9" s="98" t="s">
        <v>783</v>
      </c>
      <c r="H9" s="200" t="s">
        <v>798</v>
      </c>
      <c r="I9" s="98">
        <v>2017.12</v>
      </c>
      <c r="J9" s="98">
        <v>794.7</v>
      </c>
      <c r="K9" s="98">
        <v>11954560080</v>
      </c>
      <c r="L9" s="98">
        <v>15042889969</v>
      </c>
      <c r="M9" s="98" t="s">
        <v>562</v>
      </c>
    </row>
    <row r="10" spans="1:13" ht="16.5" customHeight="1">
      <c r="A10" s="98">
        <v>9</v>
      </c>
      <c r="B10" s="200" t="s">
        <v>781</v>
      </c>
      <c r="C10" s="98" t="s">
        <v>243</v>
      </c>
      <c r="D10" s="200" t="s">
        <v>566</v>
      </c>
      <c r="E10" s="98" t="s">
        <v>799</v>
      </c>
      <c r="F10" s="98" t="s">
        <v>95</v>
      </c>
      <c r="G10" s="98" t="s">
        <v>783</v>
      </c>
      <c r="H10" s="200" t="s">
        <v>800</v>
      </c>
      <c r="I10" s="98">
        <v>2018.02</v>
      </c>
      <c r="J10" s="98">
        <v>1033.92</v>
      </c>
      <c r="K10" s="98">
        <v>215936385645</v>
      </c>
      <c r="M10" s="98" t="s">
        <v>562</v>
      </c>
    </row>
    <row r="11" spans="1:13" ht="16.5" customHeight="1">
      <c r="A11" s="98">
        <v>10</v>
      </c>
      <c r="B11" s="200" t="s">
        <v>781</v>
      </c>
      <c r="C11" s="98" t="s">
        <v>217</v>
      </c>
      <c r="D11" s="200" t="s">
        <v>566</v>
      </c>
      <c r="E11" s="98" t="s">
        <v>801</v>
      </c>
      <c r="F11" s="98" t="s">
        <v>96</v>
      </c>
      <c r="G11" s="200" t="s">
        <v>802</v>
      </c>
      <c r="H11" s="200" t="s">
        <v>803</v>
      </c>
      <c r="I11" s="98">
        <v>2018.05</v>
      </c>
      <c r="J11" s="98" t="s">
        <v>636</v>
      </c>
      <c r="K11" s="98" t="s">
        <v>636</v>
      </c>
      <c r="L11" s="98" t="s">
        <v>636</v>
      </c>
      <c r="M11" s="98" t="s">
        <v>589</v>
      </c>
    </row>
    <row r="12" spans="1:13" ht="16.5" customHeight="1">
      <c r="A12" s="98">
        <v>11</v>
      </c>
      <c r="B12" s="200" t="s">
        <v>781</v>
      </c>
      <c r="C12" s="98" t="s">
        <v>222</v>
      </c>
      <c r="D12" s="200" t="s">
        <v>566</v>
      </c>
      <c r="E12" s="98" t="s">
        <v>804</v>
      </c>
      <c r="F12" s="98" t="s">
        <v>96</v>
      </c>
      <c r="G12" s="200" t="s">
        <v>802</v>
      </c>
      <c r="H12" s="200" t="s">
        <v>805</v>
      </c>
      <c r="I12" s="98">
        <v>2018.07</v>
      </c>
      <c r="J12" s="98" t="s">
        <v>636</v>
      </c>
      <c r="K12" s="98" t="s">
        <v>636</v>
      </c>
      <c r="L12" s="98" t="s">
        <v>636</v>
      </c>
      <c r="M12" s="98" t="s">
        <v>589</v>
      </c>
    </row>
    <row r="13" spans="1:13" ht="16.5" customHeight="1">
      <c r="A13" s="98">
        <v>12</v>
      </c>
      <c r="B13" s="200" t="s">
        <v>781</v>
      </c>
      <c r="C13" s="98" t="s">
        <v>245</v>
      </c>
      <c r="D13" s="200" t="s">
        <v>566</v>
      </c>
      <c r="E13" s="98" t="s">
        <v>806</v>
      </c>
      <c r="F13" s="98" t="s">
        <v>95</v>
      </c>
      <c r="G13" s="98" t="s">
        <v>783</v>
      </c>
      <c r="H13" s="200" t="s">
        <v>807</v>
      </c>
      <c r="I13" s="98">
        <v>2018.08</v>
      </c>
      <c r="M13" s="98" t="s">
        <v>589</v>
      </c>
    </row>
    <row r="14" spans="1:13" ht="16.5" customHeight="1">
      <c r="A14" s="98">
        <v>13</v>
      </c>
      <c r="B14" s="200" t="s">
        <v>781</v>
      </c>
      <c r="C14" s="98" t="s">
        <v>808</v>
      </c>
      <c r="D14" s="200" t="s">
        <v>566</v>
      </c>
      <c r="E14" s="98" t="s">
        <v>809</v>
      </c>
      <c r="F14" s="98" t="s">
        <v>94</v>
      </c>
      <c r="G14" s="98" t="s">
        <v>783</v>
      </c>
      <c r="H14" s="200" t="s">
        <v>810</v>
      </c>
      <c r="I14" s="98">
        <v>2018.09</v>
      </c>
      <c r="M14" s="98" t="s">
        <v>589</v>
      </c>
    </row>
    <row r="15" spans="1:13" ht="16.5" customHeight="1">
      <c r="A15" s="98">
        <v>14</v>
      </c>
      <c r="B15" s="200" t="s">
        <v>781</v>
      </c>
      <c r="C15" s="98" t="s">
        <v>250</v>
      </c>
      <c r="D15" s="200" t="s">
        <v>566</v>
      </c>
      <c r="E15" s="98" t="s">
        <v>811</v>
      </c>
      <c r="F15" s="98" t="s">
        <v>95</v>
      </c>
      <c r="G15" s="98" t="s">
        <v>783</v>
      </c>
      <c r="H15" s="200" t="s">
        <v>812</v>
      </c>
      <c r="I15" s="98">
        <v>2018.11</v>
      </c>
      <c r="J15" s="98">
        <v>1014.79</v>
      </c>
      <c r="K15" s="98">
        <v>21092756432</v>
      </c>
      <c r="L15" s="98">
        <v>20785269383</v>
      </c>
      <c r="M15" s="98" t="s">
        <v>562</v>
      </c>
    </row>
    <row r="16" spans="1:13" ht="16.5" customHeight="1">
      <c r="A16" s="98">
        <v>15</v>
      </c>
      <c r="B16" s="200" t="s">
        <v>781</v>
      </c>
      <c r="C16" s="98" t="s">
        <v>249</v>
      </c>
      <c r="D16" s="200" t="s">
        <v>566</v>
      </c>
      <c r="E16" s="98" t="s">
        <v>813</v>
      </c>
      <c r="F16" s="98" t="s">
        <v>95</v>
      </c>
      <c r="G16" s="98" t="s">
        <v>783</v>
      </c>
      <c r="H16" s="200" t="s">
        <v>814</v>
      </c>
      <c r="I16" s="98">
        <v>2018.11</v>
      </c>
      <c r="M16" s="98" t="s">
        <v>589</v>
      </c>
    </row>
    <row r="17" spans="1:13" ht="16.5" customHeight="1">
      <c r="A17" s="98">
        <v>16</v>
      </c>
      <c r="B17" s="200" t="s">
        <v>781</v>
      </c>
      <c r="C17" s="98" t="s">
        <v>254</v>
      </c>
      <c r="D17" s="200" t="s">
        <v>566</v>
      </c>
      <c r="E17" s="98" t="s">
        <v>815</v>
      </c>
      <c r="F17" s="98" t="s">
        <v>95</v>
      </c>
      <c r="G17" s="98" t="s">
        <v>783</v>
      </c>
      <c r="H17" s="200" t="s">
        <v>816</v>
      </c>
      <c r="I17" s="98">
        <v>2018.12</v>
      </c>
      <c r="J17" s="98">
        <v>970.96</v>
      </c>
      <c r="K17" s="98">
        <v>113639083565</v>
      </c>
      <c r="L17" s="98">
        <v>117038076277</v>
      </c>
      <c r="M17" s="98" t="s">
        <v>562</v>
      </c>
    </row>
    <row r="18" spans="1:13" ht="16.5" customHeight="1">
      <c r="A18" s="98">
        <v>17</v>
      </c>
      <c r="B18" s="200" t="s">
        <v>781</v>
      </c>
      <c r="C18" s="98" t="s">
        <v>252</v>
      </c>
      <c r="D18" s="200" t="s">
        <v>566</v>
      </c>
      <c r="E18" s="98" t="s">
        <v>817</v>
      </c>
      <c r="F18" s="98" t="s">
        <v>94</v>
      </c>
      <c r="G18" s="98" t="s">
        <v>783</v>
      </c>
      <c r="H18" s="200" t="s">
        <v>818</v>
      </c>
      <c r="I18" s="98">
        <v>2018.12</v>
      </c>
      <c r="J18" s="98">
        <v>1098.8800000000001</v>
      </c>
      <c r="K18" s="98">
        <v>23253756161</v>
      </c>
      <c r="L18" s="98">
        <v>21161369437</v>
      </c>
      <c r="M18" s="98" t="s">
        <v>562</v>
      </c>
    </row>
    <row r="19" spans="1:13" ht="16.5" customHeight="1">
      <c r="A19" s="98">
        <v>18</v>
      </c>
      <c r="B19" s="200" t="s">
        <v>781</v>
      </c>
      <c r="C19" s="98" t="s">
        <v>251</v>
      </c>
      <c r="D19" s="200" t="s">
        <v>566</v>
      </c>
      <c r="E19" s="98" t="s">
        <v>819</v>
      </c>
      <c r="F19" s="98" t="s">
        <v>95</v>
      </c>
      <c r="G19" s="98" t="s">
        <v>820</v>
      </c>
      <c r="H19" s="200" t="s">
        <v>821</v>
      </c>
      <c r="I19" s="98">
        <v>2018.12</v>
      </c>
      <c r="M19" s="98" t="s">
        <v>589</v>
      </c>
    </row>
    <row r="20" spans="1:13" ht="16.5" customHeight="1">
      <c r="A20" s="98">
        <v>19</v>
      </c>
      <c r="B20" s="200" t="s">
        <v>781</v>
      </c>
      <c r="C20" s="98" t="s">
        <v>256</v>
      </c>
      <c r="D20" s="200" t="s">
        <v>566</v>
      </c>
      <c r="E20" s="98" t="s">
        <v>822</v>
      </c>
      <c r="F20" s="98" t="s">
        <v>95</v>
      </c>
      <c r="G20" s="98" t="s">
        <v>783</v>
      </c>
      <c r="H20" s="200" t="s">
        <v>823</v>
      </c>
      <c r="I20" s="98">
        <v>2019.05</v>
      </c>
      <c r="J20" s="98">
        <v>1117.57</v>
      </c>
      <c r="K20" s="98">
        <v>23240000000</v>
      </c>
      <c r="L20" s="98">
        <v>20500000000</v>
      </c>
      <c r="M20" s="98" t="s">
        <v>562</v>
      </c>
    </row>
    <row r="21" spans="1:13" ht="16.5" customHeight="1">
      <c r="A21" s="98">
        <v>20</v>
      </c>
      <c r="B21" s="200" t="s">
        <v>781</v>
      </c>
      <c r="C21" s="98" t="s">
        <v>258</v>
      </c>
      <c r="D21" s="200" t="s">
        <v>566</v>
      </c>
      <c r="E21" s="98" t="s">
        <v>824</v>
      </c>
      <c r="F21" s="98" t="s">
        <v>95</v>
      </c>
      <c r="G21" s="98" t="s">
        <v>783</v>
      </c>
      <c r="H21" s="200" t="s">
        <v>825</v>
      </c>
      <c r="I21" s="98">
        <v>2019.06</v>
      </c>
      <c r="J21" s="98">
        <v>853.55</v>
      </c>
      <c r="K21" s="98">
        <v>56847744204</v>
      </c>
      <c r="L21" s="98">
        <v>66601313099</v>
      </c>
      <c r="M21" s="98" t="s">
        <v>562</v>
      </c>
    </row>
    <row r="22" spans="1:13" ht="16.5" customHeight="1">
      <c r="A22" s="98">
        <v>21</v>
      </c>
      <c r="B22" s="200" t="s">
        <v>781</v>
      </c>
      <c r="C22" s="98" t="s">
        <v>257</v>
      </c>
      <c r="D22" s="200" t="s">
        <v>566</v>
      </c>
      <c r="E22" s="98" t="s">
        <v>826</v>
      </c>
      <c r="F22" s="98" t="s">
        <v>95</v>
      </c>
      <c r="G22" s="98" t="s">
        <v>827</v>
      </c>
      <c r="H22" s="200" t="s">
        <v>828</v>
      </c>
      <c r="I22" s="98">
        <v>2019.06</v>
      </c>
      <c r="J22" s="98">
        <v>1006.31</v>
      </c>
      <c r="K22" s="98">
        <v>66490757519</v>
      </c>
      <c r="L22" s="98" t="s">
        <v>636</v>
      </c>
      <c r="M22" s="98" t="s">
        <v>562</v>
      </c>
    </row>
    <row r="23" spans="1:13" ht="16.5" customHeight="1">
      <c r="A23" s="98">
        <v>22</v>
      </c>
      <c r="B23" s="200" t="s">
        <v>781</v>
      </c>
      <c r="C23" s="98" t="s">
        <v>259</v>
      </c>
      <c r="D23" s="200" t="s">
        <v>566</v>
      </c>
      <c r="E23" s="98" t="s">
        <v>829</v>
      </c>
      <c r="F23" s="98" t="s">
        <v>95</v>
      </c>
      <c r="G23" s="98" t="s">
        <v>783</v>
      </c>
      <c r="H23" s="200" t="s">
        <v>830</v>
      </c>
      <c r="I23" s="98">
        <v>2019.07</v>
      </c>
      <c r="J23" s="98">
        <v>960.21</v>
      </c>
      <c r="K23" s="98">
        <v>11872264861</v>
      </c>
      <c r="L23" s="98">
        <v>12364272688</v>
      </c>
      <c r="M23" s="98" t="s">
        <v>562</v>
      </c>
    </row>
    <row r="24" spans="1:13" ht="16.5" customHeight="1">
      <c r="A24" s="98">
        <v>23</v>
      </c>
      <c r="B24" s="200" t="s">
        <v>781</v>
      </c>
      <c r="C24" s="98" t="s">
        <v>260</v>
      </c>
      <c r="D24" s="200" t="s">
        <v>566</v>
      </c>
      <c r="E24" s="98" t="s">
        <v>831</v>
      </c>
      <c r="F24" s="98" t="s">
        <v>94</v>
      </c>
      <c r="G24" s="98" t="s">
        <v>783</v>
      </c>
      <c r="H24" s="200" t="s">
        <v>832</v>
      </c>
      <c r="I24" s="98">
        <v>2019.08</v>
      </c>
      <c r="J24" s="98">
        <v>5275.74</v>
      </c>
      <c r="K24" s="98">
        <v>60429634359</v>
      </c>
      <c r="L24" s="98">
        <v>11454247472</v>
      </c>
      <c r="M24" s="98" t="s">
        <v>562</v>
      </c>
    </row>
    <row r="25" spans="1:13" ht="16.5" customHeight="1">
      <c r="A25" s="98">
        <v>24</v>
      </c>
      <c r="B25" s="200" t="s">
        <v>781</v>
      </c>
      <c r="C25" s="98" t="s">
        <v>233</v>
      </c>
      <c r="D25" s="200" t="s">
        <v>566</v>
      </c>
      <c r="E25" s="98" t="s">
        <v>833</v>
      </c>
      <c r="F25" s="98" t="s">
        <v>95</v>
      </c>
      <c r="G25" s="98" t="s">
        <v>783</v>
      </c>
      <c r="H25" s="200" t="s">
        <v>834</v>
      </c>
      <c r="I25" s="98">
        <v>2019.09</v>
      </c>
      <c r="M25" s="98" t="s">
        <v>589</v>
      </c>
    </row>
    <row r="26" spans="1:13" ht="16.5" customHeight="1">
      <c r="A26" s="98">
        <v>25</v>
      </c>
      <c r="B26" s="200" t="s">
        <v>781</v>
      </c>
      <c r="C26" s="98" t="s">
        <v>224</v>
      </c>
      <c r="D26" s="200" t="s">
        <v>566</v>
      </c>
      <c r="E26" s="98" t="s">
        <v>835</v>
      </c>
      <c r="F26" s="98" t="s">
        <v>93</v>
      </c>
      <c r="G26" s="98" t="s">
        <v>783</v>
      </c>
      <c r="H26" s="200" t="s">
        <v>836</v>
      </c>
      <c r="I26" s="98">
        <v>2019.09</v>
      </c>
      <c r="M26" s="98" t="s">
        <v>589</v>
      </c>
    </row>
    <row r="27" spans="1:13" ht="16.5" customHeight="1">
      <c r="A27" s="98">
        <v>26</v>
      </c>
      <c r="B27" s="200" t="s">
        <v>781</v>
      </c>
      <c r="C27" s="98" t="s">
        <v>262</v>
      </c>
      <c r="D27" s="200" t="s">
        <v>566</v>
      </c>
      <c r="E27" s="98" t="s">
        <v>837</v>
      </c>
      <c r="F27" s="98" t="s">
        <v>95</v>
      </c>
      <c r="G27" s="98" t="s">
        <v>783</v>
      </c>
      <c r="H27" s="200" t="s">
        <v>838</v>
      </c>
      <c r="I27" s="98">
        <v>2020.02</v>
      </c>
      <c r="J27" s="98">
        <v>1031.1600000000001</v>
      </c>
      <c r="K27" s="98">
        <v>207116269171</v>
      </c>
      <c r="L27" s="98">
        <v>200856971694</v>
      </c>
      <c r="M27" s="98" t="s">
        <v>562</v>
      </c>
    </row>
    <row r="28" spans="1:13" ht="16.5" customHeight="1">
      <c r="A28" s="98">
        <v>27</v>
      </c>
      <c r="B28" s="200" t="s">
        <v>781</v>
      </c>
      <c r="C28" s="98" t="s">
        <v>839</v>
      </c>
      <c r="D28" s="200" t="s">
        <v>566</v>
      </c>
      <c r="E28" s="98" t="s">
        <v>840</v>
      </c>
      <c r="F28" s="98" t="s">
        <v>93</v>
      </c>
      <c r="G28" s="200" t="s">
        <v>841</v>
      </c>
      <c r="H28" s="200" t="s">
        <v>842</v>
      </c>
      <c r="I28" s="98">
        <v>2020.03</v>
      </c>
      <c r="J28" s="98">
        <v>1299.6400000000001</v>
      </c>
      <c r="K28" s="98">
        <v>55529662618</v>
      </c>
      <c r="L28" s="98">
        <v>42726839911</v>
      </c>
      <c r="M28" s="98" t="s">
        <v>562</v>
      </c>
    </row>
    <row r="29" spans="1:13" ht="16.5" customHeight="1">
      <c r="A29" s="98">
        <v>28</v>
      </c>
      <c r="B29" s="200" t="s">
        <v>781</v>
      </c>
      <c r="C29" s="98" t="s">
        <v>843</v>
      </c>
      <c r="D29" s="200" t="s">
        <v>566</v>
      </c>
      <c r="E29" s="98" t="s">
        <v>844</v>
      </c>
      <c r="F29" s="98" t="s">
        <v>95</v>
      </c>
      <c r="G29" s="200" t="s">
        <v>845</v>
      </c>
      <c r="H29" s="200" t="s">
        <v>846</v>
      </c>
      <c r="I29" s="98">
        <v>2020.04</v>
      </c>
      <c r="J29" s="98">
        <v>922.55</v>
      </c>
      <c r="K29" s="98">
        <v>20789302387</v>
      </c>
      <c r="L29" s="98">
        <v>24540000000</v>
      </c>
      <c r="M29" s="98" t="s">
        <v>562</v>
      </c>
    </row>
    <row r="30" spans="1:13" ht="16.5" customHeight="1">
      <c r="A30" s="98">
        <v>29</v>
      </c>
      <c r="B30" s="200" t="s">
        <v>781</v>
      </c>
      <c r="C30" s="98" t="s">
        <v>274</v>
      </c>
      <c r="D30" s="200" t="s">
        <v>556</v>
      </c>
      <c r="E30" s="98" t="s">
        <v>847</v>
      </c>
      <c r="F30" s="98" t="s">
        <v>96</v>
      </c>
      <c r="G30" s="200" t="s">
        <v>848</v>
      </c>
      <c r="H30" s="200" t="s">
        <v>849</v>
      </c>
      <c r="I30" s="98">
        <v>2020.06</v>
      </c>
      <c r="J30" s="98">
        <v>1062.02</v>
      </c>
      <c r="K30" s="98">
        <v>71731183945</v>
      </c>
      <c r="L30" s="98">
        <v>67542387797</v>
      </c>
      <c r="M30" s="98" t="s">
        <v>562</v>
      </c>
    </row>
    <row r="31" spans="1:13" ht="16.5" customHeight="1">
      <c r="A31" s="98">
        <v>30</v>
      </c>
      <c r="B31" s="200" t="s">
        <v>781</v>
      </c>
      <c r="C31" s="98" t="s">
        <v>268</v>
      </c>
      <c r="D31" s="200" t="s">
        <v>566</v>
      </c>
      <c r="E31" s="98" t="s">
        <v>850</v>
      </c>
      <c r="F31" s="98" t="s">
        <v>95</v>
      </c>
      <c r="G31" s="98" t="s">
        <v>783</v>
      </c>
      <c r="H31" s="200" t="s">
        <v>851</v>
      </c>
      <c r="I31" s="98">
        <v>2020.1</v>
      </c>
      <c r="J31" s="98">
        <v>937.83</v>
      </c>
      <c r="K31" s="98">
        <v>107608051753</v>
      </c>
      <c r="L31" s="98">
        <v>114741689470</v>
      </c>
      <c r="M31" s="98" t="s">
        <v>562</v>
      </c>
    </row>
    <row r="32" spans="1:13" ht="16.5" customHeight="1">
      <c r="A32" s="98">
        <v>31</v>
      </c>
      <c r="B32" s="200" t="s">
        <v>781</v>
      </c>
      <c r="C32" s="98" t="s">
        <v>852</v>
      </c>
      <c r="D32" s="200" t="s">
        <v>566</v>
      </c>
      <c r="E32" s="98" t="s">
        <v>853</v>
      </c>
      <c r="F32" s="98" t="s">
        <v>95</v>
      </c>
      <c r="G32" s="98" t="s">
        <v>783</v>
      </c>
      <c r="H32" s="200" t="s">
        <v>854</v>
      </c>
      <c r="I32" s="98">
        <v>2020.11</v>
      </c>
      <c r="J32" s="98">
        <v>1006.69</v>
      </c>
      <c r="K32" s="98">
        <v>72286574787</v>
      </c>
      <c r="L32" s="98">
        <v>71806494093</v>
      </c>
      <c r="M32" s="98" t="s">
        <v>562</v>
      </c>
    </row>
    <row r="33" spans="1:13" ht="16.5" customHeight="1">
      <c r="A33" s="98">
        <v>32</v>
      </c>
      <c r="B33" s="200" t="s">
        <v>781</v>
      </c>
      <c r="C33" s="98" t="s">
        <v>855</v>
      </c>
      <c r="D33" s="200" t="s">
        <v>566</v>
      </c>
      <c r="E33" s="98" t="s">
        <v>856</v>
      </c>
      <c r="F33" s="98" t="s">
        <v>100</v>
      </c>
      <c r="G33" s="98" t="s">
        <v>857</v>
      </c>
      <c r="H33" s="200" t="s">
        <v>858</v>
      </c>
      <c r="I33" s="98">
        <v>2021.07</v>
      </c>
      <c r="J33" s="98">
        <v>1093.57</v>
      </c>
      <c r="K33" s="98">
        <v>110800000000</v>
      </c>
      <c r="L33" s="98" t="s">
        <v>636</v>
      </c>
      <c r="M33" s="98" t="s">
        <v>562</v>
      </c>
    </row>
    <row r="34" spans="1:13" ht="16.5" customHeight="1">
      <c r="A34" s="98">
        <v>33</v>
      </c>
      <c r="B34" s="200" t="s">
        <v>781</v>
      </c>
      <c r="C34" s="98" t="s">
        <v>859</v>
      </c>
      <c r="D34" s="200" t="s">
        <v>566</v>
      </c>
      <c r="E34" s="98" t="s">
        <v>860</v>
      </c>
      <c r="F34" s="98" t="s">
        <v>96</v>
      </c>
      <c r="G34" s="98" t="s">
        <v>861</v>
      </c>
      <c r="H34" s="200" t="s">
        <v>862</v>
      </c>
      <c r="I34" s="98">
        <v>2021.08</v>
      </c>
    </row>
    <row r="35" spans="1:13" ht="16.5" customHeight="1">
      <c r="A35" s="98">
        <v>34</v>
      </c>
      <c r="B35" s="200" t="s">
        <v>781</v>
      </c>
      <c r="C35" s="98" t="s">
        <v>863</v>
      </c>
      <c r="D35" s="200" t="s">
        <v>566</v>
      </c>
      <c r="E35" s="98" t="s">
        <v>864</v>
      </c>
      <c r="F35" s="98" t="s">
        <v>93</v>
      </c>
      <c r="G35" s="98" t="s">
        <v>783</v>
      </c>
      <c r="H35" s="200" t="s">
        <v>865</v>
      </c>
      <c r="I35" s="98">
        <v>2023.06</v>
      </c>
      <c r="J35" s="98">
        <v>707.82</v>
      </c>
      <c r="K35" s="98">
        <v>357549936</v>
      </c>
      <c r="L35" s="98">
        <v>505143482</v>
      </c>
      <c r="M35" s="98" t="s">
        <v>562</v>
      </c>
    </row>
    <row r="36" spans="1:13" ht="16.5" customHeight="1">
      <c r="A36" s="98">
        <v>35</v>
      </c>
      <c r="B36" s="200" t="s">
        <v>781</v>
      </c>
      <c r="C36" s="98" t="s">
        <v>866</v>
      </c>
      <c r="D36" s="200" t="s">
        <v>566</v>
      </c>
      <c r="E36" s="98" t="s">
        <v>867</v>
      </c>
      <c r="F36" s="98" t="s">
        <v>98</v>
      </c>
      <c r="G36" s="200" t="s">
        <v>868</v>
      </c>
      <c r="H36" s="200" t="s">
        <v>869</v>
      </c>
      <c r="I36" s="98">
        <v>2024.08</v>
      </c>
      <c r="J36" s="98">
        <v>1000</v>
      </c>
    </row>
    <row r="37" spans="1:13" ht="16.5" customHeight="1">
      <c r="A37" s="98">
        <v>36</v>
      </c>
      <c r="B37" s="200" t="s">
        <v>781</v>
      </c>
      <c r="C37" s="98" t="s">
        <v>284</v>
      </c>
      <c r="D37" s="200" t="s">
        <v>556</v>
      </c>
      <c r="E37" s="98" t="s">
        <v>870</v>
      </c>
      <c r="F37" s="98" t="s">
        <v>100</v>
      </c>
      <c r="G37" s="200" t="s">
        <v>871</v>
      </c>
      <c r="H37" s="200" t="s">
        <v>872</v>
      </c>
      <c r="I37" s="201">
        <v>38796</v>
      </c>
      <c r="J37" s="98">
        <v>816.38</v>
      </c>
      <c r="K37" s="98">
        <v>2172647100</v>
      </c>
      <c r="L37" s="98">
        <v>2661306398</v>
      </c>
      <c r="M37" s="98" t="s">
        <v>562</v>
      </c>
    </row>
    <row r="38" spans="1:13" ht="16.5" customHeight="1">
      <c r="A38" s="98">
        <v>37</v>
      </c>
      <c r="B38" s="200" t="s">
        <v>781</v>
      </c>
      <c r="C38" s="98" t="s">
        <v>147</v>
      </c>
      <c r="D38" s="200" t="s">
        <v>556</v>
      </c>
      <c r="E38" s="98" t="s">
        <v>873</v>
      </c>
      <c r="F38" s="98" t="s">
        <v>94</v>
      </c>
      <c r="G38" s="200" t="s">
        <v>841</v>
      </c>
      <c r="H38" s="200" t="s">
        <v>874</v>
      </c>
      <c r="I38" s="201">
        <v>39107</v>
      </c>
      <c r="J38" s="98">
        <v>1068.44</v>
      </c>
      <c r="K38" s="98">
        <v>30588861859</v>
      </c>
      <c r="L38" s="98">
        <v>28629586221</v>
      </c>
      <c r="M38" s="98" t="s">
        <v>562</v>
      </c>
    </row>
    <row r="39" spans="1:13" ht="16.5" customHeight="1">
      <c r="A39" s="98">
        <v>38</v>
      </c>
      <c r="B39" s="200" t="s">
        <v>781</v>
      </c>
      <c r="C39" s="98" t="s">
        <v>145</v>
      </c>
      <c r="D39" s="200" t="s">
        <v>556</v>
      </c>
      <c r="E39" s="98" t="s">
        <v>875</v>
      </c>
      <c r="F39" s="98" t="s">
        <v>94</v>
      </c>
      <c r="G39" s="200" t="s">
        <v>841</v>
      </c>
      <c r="H39" s="200" t="s">
        <v>876</v>
      </c>
      <c r="I39" s="201">
        <v>39363</v>
      </c>
      <c r="J39" s="98">
        <v>646.14</v>
      </c>
      <c r="K39" s="98">
        <v>3028655367</v>
      </c>
      <c r="L39" s="98">
        <v>4687304220</v>
      </c>
      <c r="M39" s="98" t="s">
        <v>562</v>
      </c>
    </row>
    <row r="40" spans="1:13" ht="16.5" customHeight="1">
      <c r="A40" s="98">
        <v>39</v>
      </c>
      <c r="B40" s="200" t="s">
        <v>781</v>
      </c>
      <c r="C40" s="98" t="s">
        <v>141</v>
      </c>
      <c r="D40" s="200" t="s">
        <v>556</v>
      </c>
      <c r="E40" s="98" t="s">
        <v>877</v>
      </c>
      <c r="F40" s="98" t="s">
        <v>94</v>
      </c>
      <c r="G40" s="200" t="s">
        <v>841</v>
      </c>
      <c r="H40" s="200" t="s">
        <v>878</v>
      </c>
      <c r="I40" s="201">
        <v>39595</v>
      </c>
      <c r="J40" s="98">
        <v>499</v>
      </c>
      <c r="K40" s="98">
        <v>8487368490</v>
      </c>
      <c r="L40" s="98">
        <v>17008706671</v>
      </c>
      <c r="M40" s="98" t="s">
        <v>562</v>
      </c>
    </row>
    <row r="41" spans="1:13" ht="16.5" customHeight="1">
      <c r="A41" s="98">
        <v>40</v>
      </c>
      <c r="B41" s="200" t="s">
        <v>781</v>
      </c>
      <c r="C41" s="98" t="s">
        <v>144</v>
      </c>
      <c r="D41" s="200" t="s">
        <v>556</v>
      </c>
      <c r="E41" s="98" t="s">
        <v>879</v>
      </c>
      <c r="F41" s="98" t="s">
        <v>94</v>
      </c>
      <c r="G41" s="200" t="s">
        <v>841</v>
      </c>
      <c r="H41" s="200" t="s">
        <v>880</v>
      </c>
      <c r="I41" s="201">
        <v>40214</v>
      </c>
      <c r="J41" s="98">
        <v>1172.79</v>
      </c>
      <c r="K41" s="98">
        <v>8462729653</v>
      </c>
      <c r="L41" s="98">
        <v>7215871346</v>
      </c>
      <c r="M41" s="98" t="s">
        <v>562</v>
      </c>
    </row>
    <row r="42" spans="1:13" ht="16.5" customHeight="1">
      <c r="A42" s="98">
        <v>41</v>
      </c>
      <c r="B42" s="200" t="s">
        <v>781</v>
      </c>
      <c r="C42" s="98" t="s">
        <v>289</v>
      </c>
      <c r="D42" s="200" t="s">
        <v>556</v>
      </c>
      <c r="E42" s="98" t="s">
        <v>881</v>
      </c>
      <c r="F42" s="98" t="s">
        <v>95</v>
      </c>
      <c r="G42" s="200" t="s">
        <v>871</v>
      </c>
      <c r="H42" s="200" t="s">
        <v>882</v>
      </c>
      <c r="I42" s="201">
        <v>40241</v>
      </c>
      <c r="J42" s="98">
        <v>834.74</v>
      </c>
      <c r="K42" s="98">
        <v>3922159784</v>
      </c>
      <c r="L42" s="98">
        <v>4698643520</v>
      </c>
      <c r="M42" s="98" t="s">
        <v>562</v>
      </c>
    </row>
    <row r="43" spans="1:13" ht="16.5" customHeight="1">
      <c r="A43" s="98">
        <v>42</v>
      </c>
      <c r="B43" s="200" t="s">
        <v>781</v>
      </c>
      <c r="C43" s="98" t="s">
        <v>142</v>
      </c>
      <c r="D43" s="200" t="s">
        <v>556</v>
      </c>
      <c r="E43" s="98" t="s">
        <v>883</v>
      </c>
      <c r="F43" s="98" t="s">
        <v>95</v>
      </c>
      <c r="G43" s="200" t="s">
        <v>841</v>
      </c>
      <c r="H43" s="200" t="s">
        <v>884</v>
      </c>
      <c r="I43" s="201">
        <v>41390</v>
      </c>
      <c r="J43" s="98">
        <v>635.16</v>
      </c>
      <c r="K43" s="98">
        <v>6107201739</v>
      </c>
      <c r="L43" s="98">
        <v>9615255669</v>
      </c>
      <c r="M43" s="98" t="s">
        <v>562</v>
      </c>
    </row>
    <row r="44" spans="1:13" ht="16.5" customHeight="1">
      <c r="A44" s="98">
        <v>43</v>
      </c>
      <c r="B44" s="200" t="s">
        <v>781</v>
      </c>
      <c r="C44" s="98" t="s">
        <v>57</v>
      </c>
      <c r="D44" s="200" t="s">
        <v>556</v>
      </c>
      <c r="E44" s="98" t="s">
        <v>885</v>
      </c>
      <c r="F44" s="98" t="s">
        <v>94</v>
      </c>
      <c r="G44" s="200" t="s">
        <v>841</v>
      </c>
      <c r="H44" s="200" t="s">
        <v>886</v>
      </c>
      <c r="I44" s="201">
        <v>41843</v>
      </c>
      <c r="J44" s="98">
        <v>597.63</v>
      </c>
      <c r="K44" s="98">
        <v>25873125572</v>
      </c>
      <c r="L44" s="98">
        <v>43293152685</v>
      </c>
      <c r="M44" s="98" t="s">
        <v>562</v>
      </c>
    </row>
    <row r="45" spans="1:13" ht="16.5" customHeight="1">
      <c r="A45" s="98">
        <v>44</v>
      </c>
      <c r="B45" s="200" t="s">
        <v>781</v>
      </c>
      <c r="C45" s="98" t="s">
        <v>199</v>
      </c>
      <c r="D45" s="200" t="s">
        <v>556</v>
      </c>
      <c r="E45" s="98" t="s">
        <v>887</v>
      </c>
      <c r="F45" s="98" t="s">
        <v>97</v>
      </c>
      <c r="G45" s="200" t="s">
        <v>841</v>
      </c>
      <c r="H45" s="200" t="s">
        <v>888</v>
      </c>
      <c r="I45" s="201">
        <v>42417</v>
      </c>
      <c r="J45" s="98">
        <v>1722.33</v>
      </c>
      <c r="K45" s="98">
        <v>446226291533</v>
      </c>
      <c r="L45" s="98">
        <v>259082904371</v>
      </c>
      <c r="M45" s="98" t="s">
        <v>562</v>
      </c>
    </row>
    <row r="46" spans="1:13" ht="16.5" customHeight="1">
      <c r="A46" s="98">
        <v>45</v>
      </c>
      <c r="B46" s="200" t="s">
        <v>781</v>
      </c>
      <c r="C46" s="98" t="s">
        <v>164</v>
      </c>
      <c r="D46" s="200" t="s">
        <v>556</v>
      </c>
      <c r="E46" s="98" t="s">
        <v>889</v>
      </c>
      <c r="F46" s="98" t="s">
        <v>97</v>
      </c>
      <c r="G46" s="200" t="s">
        <v>871</v>
      </c>
      <c r="H46" s="200" t="s">
        <v>890</v>
      </c>
      <c r="I46" s="201">
        <v>42480</v>
      </c>
      <c r="J46" s="98">
        <v>1067.1199999999999</v>
      </c>
      <c r="K46" s="98">
        <v>20321006197</v>
      </c>
      <c r="L46" s="98">
        <v>19042854307</v>
      </c>
      <c r="M46" s="98" t="s">
        <v>589</v>
      </c>
    </row>
    <row r="47" spans="1:13" ht="16.5" customHeight="1">
      <c r="A47" s="98">
        <v>46</v>
      </c>
      <c r="B47" s="200" t="s">
        <v>781</v>
      </c>
      <c r="C47" s="98" t="s">
        <v>166</v>
      </c>
      <c r="D47" s="200" t="s">
        <v>556</v>
      </c>
      <c r="E47" s="98" t="s">
        <v>891</v>
      </c>
      <c r="F47" s="98" t="s">
        <v>95</v>
      </c>
      <c r="G47" s="98" t="s">
        <v>892</v>
      </c>
      <c r="H47" s="200" t="s">
        <v>893</v>
      </c>
      <c r="I47" s="201">
        <v>42510</v>
      </c>
      <c r="J47" s="98">
        <v>1851.63</v>
      </c>
      <c r="K47" s="98">
        <v>361251000000</v>
      </c>
      <c r="L47" s="98">
        <v>186895000000</v>
      </c>
      <c r="M47" s="98" t="s">
        <v>562</v>
      </c>
    </row>
    <row r="48" spans="1:13" ht="16.5" customHeight="1">
      <c r="A48" s="98">
        <v>47</v>
      </c>
      <c r="B48" s="200" t="s">
        <v>781</v>
      </c>
      <c r="C48" s="98" t="s">
        <v>165</v>
      </c>
      <c r="D48" s="200" t="s">
        <v>556</v>
      </c>
      <c r="E48" s="98" t="s">
        <v>894</v>
      </c>
      <c r="F48" s="98" t="s">
        <v>97</v>
      </c>
      <c r="G48" s="200" t="s">
        <v>841</v>
      </c>
      <c r="H48" s="200" t="s">
        <v>895</v>
      </c>
      <c r="I48" s="201">
        <v>42571</v>
      </c>
      <c r="J48" s="98">
        <v>953.1</v>
      </c>
      <c r="K48" s="98">
        <v>129324793915</v>
      </c>
      <c r="L48" s="98">
        <v>135688639377</v>
      </c>
      <c r="M48" s="98" t="s">
        <v>562</v>
      </c>
    </row>
    <row r="49" spans="1:13" ht="16.5" customHeight="1">
      <c r="A49" s="98">
        <v>48</v>
      </c>
      <c r="B49" s="200" t="s">
        <v>781</v>
      </c>
      <c r="C49" s="98" t="s">
        <v>192</v>
      </c>
      <c r="D49" s="200" t="s">
        <v>556</v>
      </c>
      <c r="E49" s="98" t="s">
        <v>896</v>
      </c>
      <c r="F49" s="98" t="s">
        <v>95</v>
      </c>
      <c r="G49" s="200" t="s">
        <v>841</v>
      </c>
      <c r="H49" s="200" t="s">
        <v>897</v>
      </c>
      <c r="I49" s="201">
        <v>43209</v>
      </c>
      <c r="J49" s="98">
        <v>779.2</v>
      </c>
      <c r="K49" s="98">
        <v>16400592060</v>
      </c>
      <c r="L49" s="98">
        <v>21048118155</v>
      </c>
      <c r="M49" s="98" t="s">
        <v>562</v>
      </c>
    </row>
    <row r="50" spans="1:13" ht="16.5" customHeight="1">
      <c r="A50" s="98">
        <v>49</v>
      </c>
      <c r="B50" s="200" t="s">
        <v>781</v>
      </c>
      <c r="C50" s="98" t="s">
        <v>898</v>
      </c>
      <c r="D50" s="200" t="s">
        <v>566</v>
      </c>
      <c r="E50" s="98" t="s">
        <v>899</v>
      </c>
      <c r="F50" s="98" t="s">
        <v>93</v>
      </c>
      <c r="G50" s="98" t="s">
        <v>900</v>
      </c>
      <c r="H50" s="200" t="s">
        <v>901</v>
      </c>
      <c r="I50" s="98" t="s">
        <v>902</v>
      </c>
      <c r="J50" s="98">
        <v>1140.95</v>
      </c>
      <c r="K50" s="98">
        <v>106227335</v>
      </c>
      <c r="L50" s="98">
        <v>93104149</v>
      </c>
      <c r="M50" s="200" t="s">
        <v>903</v>
      </c>
    </row>
    <row r="51" spans="1:13" ht="16.5" customHeight="1">
      <c r="A51" s="98">
        <v>50</v>
      </c>
      <c r="B51" s="200" t="s">
        <v>781</v>
      </c>
      <c r="C51" s="98" t="s">
        <v>904</v>
      </c>
      <c r="D51" s="200" t="s">
        <v>566</v>
      </c>
      <c r="E51" s="98" t="s">
        <v>905</v>
      </c>
      <c r="F51" s="98" t="s">
        <v>93</v>
      </c>
      <c r="G51" s="98" t="s">
        <v>783</v>
      </c>
      <c r="H51" s="200" t="s">
        <v>906</v>
      </c>
      <c r="I51" s="98" t="s">
        <v>907</v>
      </c>
      <c r="J51" s="98">
        <v>1197.43</v>
      </c>
      <c r="K51" s="98">
        <v>71100000000</v>
      </c>
    </row>
    <row r="52" spans="1:13" ht="16.5" customHeight="1">
      <c r="A52" s="98">
        <v>51</v>
      </c>
      <c r="B52" s="200" t="s">
        <v>781</v>
      </c>
      <c r="C52" s="98" t="s">
        <v>908</v>
      </c>
      <c r="D52" s="200" t="s">
        <v>566</v>
      </c>
      <c r="E52" s="98" t="s">
        <v>909</v>
      </c>
      <c r="F52" s="98" t="s">
        <v>100</v>
      </c>
      <c r="G52" s="98" t="s">
        <v>783</v>
      </c>
      <c r="H52" s="200" t="s">
        <v>910</v>
      </c>
      <c r="I52" s="98" t="s">
        <v>911</v>
      </c>
      <c r="L52" s="98">
        <v>10882413293</v>
      </c>
      <c r="M52" s="200" t="s">
        <v>903</v>
      </c>
    </row>
    <row r="53" spans="1:13" ht="16.5" customHeight="1">
      <c r="A53" s="98">
        <v>52</v>
      </c>
      <c r="B53" s="200" t="s">
        <v>781</v>
      </c>
      <c r="C53" s="98" t="s">
        <v>912</v>
      </c>
      <c r="D53" s="200" t="s">
        <v>566</v>
      </c>
      <c r="E53" s="98" t="s">
        <v>913</v>
      </c>
      <c r="F53" s="98" t="s">
        <v>100</v>
      </c>
      <c r="G53" s="98" t="s">
        <v>783</v>
      </c>
      <c r="H53" s="200" t="s">
        <v>914</v>
      </c>
      <c r="I53" s="98" t="s">
        <v>915</v>
      </c>
      <c r="J53" s="98">
        <v>1044.46</v>
      </c>
      <c r="K53" s="98">
        <v>14670359210</v>
      </c>
      <c r="L53" s="98">
        <v>14045837291</v>
      </c>
    </row>
    <row r="54" spans="1:13" ht="16.5" customHeight="1">
      <c r="A54" s="98">
        <v>53</v>
      </c>
      <c r="B54" s="200" t="s">
        <v>781</v>
      </c>
      <c r="C54" s="98" t="s">
        <v>443</v>
      </c>
      <c r="D54" s="200" t="s">
        <v>566</v>
      </c>
      <c r="E54" s="98" t="s">
        <v>916</v>
      </c>
      <c r="F54" s="98" t="s">
        <v>100</v>
      </c>
      <c r="G54" s="98" t="s">
        <v>783</v>
      </c>
      <c r="H54" s="200" t="s">
        <v>917</v>
      </c>
      <c r="I54" s="98" t="s">
        <v>918</v>
      </c>
      <c r="J54" s="98">
        <v>1006.17</v>
      </c>
      <c r="K54" s="98">
        <v>16278270191</v>
      </c>
      <c r="L54" s="98">
        <v>16178475945</v>
      </c>
      <c r="M54" s="200" t="s">
        <v>903</v>
      </c>
    </row>
    <row r="55" spans="1:13" ht="16.5" customHeight="1">
      <c r="A55" s="98">
        <v>54</v>
      </c>
      <c r="B55" s="200" t="s">
        <v>781</v>
      </c>
      <c r="C55" s="98" t="s">
        <v>919</v>
      </c>
      <c r="D55" s="200" t="s">
        <v>566</v>
      </c>
      <c r="E55" s="98" t="s">
        <v>920</v>
      </c>
      <c r="F55" s="98" t="s">
        <v>100</v>
      </c>
      <c r="G55" s="98" t="s">
        <v>783</v>
      </c>
      <c r="H55" s="200" t="s">
        <v>921</v>
      </c>
      <c r="I55" s="98" t="s">
        <v>922</v>
      </c>
      <c r="J55" s="98">
        <v>999.89</v>
      </c>
      <c r="K55" s="98">
        <v>7291294172</v>
      </c>
      <c r="L55" s="98">
        <v>7292091652</v>
      </c>
    </row>
    <row r="56" spans="1:13" ht="16.5" customHeight="1">
      <c r="A56" s="98">
        <v>55</v>
      </c>
      <c r="B56" s="200" t="s">
        <v>781</v>
      </c>
      <c r="C56" s="98" t="s">
        <v>923</v>
      </c>
      <c r="D56" s="200" t="s">
        <v>566</v>
      </c>
      <c r="E56" s="98" t="s">
        <v>924</v>
      </c>
      <c r="F56" s="98" t="s">
        <v>403</v>
      </c>
      <c r="G56" s="98" t="s">
        <v>783</v>
      </c>
      <c r="H56" s="200" t="s">
        <v>925</v>
      </c>
      <c r="I56" s="98" t="s">
        <v>926</v>
      </c>
      <c r="J56" s="98">
        <v>1000</v>
      </c>
      <c r="K56" s="98">
        <v>300000000</v>
      </c>
    </row>
    <row r="57" spans="1:13" ht="16.5" customHeight="1">
      <c r="A57" s="98">
        <v>56</v>
      </c>
      <c r="B57" s="200" t="s">
        <v>781</v>
      </c>
      <c r="C57" s="98" t="s">
        <v>927</v>
      </c>
      <c r="D57" s="200" t="s">
        <v>566</v>
      </c>
      <c r="E57" s="98" t="s">
        <v>928</v>
      </c>
      <c r="F57" s="98" t="s">
        <v>98</v>
      </c>
      <c r="G57" s="98" t="s">
        <v>783</v>
      </c>
      <c r="H57" s="200" t="s">
        <v>929</v>
      </c>
      <c r="I57" s="98" t="s">
        <v>930</v>
      </c>
      <c r="J57" s="98">
        <v>1000</v>
      </c>
    </row>
    <row r="58" spans="1:13" ht="16.5" customHeight="1">
      <c r="A58" s="98">
        <v>57</v>
      </c>
      <c r="B58" s="200" t="s">
        <v>781</v>
      </c>
      <c r="C58" s="98" t="s">
        <v>931</v>
      </c>
      <c r="D58" s="200" t="s">
        <v>566</v>
      </c>
      <c r="E58" s="98" t="s">
        <v>932</v>
      </c>
      <c r="F58" s="98" t="s">
        <v>98</v>
      </c>
      <c r="G58" s="98" t="s">
        <v>783</v>
      </c>
      <c r="H58" s="200" t="s">
        <v>933</v>
      </c>
      <c r="I58" s="98" t="s">
        <v>934</v>
      </c>
      <c r="J58" s="98">
        <v>1000</v>
      </c>
    </row>
    <row r="59" spans="1:13" ht="16.5" customHeight="1">
      <c r="A59" s="98">
        <v>58</v>
      </c>
      <c r="B59" s="200" t="s">
        <v>781</v>
      </c>
      <c r="C59" s="98" t="s">
        <v>935</v>
      </c>
      <c r="D59" s="200" t="s">
        <v>566</v>
      </c>
      <c r="E59" s="98" t="s">
        <v>936</v>
      </c>
      <c r="F59" s="98" t="s">
        <v>98</v>
      </c>
      <c r="G59" s="98" t="s">
        <v>783</v>
      </c>
      <c r="H59" s="200" t="s">
        <v>937</v>
      </c>
      <c r="I59" s="98" t="s">
        <v>938</v>
      </c>
      <c r="J59" s="98">
        <v>1000</v>
      </c>
      <c r="M59" s="98" t="s">
        <v>936</v>
      </c>
    </row>
    <row r="60" spans="1:13" ht="16.5" customHeight="1">
      <c r="A60" s="98">
        <v>59</v>
      </c>
      <c r="B60" s="200" t="s">
        <v>781</v>
      </c>
      <c r="C60" s="98" t="s">
        <v>939</v>
      </c>
      <c r="D60" s="200" t="s">
        <v>566</v>
      </c>
      <c r="E60" s="98" t="s">
        <v>940</v>
      </c>
      <c r="F60" s="98" t="s">
        <v>98</v>
      </c>
      <c r="G60" s="200" t="s">
        <v>941</v>
      </c>
      <c r="H60" s="200" t="s">
        <v>942</v>
      </c>
      <c r="I60" s="98" t="s">
        <v>943</v>
      </c>
      <c r="J60" s="98">
        <v>1000</v>
      </c>
    </row>
    <row r="61" spans="1:13" ht="16.5" customHeight="1">
      <c r="A61" s="98">
        <v>60</v>
      </c>
      <c r="B61" s="200" t="s">
        <v>781</v>
      </c>
      <c r="C61" s="98" t="s">
        <v>944</v>
      </c>
      <c r="D61" s="200" t="s">
        <v>566</v>
      </c>
      <c r="E61" s="98" t="s">
        <v>945</v>
      </c>
      <c r="F61" s="98" t="s">
        <v>98</v>
      </c>
      <c r="G61" s="200" t="s">
        <v>868</v>
      </c>
      <c r="H61" s="200" t="s">
        <v>946</v>
      </c>
      <c r="I61" s="98" t="s">
        <v>947</v>
      </c>
      <c r="J61" s="98">
        <v>1000</v>
      </c>
    </row>
    <row r="62" spans="1:13" ht="16.5" customHeight="1">
      <c r="A62" s="98">
        <v>61</v>
      </c>
      <c r="B62" s="200" t="s">
        <v>781</v>
      </c>
      <c r="C62" s="98" t="s">
        <v>454</v>
      </c>
      <c r="D62" s="200" t="s">
        <v>566</v>
      </c>
      <c r="E62" s="98" t="s">
        <v>948</v>
      </c>
      <c r="F62" s="98" t="s">
        <v>98</v>
      </c>
      <c r="G62" s="200" t="s">
        <v>868</v>
      </c>
      <c r="H62" s="200" t="s">
        <v>949</v>
      </c>
      <c r="I62" s="98" t="s">
        <v>950</v>
      </c>
      <c r="J62" s="98">
        <v>1000</v>
      </c>
    </row>
    <row r="63" spans="1:13" ht="16.5" customHeight="1">
      <c r="A63" s="98">
        <v>62</v>
      </c>
      <c r="B63" s="200" t="s">
        <v>781</v>
      </c>
      <c r="C63" s="98" t="s">
        <v>951</v>
      </c>
      <c r="D63" s="200" t="s">
        <v>566</v>
      </c>
      <c r="E63" s="98" t="s">
        <v>952</v>
      </c>
      <c r="F63" s="98" t="s">
        <v>953</v>
      </c>
      <c r="G63" s="200" t="s">
        <v>941</v>
      </c>
      <c r="H63" s="200" t="s">
        <v>954</v>
      </c>
      <c r="I63" s="98" t="s">
        <v>955</v>
      </c>
      <c r="J63" s="98">
        <v>1000</v>
      </c>
    </row>
    <row r="64" spans="1:13" ht="15" customHeight="1">
      <c r="A64" s="98">
        <v>63</v>
      </c>
      <c r="B64" s="200" t="s">
        <v>781</v>
      </c>
      <c r="C64" s="98" t="s">
        <v>402</v>
      </c>
      <c r="D64" s="200" t="s">
        <v>566</v>
      </c>
      <c r="E64" s="98" t="s">
        <v>956</v>
      </c>
      <c r="F64" s="98" t="s">
        <v>953</v>
      </c>
      <c r="G64" s="200" t="s">
        <v>957</v>
      </c>
      <c r="H64" s="200" t="s">
        <v>958</v>
      </c>
      <c r="I64" s="98" t="s">
        <v>959</v>
      </c>
      <c r="J64" s="98">
        <v>1019.11</v>
      </c>
    </row>
    <row r="65" spans="1:13" ht="16.5" customHeight="1">
      <c r="A65" s="98">
        <v>64</v>
      </c>
      <c r="B65" s="200" t="s">
        <v>781</v>
      </c>
      <c r="C65" s="98" t="s">
        <v>960</v>
      </c>
      <c r="D65" s="200" t="s">
        <v>566</v>
      </c>
      <c r="E65" s="98" t="s">
        <v>961</v>
      </c>
      <c r="F65" s="98" t="s">
        <v>98</v>
      </c>
      <c r="G65" s="200" t="s">
        <v>868</v>
      </c>
      <c r="H65" s="200" t="s">
        <v>962</v>
      </c>
      <c r="I65" s="98" t="s">
        <v>963</v>
      </c>
      <c r="J65" s="98">
        <v>1000</v>
      </c>
    </row>
    <row r="66" spans="1:13" ht="16.5" customHeight="1">
      <c r="A66" s="98">
        <v>65</v>
      </c>
      <c r="B66" s="200" t="s">
        <v>781</v>
      </c>
      <c r="C66" s="98" t="s">
        <v>964</v>
      </c>
      <c r="D66" s="200" t="s">
        <v>566</v>
      </c>
      <c r="E66" s="98" t="s">
        <v>965</v>
      </c>
      <c r="F66" s="98" t="s">
        <v>953</v>
      </c>
      <c r="G66" s="200" t="s">
        <v>868</v>
      </c>
      <c r="H66" s="200" t="s">
        <v>966</v>
      </c>
      <c r="I66" s="98" t="s">
        <v>967</v>
      </c>
      <c r="J66" s="98">
        <v>1000</v>
      </c>
    </row>
    <row r="67" spans="1:13" ht="16.5" customHeight="1">
      <c r="A67" s="98">
        <v>66</v>
      </c>
      <c r="B67" s="200" t="s">
        <v>781</v>
      </c>
      <c r="C67" s="98" t="s">
        <v>968</v>
      </c>
      <c r="D67" s="200" t="s">
        <v>566</v>
      </c>
      <c r="E67" s="98" t="s">
        <v>969</v>
      </c>
      <c r="F67" s="98" t="s">
        <v>98</v>
      </c>
      <c r="G67" s="200" t="s">
        <v>970</v>
      </c>
      <c r="H67" s="200" t="s">
        <v>971</v>
      </c>
      <c r="I67" s="98" t="s">
        <v>972</v>
      </c>
      <c r="J67" s="98">
        <v>1000</v>
      </c>
    </row>
    <row r="68" spans="1:13" ht="16.5" customHeight="1">
      <c r="A68" s="98">
        <v>67</v>
      </c>
      <c r="B68" s="200" t="s">
        <v>781</v>
      </c>
      <c r="C68" s="98" t="s">
        <v>973</v>
      </c>
      <c r="D68" s="200" t="s">
        <v>566</v>
      </c>
      <c r="E68" s="98" t="s">
        <v>974</v>
      </c>
      <c r="F68" s="98" t="s">
        <v>98</v>
      </c>
      <c r="G68" s="200" t="s">
        <v>970</v>
      </c>
      <c r="H68" s="200" t="s">
        <v>975</v>
      </c>
      <c r="I68" s="98" t="s">
        <v>976</v>
      </c>
      <c r="J68" s="98">
        <v>1000</v>
      </c>
    </row>
    <row r="69" spans="1:13" ht="16.5" customHeight="1">
      <c r="A69" s="98">
        <v>68</v>
      </c>
      <c r="B69" s="200" t="s">
        <v>781</v>
      </c>
      <c r="C69" s="98" t="s">
        <v>977</v>
      </c>
      <c r="D69" s="200" t="s">
        <v>566</v>
      </c>
      <c r="E69" s="98" t="s">
        <v>978</v>
      </c>
      <c r="F69" s="98" t="s">
        <v>98</v>
      </c>
      <c r="G69" s="200" t="s">
        <v>941</v>
      </c>
      <c r="H69" s="200" t="s">
        <v>979</v>
      </c>
      <c r="I69" s="98" t="s">
        <v>980</v>
      </c>
      <c r="J69" s="98">
        <v>1000</v>
      </c>
    </row>
    <row r="70" spans="1:13" ht="16.5" customHeight="1">
      <c r="A70" s="98">
        <v>69</v>
      </c>
      <c r="B70" s="200" t="s">
        <v>781</v>
      </c>
      <c r="C70" s="98" t="s">
        <v>981</v>
      </c>
      <c r="D70" s="200" t="s">
        <v>566</v>
      </c>
      <c r="E70" s="98" t="s">
        <v>982</v>
      </c>
      <c r="F70" s="98" t="s">
        <v>98</v>
      </c>
      <c r="G70" s="200" t="s">
        <v>868</v>
      </c>
      <c r="H70" s="200" t="s">
        <v>983</v>
      </c>
      <c r="I70" s="98" t="s">
        <v>984</v>
      </c>
      <c r="J70" s="98">
        <v>1000</v>
      </c>
    </row>
    <row r="71" spans="1:13" ht="16.5" customHeight="1">
      <c r="A71" s="98">
        <v>70</v>
      </c>
      <c r="B71" s="200" t="s">
        <v>781</v>
      </c>
      <c r="C71" s="98" t="s">
        <v>985</v>
      </c>
      <c r="D71" s="200" t="s">
        <v>566</v>
      </c>
      <c r="E71" s="98" t="s">
        <v>986</v>
      </c>
      <c r="F71" s="98" t="s">
        <v>953</v>
      </c>
      <c r="G71" s="200" t="s">
        <v>868</v>
      </c>
      <c r="H71" s="200" t="s">
        <v>987</v>
      </c>
      <c r="I71" s="98" t="s">
        <v>988</v>
      </c>
      <c r="J71" s="98">
        <v>1000</v>
      </c>
    </row>
    <row r="72" spans="1:13" ht="16.5" customHeight="1">
      <c r="A72" s="98">
        <v>71</v>
      </c>
      <c r="B72" s="200" t="s">
        <v>781</v>
      </c>
      <c r="C72" s="98" t="s">
        <v>989</v>
      </c>
      <c r="D72" s="200" t="s">
        <v>566</v>
      </c>
      <c r="E72" s="98" t="s">
        <v>990</v>
      </c>
      <c r="F72" s="98" t="s">
        <v>953</v>
      </c>
      <c r="G72" s="200" t="s">
        <v>941</v>
      </c>
      <c r="H72" s="200" t="s">
        <v>991</v>
      </c>
      <c r="I72" s="98" t="s">
        <v>992</v>
      </c>
      <c r="J72" s="98">
        <v>1000</v>
      </c>
    </row>
    <row r="73" spans="1:13" ht="16.5" customHeight="1">
      <c r="A73" s="98">
        <v>72</v>
      </c>
      <c r="B73" s="200" t="s">
        <v>781</v>
      </c>
      <c r="C73" s="98" t="s">
        <v>143</v>
      </c>
      <c r="D73" s="200" t="s">
        <v>556</v>
      </c>
      <c r="E73" s="98" t="s">
        <v>993</v>
      </c>
      <c r="F73" s="98" t="s">
        <v>94</v>
      </c>
      <c r="G73" s="200" t="s">
        <v>871</v>
      </c>
      <c r="H73" s="200" t="s">
        <v>994</v>
      </c>
      <c r="I73" s="98" t="s">
        <v>995</v>
      </c>
      <c r="J73" s="98">
        <v>2142.46</v>
      </c>
      <c r="K73" s="98">
        <v>75185538794</v>
      </c>
      <c r="L73" s="98">
        <v>35093055294</v>
      </c>
      <c r="M73" s="98" t="s">
        <v>589</v>
      </c>
    </row>
    <row r="74" spans="1:13" ht="16.5" customHeight="1">
      <c r="A74" s="98">
        <v>73</v>
      </c>
      <c r="B74" s="200" t="s">
        <v>781</v>
      </c>
      <c r="C74" s="98" t="s">
        <v>162</v>
      </c>
      <c r="D74" s="200" t="s">
        <v>556</v>
      </c>
      <c r="E74" s="98" t="s">
        <v>996</v>
      </c>
      <c r="F74" s="98" t="s">
        <v>93</v>
      </c>
      <c r="G74" s="200" t="s">
        <v>848</v>
      </c>
      <c r="H74" s="200" t="s">
        <v>997</v>
      </c>
      <c r="I74" s="98">
        <v>2015.02</v>
      </c>
      <c r="J74" s="98">
        <v>1051.9100000000001</v>
      </c>
      <c r="K74" s="98">
        <v>20038031709</v>
      </c>
      <c r="L74" s="98">
        <v>19049159925</v>
      </c>
      <c r="M74" s="98" t="s">
        <v>562</v>
      </c>
    </row>
    <row r="75" spans="1:13" ht="16.5" customHeight="1">
      <c r="A75" s="98">
        <v>74</v>
      </c>
      <c r="B75" s="200" t="s">
        <v>781</v>
      </c>
      <c r="C75" s="98" t="s">
        <v>193</v>
      </c>
      <c r="D75" s="200" t="s">
        <v>556</v>
      </c>
      <c r="E75" s="98" t="s">
        <v>998</v>
      </c>
      <c r="F75" s="98" t="s">
        <v>94</v>
      </c>
      <c r="G75" s="200" t="s">
        <v>848</v>
      </c>
      <c r="H75" s="200" t="s">
        <v>999</v>
      </c>
      <c r="I75" s="98">
        <v>2019.08</v>
      </c>
      <c r="J75" s="98" t="s">
        <v>636</v>
      </c>
      <c r="K75" s="98" t="s">
        <v>636</v>
      </c>
      <c r="L75" s="98" t="s">
        <v>636</v>
      </c>
      <c r="M75" s="98" t="s">
        <v>589</v>
      </c>
    </row>
    <row r="76" spans="1:13" ht="16.5" customHeight="1">
      <c r="A76" s="98">
        <v>75</v>
      </c>
      <c r="B76" s="200" t="s">
        <v>781</v>
      </c>
      <c r="C76" s="98" t="s">
        <v>198</v>
      </c>
      <c r="D76" s="200" t="s">
        <v>556</v>
      </c>
      <c r="E76" s="98" t="s">
        <v>1000</v>
      </c>
      <c r="F76" s="98" t="s">
        <v>97</v>
      </c>
      <c r="G76" s="200" t="s">
        <v>871</v>
      </c>
      <c r="H76" s="200" t="s">
        <v>1001</v>
      </c>
      <c r="I76" s="98" t="s">
        <v>1002</v>
      </c>
      <c r="J76" s="98">
        <v>1541.13</v>
      </c>
      <c r="K76" s="98">
        <v>978050379689</v>
      </c>
      <c r="L76" s="98">
        <v>634632522064</v>
      </c>
      <c r="M76" s="98" t="s">
        <v>589</v>
      </c>
    </row>
    <row r="77" spans="1:13" ht="16.5" customHeight="1">
      <c r="A77" s="98">
        <v>76</v>
      </c>
      <c r="B77" s="200" t="s">
        <v>781</v>
      </c>
      <c r="C77" s="98" t="s">
        <v>1003</v>
      </c>
      <c r="D77" s="200" t="s">
        <v>566</v>
      </c>
      <c r="E77" s="98" t="s">
        <v>1004</v>
      </c>
      <c r="F77" s="98" t="s">
        <v>95</v>
      </c>
      <c r="G77" s="98" t="s">
        <v>783</v>
      </c>
      <c r="H77" s="200" t="s">
        <v>1005</v>
      </c>
      <c r="I77" s="98" t="s">
        <v>1006</v>
      </c>
      <c r="J77" s="98">
        <v>1586.93</v>
      </c>
      <c r="K77" s="98">
        <v>118260000000</v>
      </c>
    </row>
    <row r="78" spans="1:13" ht="16.5" customHeight="1">
      <c r="A78" s="98">
        <v>77</v>
      </c>
      <c r="B78" s="200" t="s">
        <v>781</v>
      </c>
      <c r="C78" s="98" t="s">
        <v>290</v>
      </c>
      <c r="D78" s="200" t="s">
        <v>556</v>
      </c>
      <c r="E78" s="98" t="s">
        <v>1007</v>
      </c>
      <c r="F78" s="98" t="s">
        <v>95</v>
      </c>
      <c r="G78" s="200" t="s">
        <v>871</v>
      </c>
      <c r="H78" s="200" t="s">
        <v>1008</v>
      </c>
      <c r="I78" s="98" t="s">
        <v>1009</v>
      </c>
      <c r="J78" s="98">
        <v>1515.53</v>
      </c>
      <c r="K78" s="98">
        <v>23472659731</v>
      </c>
      <c r="L78" s="98">
        <v>15488051130</v>
      </c>
      <c r="M78" s="98" t="s">
        <v>589</v>
      </c>
    </row>
    <row r="79" spans="1:13" ht="16.5" customHeight="1">
      <c r="A79" s="98">
        <v>78</v>
      </c>
      <c r="B79" s="200" t="s">
        <v>781</v>
      </c>
      <c r="C79" s="98" t="s">
        <v>461</v>
      </c>
      <c r="D79" s="200" t="s">
        <v>566</v>
      </c>
      <c r="E79" s="98" t="s">
        <v>1010</v>
      </c>
      <c r="F79" s="98" t="s">
        <v>953</v>
      </c>
      <c r="G79" s="200" t="s">
        <v>868</v>
      </c>
      <c r="H79" s="200" t="s">
        <v>1011</v>
      </c>
      <c r="I79" s="98">
        <v>2025.04</v>
      </c>
      <c r="J79" s="98">
        <v>1000</v>
      </c>
    </row>
    <row r="80" spans="1:13" ht="16.5" customHeight="1">
      <c r="A80" s="98">
        <v>79</v>
      </c>
      <c r="B80" s="200" t="s">
        <v>781</v>
      </c>
      <c r="C80" s="98" t="s">
        <v>1012</v>
      </c>
      <c r="D80" s="200" t="s">
        <v>556</v>
      </c>
      <c r="E80" s="98" t="s">
        <v>1013</v>
      </c>
      <c r="F80" s="98" t="s">
        <v>98</v>
      </c>
      <c r="G80" s="200" t="s">
        <v>941</v>
      </c>
      <c r="H80" s="200" t="s">
        <v>1014</v>
      </c>
      <c r="I80" s="98">
        <v>2025.04</v>
      </c>
      <c r="J80" s="98">
        <v>1000</v>
      </c>
    </row>
    <row r="81" spans="1:10" ht="16.5" customHeight="1">
      <c r="A81" s="98">
        <v>80</v>
      </c>
      <c r="B81" s="200" t="s">
        <v>781</v>
      </c>
      <c r="C81" s="98" t="s">
        <v>1015</v>
      </c>
      <c r="D81" s="200" t="s">
        <v>566</v>
      </c>
      <c r="E81" s="98" t="s">
        <v>1016</v>
      </c>
      <c r="F81" s="98" t="s">
        <v>98</v>
      </c>
      <c r="G81" s="200" t="s">
        <v>1017</v>
      </c>
      <c r="H81" s="200" t="s">
        <v>1018</v>
      </c>
      <c r="I81" s="98">
        <v>2025.05</v>
      </c>
      <c r="J81" s="98">
        <v>1000</v>
      </c>
    </row>
    <row r="82" spans="1:10" ht="16.5" customHeight="1">
      <c r="A82" s="98">
        <v>81</v>
      </c>
      <c r="B82" s="200" t="s">
        <v>781</v>
      </c>
      <c r="C82" s="98" t="s">
        <v>1019</v>
      </c>
      <c r="D82" s="200" t="s">
        <v>566</v>
      </c>
      <c r="E82" s="98" t="s">
        <v>1020</v>
      </c>
      <c r="F82" s="98" t="s">
        <v>98</v>
      </c>
      <c r="G82" s="200" t="s">
        <v>941</v>
      </c>
      <c r="H82" s="200" t="s">
        <v>1021</v>
      </c>
      <c r="I82" s="98">
        <v>2025.05</v>
      </c>
      <c r="J82" s="98">
        <v>1000</v>
      </c>
    </row>
    <row r="83" spans="1:10" ht="16.5" customHeight="1">
      <c r="A83" s="98">
        <v>82</v>
      </c>
      <c r="B83" s="200" t="s">
        <v>781</v>
      </c>
      <c r="C83" s="98" t="s">
        <v>1022</v>
      </c>
      <c r="D83" s="200" t="s">
        <v>566</v>
      </c>
      <c r="E83" s="98" t="s">
        <v>1023</v>
      </c>
      <c r="F83" s="98" t="s">
        <v>953</v>
      </c>
      <c r="G83" s="200" t="s">
        <v>1017</v>
      </c>
      <c r="H83" s="200" t="s">
        <v>1024</v>
      </c>
      <c r="I83" s="98">
        <v>2025.04</v>
      </c>
      <c r="J83" s="98">
        <v>1000</v>
      </c>
    </row>
    <row r="84" spans="1:10" ht="16.5" customHeight="1">
      <c r="A84" s="98">
        <v>83</v>
      </c>
      <c r="B84" s="200" t="s">
        <v>781</v>
      </c>
      <c r="C84" s="98" t="s">
        <v>1025</v>
      </c>
      <c r="D84" s="200" t="s">
        <v>566</v>
      </c>
      <c r="E84" s="98" t="s">
        <v>1026</v>
      </c>
      <c r="F84" s="98" t="s">
        <v>100</v>
      </c>
      <c r="G84" s="200" t="s">
        <v>1027</v>
      </c>
      <c r="H84" s="200" t="s">
        <v>1028</v>
      </c>
      <c r="I84" s="98">
        <v>2019.04</v>
      </c>
      <c r="J84" s="98">
        <v>1005</v>
      </c>
    </row>
    <row r="85" spans="1:10" ht="16.5" customHeight="1">
      <c r="A85" s="98">
        <v>84</v>
      </c>
      <c r="B85" s="200" t="s">
        <v>781</v>
      </c>
      <c r="C85" s="98" t="s">
        <v>1029</v>
      </c>
      <c r="D85" s="200" t="s">
        <v>566</v>
      </c>
      <c r="E85" s="98" t="s">
        <v>1030</v>
      </c>
      <c r="F85" s="98" t="s">
        <v>98</v>
      </c>
      <c r="G85" s="200" t="s">
        <v>1027</v>
      </c>
      <c r="H85" s="200" t="s">
        <v>1031</v>
      </c>
      <c r="I85" s="98">
        <v>2019.12</v>
      </c>
      <c r="J85" s="98">
        <v>1023</v>
      </c>
    </row>
    <row r="86" spans="1:10" ht="16.5" customHeight="1">
      <c r="A86" s="98">
        <v>85</v>
      </c>
      <c r="B86" s="200" t="s">
        <v>781</v>
      </c>
      <c r="C86" s="98" t="s">
        <v>1032</v>
      </c>
      <c r="D86" s="200" t="s">
        <v>566</v>
      </c>
      <c r="E86" s="98" t="s">
        <v>1033</v>
      </c>
      <c r="F86" s="98" t="s">
        <v>953</v>
      </c>
      <c r="G86" s="200" t="s">
        <v>868</v>
      </c>
      <c r="H86" s="200" t="s">
        <v>1034</v>
      </c>
      <c r="I86" s="98">
        <v>2025.06</v>
      </c>
      <c r="J86" s="98">
        <v>0</v>
      </c>
    </row>
    <row r="87" spans="1:10" ht="16.5" customHeight="1">
      <c r="A87" s="98">
        <v>86</v>
      </c>
      <c r="B87" s="200" t="s">
        <v>781</v>
      </c>
      <c r="C87" s="98" t="s">
        <v>1035</v>
      </c>
      <c r="D87" s="200" t="s">
        <v>566</v>
      </c>
      <c r="E87" s="98" t="s">
        <v>1036</v>
      </c>
      <c r="F87" s="98" t="s">
        <v>953</v>
      </c>
      <c r="G87" s="200" t="s">
        <v>1037</v>
      </c>
      <c r="H87" s="200" t="s">
        <v>1038</v>
      </c>
      <c r="I87" s="98" t="s">
        <v>1039</v>
      </c>
      <c r="J87" s="98">
        <v>0</v>
      </c>
    </row>
    <row r="88" spans="1:10" ht="15" customHeight="1">
      <c r="A88" s="98">
        <v>87</v>
      </c>
      <c r="B88" s="200" t="s">
        <v>781</v>
      </c>
      <c r="C88" s="98" t="s">
        <v>1040</v>
      </c>
      <c r="D88" s="200" t="s">
        <v>566</v>
      </c>
      <c r="E88" s="98" t="s">
        <v>1041</v>
      </c>
      <c r="F88" s="98" t="s">
        <v>953</v>
      </c>
      <c r="G88" s="200" t="s">
        <v>1037</v>
      </c>
      <c r="H88" s="200" t="s">
        <v>1042</v>
      </c>
      <c r="I88" s="98" t="s">
        <v>1043</v>
      </c>
      <c r="J88" s="98">
        <v>0</v>
      </c>
    </row>
    <row r="89" spans="1:10" ht="16.5" customHeight="1">
      <c r="A89" s="98">
        <v>88</v>
      </c>
      <c r="B89" s="200" t="s">
        <v>781</v>
      </c>
      <c r="C89" s="98" t="s">
        <v>1044</v>
      </c>
      <c r="D89" s="200" t="s">
        <v>566</v>
      </c>
      <c r="E89" s="98" t="s">
        <v>1045</v>
      </c>
      <c r="F89" s="98" t="s">
        <v>98</v>
      </c>
      <c r="G89" s="200" t="s">
        <v>1017</v>
      </c>
      <c r="H89" s="200" t="s">
        <v>1046</v>
      </c>
      <c r="I89" s="98">
        <v>2025.06</v>
      </c>
      <c r="J89" s="98">
        <v>0</v>
      </c>
    </row>
    <row r="90" spans="1:10" ht="15" customHeight="1">
      <c r="A90" s="98">
        <v>89</v>
      </c>
      <c r="B90" s="200" t="s">
        <v>781</v>
      </c>
      <c r="C90" s="98" t="s">
        <v>1047</v>
      </c>
      <c r="D90" s="200" t="s">
        <v>566</v>
      </c>
      <c r="E90" s="98" t="s">
        <v>1048</v>
      </c>
      <c r="F90" s="98" t="s">
        <v>1049</v>
      </c>
      <c r="H90" s="200" t="s">
        <v>1050</v>
      </c>
      <c r="I90" s="98">
        <v>2025.07</v>
      </c>
    </row>
    <row r="91" spans="1:10" ht="16.5" customHeight="1">
      <c r="A91" s="98">
        <v>90</v>
      </c>
      <c r="B91" s="200" t="s">
        <v>781</v>
      </c>
      <c r="C91" s="98" t="s">
        <v>1051</v>
      </c>
      <c r="D91" s="200" t="s">
        <v>566</v>
      </c>
      <c r="E91" s="98" t="s">
        <v>1052</v>
      </c>
      <c r="F91" s="98" t="s">
        <v>953</v>
      </c>
      <c r="G91" s="200" t="s">
        <v>1017</v>
      </c>
      <c r="H91" s="200" t="s">
        <v>1053</v>
      </c>
      <c r="I91" s="98">
        <v>2025.08</v>
      </c>
      <c r="J91" s="98">
        <v>0</v>
      </c>
    </row>
    <row r="92" spans="1:10" ht="16.5" customHeight="1">
      <c r="A92" s="98">
        <v>91</v>
      </c>
      <c r="B92" s="200" t="s">
        <v>781</v>
      </c>
      <c r="C92" s="98" t="s">
        <v>1054</v>
      </c>
      <c r="D92" s="200" t="s">
        <v>566</v>
      </c>
      <c r="E92" s="98" t="s">
        <v>1055</v>
      </c>
      <c r="F92" s="98" t="s">
        <v>953</v>
      </c>
      <c r="G92" s="200" t="s">
        <v>941</v>
      </c>
      <c r="H92" s="200" t="s">
        <v>1056</v>
      </c>
      <c r="I92" s="98">
        <v>2025.08</v>
      </c>
      <c r="J92" s="98">
        <v>0</v>
      </c>
    </row>
    <row r="93" spans="1:10" ht="16.5" customHeight="1">
      <c r="A93" s="98">
        <v>92</v>
      </c>
      <c r="B93" s="200" t="s">
        <v>781</v>
      </c>
      <c r="C93" s="98" t="s">
        <v>1057</v>
      </c>
      <c r="D93" s="200" t="s">
        <v>566</v>
      </c>
      <c r="E93" s="98" t="s">
        <v>1058</v>
      </c>
      <c r="F93" s="98" t="s">
        <v>953</v>
      </c>
      <c r="H93" s="200" t="s">
        <v>1059</v>
      </c>
    </row>
    <row r="94" spans="1:10" ht="16.5" customHeight="1">
      <c r="A94" s="98">
        <v>93</v>
      </c>
      <c r="B94" s="200" t="s">
        <v>781</v>
      </c>
      <c r="C94" s="98" t="s">
        <v>1060</v>
      </c>
      <c r="D94" s="200" t="s">
        <v>566</v>
      </c>
      <c r="E94" s="98" t="s">
        <v>1061</v>
      </c>
      <c r="F94" s="98" t="s">
        <v>953</v>
      </c>
      <c r="H94" s="200" t="s">
        <v>1062</v>
      </c>
    </row>
    <row r="95" spans="1:10" ht="16.5" customHeight="1">
      <c r="A95" s="98">
        <v>94</v>
      </c>
      <c r="B95" s="200" t="s">
        <v>781</v>
      </c>
      <c r="C95" s="98" t="s">
        <v>1063</v>
      </c>
      <c r="D95" s="200" t="s">
        <v>566</v>
      </c>
      <c r="E95" s="98" t="s">
        <v>1064</v>
      </c>
      <c r="F95" s="98" t="s">
        <v>98</v>
      </c>
      <c r="G95" s="200" t="s">
        <v>941</v>
      </c>
      <c r="H95" s="200" t="s">
        <v>1065</v>
      </c>
      <c r="I95" s="98">
        <v>2025.09</v>
      </c>
      <c r="J95" s="98">
        <v>0</v>
      </c>
    </row>
    <row r="96" spans="1:10" ht="16.5" customHeight="1">
      <c r="A96" s="98">
        <v>95</v>
      </c>
      <c r="B96" s="200" t="s">
        <v>781</v>
      </c>
      <c r="C96" s="98" t="s">
        <v>1066</v>
      </c>
      <c r="D96" s="200" t="s">
        <v>566</v>
      </c>
      <c r="E96" s="98" t="s">
        <v>1067</v>
      </c>
      <c r="F96" s="98" t="s">
        <v>98</v>
      </c>
      <c r="G96" s="200" t="s">
        <v>941</v>
      </c>
      <c r="H96" s="200" t="s">
        <v>1068</v>
      </c>
      <c r="I96" s="98">
        <v>2025.09</v>
      </c>
      <c r="J96" s="98">
        <v>0</v>
      </c>
    </row>
    <row r="97" spans="1:11" ht="16.5" customHeight="1">
      <c r="A97" s="98">
        <v>96</v>
      </c>
      <c r="B97" s="200" t="s">
        <v>781</v>
      </c>
      <c r="C97" s="98" t="s">
        <v>1069</v>
      </c>
      <c r="D97" s="200" t="s">
        <v>566</v>
      </c>
      <c r="E97" s="98" t="s">
        <v>1070</v>
      </c>
      <c r="F97" s="98" t="s">
        <v>98</v>
      </c>
      <c r="G97" s="200" t="s">
        <v>941</v>
      </c>
      <c r="H97" s="200" t="s">
        <v>1071</v>
      </c>
      <c r="I97" s="98">
        <v>2025.09</v>
      </c>
      <c r="J97" s="98">
        <v>0</v>
      </c>
    </row>
    <row r="98" spans="1:11" ht="16.5" customHeight="1">
      <c r="A98" s="98">
        <v>97</v>
      </c>
      <c r="B98" s="200" t="s">
        <v>781</v>
      </c>
      <c r="C98" s="98" t="s">
        <v>1072</v>
      </c>
      <c r="D98" s="200" t="s">
        <v>566</v>
      </c>
      <c r="E98" s="98" t="s">
        <v>1073</v>
      </c>
      <c r="F98" s="98" t="s">
        <v>96</v>
      </c>
      <c r="G98" s="200" t="s">
        <v>941</v>
      </c>
      <c r="H98" s="200" t="s">
        <v>1074</v>
      </c>
      <c r="I98" s="98" t="s">
        <v>1075</v>
      </c>
      <c r="J98" s="98">
        <v>0</v>
      </c>
    </row>
    <row r="99" spans="1:11" ht="16.5" customHeight="1">
      <c r="A99" s="98">
        <v>98</v>
      </c>
      <c r="B99" s="200" t="s">
        <v>781</v>
      </c>
      <c r="C99" s="98" t="s">
        <v>1076</v>
      </c>
      <c r="D99" s="200" t="s">
        <v>566</v>
      </c>
      <c r="E99" s="98" t="s">
        <v>1077</v>
      </c>
      <c r="F99" s="98" t="s">
        <v>953</v>
      </c>
      <c r="G99" s="200" t="s">
        <v>1037</v>
      </c>
      <c r="H99" s="200" t="s">
        <v>1078</v>
      </c>
      <c r="I99" s="98">
        <v>2026.01</v>
      </c>
      <c r="J99" s="98">
        <v>1000</v>
      </c>
    </row>
    <row r="100" spans="1:11" ht="16.5" customHeight="1">
      <c r="A100" s="98">
        <v>99</v>
      </c>
      <c r="B100" s="200" t="s">
        <v>781</v>
      </c>
      <c r="C100" s="98" t="s">
        <v>1079</v>
      </c>
      <c r="D100" s="200" t="s">
        <v>566</v>
      </c>
      <c r="E100" s="98" t="s">
        <v>1080</v>
      </c>
      <c r="F100" s="98" t="s">
        <v>953</v>
      </c>
      <c r="G100" s="200" t="s">
        <v>1017</v>
      </c>
      <c r="H100" s="200" t="s">
        <v>1081</v>
      </c>
      <c r="I100" s="98">
        <v>2026.02</v>
      </c>
      <c r="J100" s="98">
        <v>1000</v>
      </c>
    </row>
    <row r="101" spans="1:11" ht="16.5" customHeight="1">
      <c r="A101" s="98">
        <v>100</v>
      </c>
      <c r="B101" s="200" t="s">
        <v>781</v>
      </c>
      <c r="C101" s="98" t="s">
        <v>1082</v>
      </c>
      <c r="D101" s="200" t="s">
        <v>566</v>
      </c>
      <c r="F101" s="98" t="s">
        <v>98</v>
      </c>
      <c r="G101" s="200" t="s">
        <v>941</v>
      </c>
      <c r="H101" s="200" t="s">
        <v>1065</v>
      </c>
      <c r="J101" s="98">
        <v>1000</v>
      </c>
    </row>
    <row r="103" spans="1:11" ht="16.5" customHeight="1">
      <c r="A103" s="200" t="s">
        <v>506</v>
      </c>
      <c r="B103" s="200" t="s">
        <v>38</v>
      </c>
      <c r="C103" s="200" t="s">
        <v>546</v>
      </c>
      <c r="D103" s="200" t="s">
        <v>1083</v>
      </c>
      <c r="E103" s="200" t="s">
        <v>42</v>
      </c>
      <c r="F103" s="200" t="s">
        <v>754</v>
      </c>
      <c r="G103" s="200" t="s">
        <v>673</v>
      </c>
      <c r="H103" s="200" t="s">
        <v>704</v>
      </c>
      <c r="I103" s="200" t="s">
        <v>23</v>
      </c>
      <c r="J103" s="200" t="s">
        <v>552</v>
      </c>
      <c r="K103" s="200" t="s">
        <v>553</v>
      </c>
    </row>
    <row r="104" spans="1:11" ht="16.5" customHeight="1">
      <c r="A104" s="200" t="s">
        <v>781</v>
      </c>
      <c r="B104" s="98" t="s">
        <v>1084</v>
      </c>
      <c r="C104" s="200" t="s">
        <v>556</v>
      </c>
      <c r="D104" s="98" t="s">
        <v>8</v>
      </c>
      <c r="E104" s="98" t="s">
        <v>97</v>
      </c>
      <c r="F104" s="200" t="s">
        <v>1085</v>
      </c>
      <c r="G104" s="200" t="s">
        <v>1086</v>
      </c>
      <c r="H104" s="98">
        <v>2017.02</v>
      </c>
      <c r="I104" s="98">
        <v>1255.52</v>
      </c>
      <c r="J104" s="98">
        <v>209764251167</v>
      </c>
      <c r="K104" s="98">
        <v>167073000000</v>
      </c>
    </row>
    <row r="105" spans="1:11" ht="16.5" customHeight="1">
      <c r="A105" s="200" t="s">
        <v>781</v>
      </c>
      <c r="B105" s="98" t="s">
        <v>1087</v>
      </c>
      <c r="C105" s="200" t="s">
        <v>556</v>
      </c>
      <c r="D105" s="98" t="s">
        <v>8</v>
      </c>
      <c r="E105" s="98" t="s">
        <v>97</v>
      </c>
      <c r="F105" s="200" t="s">
        <v>1085</v>
      </c>
      <c r="G105" s="200" t="s">
        <v>1088</v>
      </c>
      <c r="H105" s="98">
        <v>2017.08</v>
      </c>
      <c r="I105" s="98">
        <v>1234.9000000000001</v>
      </c>
      <c r="J105" s="98">
        <v>83088511822</v>
      </c>
      <c r="K105" s="98">
        <v>67284000000</v>
      </c>
    </row>
    <row r="106" spans="1:11" ht="16.5" customHeight="1">
      <c r="A106" s="200" t="s">
        <v>781</v>
      </c>
      <c r="B106" s="98" t="s">
        <v>1089</v>
      </c>
      <c r="C106" s="200" t="s">
        <v>556</v>
      </c>
      <c r="D106" s="98" t="s">
        <v>8</v>
      </c>
      <c r="E106" s="98" t="s">
        <v>97</v>
      </c>
      <c r="F106" s="200" t="s">
        <v>1085</v>
      </c>
      <c r="G106" s="200" t="s">
        <v>1090</v>
      </c>
      <c r="H106" s="98">
        <v>2017.03</v>
      </c>
      <c r="I106" s="98">
        <v>1341.4</v>
      </c>
      <c r="J106" s="98">
        <v>150995522272</v>
      </c>
      <c r="K106" s="98">
        <v>112565000000</v>
      </c>
    </row>
    <row r="107" spans="1:11" ht="16.5" customHeight="1">
      <c r="A107" s="200" t="s">
        <v>781</v>
      </c>
      <c r="B107" s="98" t="s">
        <v>1091</v>
      </c>
      <c r="C107" s="200" t="s">
        <v>556</v>
      </c>
      <c r="D107" s="98" t="s">
        <v>8</v>
      </c>
      <c r="E107" s="98" t="s">
        <v>97</v>
      </c>
      <c r="F107" s="200" t="s">
        <v>1085</v>
      </c>
      <c r="G107" s="200" t="s">
        <v>1092</v>
      </c>
      <c r="H107" s="98">
        <v>2017.03</v>
      </c>
      <c r="I107" s="98">
        <v>1402.52</v>
      </c>
      <c r="J107" s="98">
        <v>267394251042</v>
      </c>
      <c r="K107" s="98">
        <v>190652000000</v>
      </c>
    </row>
    <row r="108" spans="1:11" ht="16.5" customHeight="1">
      <c r="A108" s="200" t="s">
        <v>781</v>
      </c>
      <c r="B108" s="98" t="s">
        <v>1093</v>
      </c>
      <c r="C108" s="200" t="s">
        <v>556</v>
      </c>
      <c r="D108" s="98" t="s">
        <v>8</v>
      </c>
      <c r="E108" s="98" t="s">
        <v>97</v>
      </c>
      <c r="F108" s="200" t="s">
        <v>1085</v>
      </c>
      <c r="G108" s="200" t="s">
        <v>1094</v>
      </c>
      <c r="H108" s="98">
        <v>2017.03</v>
      </c>
      <c r="I108" s="98">
        <v>1450.39</v>
      </c>
      <c r="J108" s="98">
        <v>137308107107</v>
      </c>
      <c r="K108" s="98">
        <v>94670000000</v>
      </c>
    </row>
    <row r="109" spans="1:11" ht="16.5" customHeight="1">
      <c r="A109" s="200" t="s">
        <v>781</v>
      </c>
      <c r="B109" s="98" t="s">
        <v>1095</v>
      </c>
      <c r="C109" s="200" t="s">
        <v>556</v>
      </c>
      <c r="D109" s="98" t="s">
        <v>8</v>
      </c>
      <c r="E109" s="98" t="s">
        <v>97</v>
      </c>
      <c r="F109" s="200" t="s">
        <v>1085</v>
      </c>
      <c r="G109" s="200" t="s">
        <v>1096</v>
      </c>
      <c r="H109" s="98">
        <v>2017.03</v>
      </c>
      <c r="I109" s="98">
        <v>1495.76</v>
      </c>
      <c r="J109" s="98">
        <v>185851270375</v>
      </c>
      <c r="K109" s="98">
        <v>124252000000</v>
      </c>
    </row>
    <row r="110" spans="1:11" ht="16.5" customHeight="1">
      <c r="A110" s="200" t="s">
        <v>781</v>
      </c>
      <c r="B110" s="98" t="s">
        <v>1097</v>
      </c>
      <c r="C110" s="200" t="s">
        <v>556</v>
      </c>
      <c r="D110" s="98" t="s">
        <v>8</v>
      </c>
      <c r="E110" s="98" t="s">
        <v>97</v>
      </c>
      <c r="F110" s="200" t="s">
        <v>1085</v>
      </c>
      <c r="G110" s="200" t="s">
        <v>1098</v>
      </c>
      <c r="H110" s="98">
        <v>2017.03</v>
      </c>
      <c r="I110" s="98">
        <v>1504.51</v>
      </c>
      <c r="J110" s="98">
        <v>245809922393</v>
      </c>
      <c r="K110" s="98">
        <v>163382000000</v>
      </c>
    </row>
    <row r="111" spans="1:11" ht="16.5" customHeight="1">
      <c r="A111" s="200" t="s">
        <v>781</v>
      </c>
      <c r="B111" s="98" t="s">
        <v>1099</v>
      </c>
      <c r="C111" s="200" t="s">
        <v>556</v>
      </c>
      <c r="D111" s="98" t="s">
        <v>8</v>
      </c>
      <c r="E111" s="98" t="s">
        <v>97</v>
      </c>
      <c r="F111" s="200" t="s">
        <v>1085</v>
      </c>
      <c r="G111" s="200" t="s">
        <v>1100</v>
      </c>
      <c r="H111" s="98">
        <v>2017.11</v>
      </c>
      <c r="I111" s="98">
        <v>1228.99</v>
      </c>
      <c r="J111" s="98">
        <v>12811973855</v>
      </c>
      <c r="K111" s="98">
        <v>10425000000</v>
      </c>
    </row>
    <row r="112" spans="1:11" ht="16.5" customHeight="1">
      <c r="A112" s="200" t="s">
        <v>781</v>
      </c>
      <c r="B112" s="98" t="s">
        <v>1101</v>
      </c>
      <c r="C112" s="200" t="s">
        <v>556</v>
      </c>
      <c r="D112" s="98" t="s">
        <v>8</v>
      </c>
      <c r="E112" s="98" t="s">
        <v>97</v>
      </c>
      <c r="F112" s="200" t="s">
        <v>1085</v>
      </c>
      <c r="G112" s="200" t="s">
        <v>1102</v>
      </c>
      <c r="H112" s="98">
        <v>2017.11</v>
      </c>
      <c r="I112" s="98">
        <v>1089.27</v>
      </c>
      <c r="J112" s="98">
        <v>10783907911</v>
      </c>
      <c r="K112" s="98">
        <v>9900000000</v>
      </c>
    </row>
    <row r="113" spans="1:13" ht="16.5" customHeight="1">
      <c r="A113" s="200" t="s">
        <v>781</v>
      </c>
      <c r="B113" s="98" t="s">
        <v>1103</v>
      </c>
      <c r="C113" s="200" t="s">
        <v>556</v>
      </c>
      <c r="D113" s="98" t="s">
        <v>1104</v>
      </c>
      <c r="E113" s="98" t="s">
        <v>97</v>
      </c>
      <c r="F113" s="200" t="s">
        <v>1085</v>
      </c>
      <c r="G113" s="200" t="s">
        <v>1105</v>
      </c>
      <c r="H113" s="98">
        <v>2019.09</v>
      </c>
      <c r="I113" s="98">
        <v>1332.52</v>
      </c>
      <c r="J113" s="98">
        <v>57491883133</v>
      </c>
      <c r="K113" s="98">
        <v>43145000000</v>
      </c>
    </row>
    <row r="114" spans="1:13" ht="16.5" customHeight="1">
      <c r="A114" s="200" t="s">
        <v>781</v>
      </c>
      <c r="B114" s="98" t="s">
        <v>1106</v>
      </c>
      <c r="C114" s="200" t="s">
        <v>556</v>
      </c>
      <c r="D114" s="98" t="s">
        <v>8</v>
      </c>
      <c r="E114" s="98" t="s">
        <v>97</v>
      </c>
      <c r="F114" s="200" t="s">
        <v>1085</v>
      </c>
      <c r="G114" s="200" t="s">
        <v>1107</v>
      </c>
      <c r="H114" s="98">
        <v>2019.09</v>
      </c>
      <c r="I114" s="98">
        <v>1282.55</v>
      </c>
      <c r="J114" s="98">
        <v>33795090323</v>
      </c>
      <c r="K114" s="98">
        <v>26350000000</v>
      </c>
    </row>
    <row r="115" spans="1:13" ht="16.5" customHeight="1">
      <c r="A115" s="200" t="s">
        <v>781</v>
      </c>
      <c r="B115" s="98" t="s">
        <v>1108</v>
      </c>
      <c r="C115" s="200" t="s">
        <v>556</v>
      </c>
      <c r="D115" s="98" t="s">
        <v>8</v>
      </c>
      <c r="E115" s="98" t="s">
        <v>97</v>
      </c>
      <c r="F115" s="200" t="s">
        <v>1085</v>
      </c>
      <c r="G115" s="200" t="s">
        <v>1109</v>
      </c>
      <c r="H115" s="98">
        <v>2021.02</v>
      </c>
      <c r="I115" s="98">
        <v>969.69</v>
      </c>
      <c r="J115" s="98">
        <v>5199324937</v>
      </c>
      <c r="K115" s="98">
        <v>5352000000</v>
      </c>
    </row>
    <row r="116" spans="1:13" ht="16.5" customHeight="1">
      <c r="A116" s="200" t="s">
        <v>781</v>
      </c>
      <c r="B116" s="98" t="s">
        <v>1110</v>
      </c>
      <c r="C116" s="200" t="s">
        <v>556</v>
      </c>
      <c r="D116" s="98" t="s">
        <v>8</v>
      </c>
      <c r="E116" s="98" t="s">
        <v>98</v>
      </c>
      <c r="F116" s="200" t="s">
        <v>1085</v>
      </c>
      <c r="G116" s="200" t="s">
        <v>1111</v>
      </c>
      <c r="H116" s="98">
        <v>2022.03</v>
      </c>
      <c r="I116" s="98">
        <v>995.98</v>
      </c>
      <c r="J116" s="98">
        <v>2589659810</v>
      </c>
      <c r="K116" s="98">
        <v>2600000000</v>
      </c>
      <c r="L116" s="200" t="s">
        <v>553</v>
      </c>
      <c r="M116" s="98" t="s">
        <v>705</v>
      </c>
    </row>
    <row r="117" spans="1:13" ht="16.5" customHeight="1">
      <c r="A117" s="200" t="s">
        <v>781</v>
      </c>
      <c r="B117" s="98" t="s">
        <v>1112</v>
      </c>
      <c r="C117" s="200" t="s">
        <v>556</v>
      </c>
      <c r="D117" s="98" t="s">
        <v>1104</v>
      </c>
      <c r="E117" s="98" t="s">
        <v>98</v>
      </c>
      <c r="F117" s="200" t="s">
        <v>1085</v>
      </c>
      <c r="G117" s="200" t="s">
        <v>1113</v>
      </c>
      <c r="H117" s="98">
        <v>2022.03</v>
      </c>
      <c r="I117" s="98">
        <v>997.22</v>
      </c>
      <c r="J117" s="98">
        <v>5056007745</v>
      </c>
      <c r="K117" s="98">
        <v>5070000000</v>
      </c>
      <c r="L117" s="98">
        <v>14861000000</v>
      </c>
      <c r="M117" s="98" t="s">
        <v>562</v>
      </c>
    </row>
    <row r="118" spans="1:13" ht="16.5" customHeight="1">
      <c r="A118" s="200" t="s">
        <v>781</v>
      </c>
      <c r="B118" s="98" t="s">
        <v>1114</v>
      </c>
      <c r="C118" s="200" t="s">
        <v>556</v>
      </c>
      <c r="D118" s="98" t="s">
        <v>8</v>
      </c>
      <c r="E118" s="98" t="s">
        <v>98</v>
      </c>
      <c r="F118" s="200" t="s">
        <v>1085</v>
      </c>
      <c r="G118" s="200" t="s">
        <v>1115</v>
      </c>
      <c r="H118" s="98">
        <v>2022.03</v>
      </c>
      <c r="I118" s="98">
        <v>995.98</v>
      </c>
      <c r="J118" s="98">
        <v>2589659810</v>
      </c>
      <c r="K118" s="98">
        <v>2600000000</v>
      </c>
    </row>
    <row r="119" spans="1:13" ht="16.5" customHeight="1">
      <c r="A119" s="200" t="s">
        <v>781</v>
      </c>
      <c r="B119" s="98" t="s">
        <v>1116</v>
      </c>
      <c r="C119" s="200" t="s">
        <v>556</v>
      </c>
      <c r="D119" s="98" t="s">
        <v>1104</v>
      </c>
      <c r="E119" s="98" t="s">
        <v>98</v>
      </c>
      <c r="F119" s="200" t="s">
        <v>1085</v>
      </c>
      <c r="G119" s="200" t="s">
        <v>1117</v>
      </c>
      <c r="H119" s="98">
        <v>2022.03</v>
      </c>
      <c r="I119" s="98">
        <v>997.22</v>
      </c>
      <c r="J119" s="98">
        <v>5056007745</v>
      </c>
      <c r="K119" s="98">
        <v>5070000000</v>
      </c>
      <c r="L119" s="98">
        <v>49986253594</v>
      </c>
      <c r="M119" s="98" t="s">
        <v>562</v>
      </c>
    </row>
    <row r="120" spans="1:13" ht="16.5" customHeight="1">
      <c r="A120" s="200" t="s">
        <v>781</v>
      </c>
      <c r="B120" s="98" t="s">
        <v>167</v>
      </c>
      <c r="C120" s="200" t="s">
        <v>556</v>
      </c>
      <c r="D120" s="98" t="s">
        <v>697</v>
      </c>
      <c r="E120" s="98" t="s">
        <v>94</v>
      </c>
      <c r="F120" s="200" t="s">
        <v>802</v>
      </c>
      <c r="G120" s="200" t="s">
        <v>1118</v>
      </c>
      <c r="H120" s="98">
        <v>2017.01</v>
      </c>
      <c r="I120" s="98">
        <v>1004.4</v>
      </c>
      <c r="J120" s="98">
        <v>51325061</v>
      </c>
      <c r="K120" s="98">
        <v>51100411</v>
      </c>
      <c r="L120" s="98" t="s">
        <v>562</v>
      </c>
    </row>
    <row r="121" spans="1:13" ht="16.5" customHeight="1">
      <c r="A121" s="200" t="s">
        <v>781</v>
      </c>
      <c r="B121" s="98" t="s">
        <v>168</v>
      </c>
      <c r="C121" s="200" t="s">
        <v>556</v>
      </c>
      <c r="D121" s="98" t="s">
        <v>697</v>
      </c>
      <c r="E121" s="98" t="s">
        <v>94</v>
      </c>
      <c r="F121" s="200" t="s">
        <v>802</v>
      </c>
      <c r="G121" s="200" t="s">
        <v>1119</v>
      </c>
      <c r="H121" s="98">
        <v>2017.02</v>
      </c>
      <c r="I121" s="98">
        <v>1004.3</v>
      </c>
      <c r="J121" s="98">
        <v>26777950</v>
      </c>
      <c r="K121" s="98">
        <v>26663310</v>
      </c>
      <c r="L121" s="98" t="s">
        <v>562</v>
      </c>
    </row>
    <row r="122" spans="1:13" ht="16.5" customHeight="1">
      <c r="A122" s="200" t="s">
        <v>781</v>
      </c>
      <c r="B122" s="98" t="s">
        <v>191</v>
      </c>
      <c r="C122" s="200" t="s">
        <v>556</v>
      </c>
      <c r="D122" s="98" t="s">
        <v>697</v>
      </c>
      <c r="E122" s="98" t="s">
        <v>100</v>
      </c>
      <c r="F122" s="200" t="s">
        <v>841</v>
      </c>
      <c r="G122" s="200" t="s">
        <v>1120</v>
      </c>
      <c r="H122" s="201">
        <v>43143</v>
      </c>
      <c r="I122" s="98">
        <v>1129.93</v>
      </c>
      <c r="J122" s="98">
        <v>9031082238</v>
      </c>
      <c r="K122" s="98">
        <v>7992573894</v>
      </c>
      <c r="L122" s="98" t="s">
        <v>562</v>
      </c>
    </row>
    <row r="123" spans="1:13" ht="16.5" customHeight="1">
      <c r="A123" s="200" t="s">
        <v>781</v>
      </c>
      <c r="B123" s="98" t="s">
        <v>228</v>
      </c>
      <c r="C123" s="200" t="s">
        <v>566</v>
      </c>
      <c r="D123" s="98" t="s">
        <v>697</v>
      </c>
      <c r="E123" s="98" t="s">
        <v>95</v>
      </c>
      <c r="F123" s="200" t="s">
        <v>802</v>
      </c>
      <c r="G123" s="200" t="s">
        <v>1121</v>
      </c>
      <c r="H123" s="98">
        <v>2017.03</v>
      </c>
      <c r="I123" s="98">
        <v>1087.28</v>
      </c>
      <c r="J123" s="98">
        <v>4603753071</v>
      </c>
      <c r="K123" s="98">
        <v>4234181632</v>
      </c>
      <c r="L123" s="98" t="s">
        <v>562</v>
      </c>
    </row>
    <row r="124" spans="1:13" ht="16.5" customHeight="1">
      <c r="A124" s="200" t="s">
        <v>781</v>
      </c>
      <c r="B124" s="98" t="s">
        <v>234</v>
      </c>
      <c r="C124" s="200" t="s">
        <v>566</v>
      </c>
      <c r="D124" s="98" t="s">
        <v>697</v>
      </c>
      <c r="E124" s="98" t="s">
        <v>95</v>
      </c>
      <c r="F124" s="200" t="s">
        <v>802</v>
      </c>
      <c r="G124" s="200" t="s">
        <v>1122</v>
      </c>
      <c r="H124" s="98">
        <v>2017.05</v>
      </c>
      <c r="I124" s="98">
        <v>1103.04</v>
      </c>
      <c r="J124" s="98">
        <v>11515530493</v>
      </c>
      <c r="K124" s="98">
        <v>10439770836</v>
      </c>
      <c r="L124" s="98" t="s">
        <v>562</v>
      </c>
    </row>
    <row r="125" spans="1:13" ht="16.5" customHeight="1">
      <c r="A125" s="200" t="s">
        <v>781</v>
      </c>
      <c r="B125" s="98" t="s">
        <v>236</v>
      </c>
      <c r="C125" s="200" t="s">
        <v>566</v>
      </c>
      <c r="D125" s="98" t="s">
        <v>697</v>
      </c>
      <c r="E125" s="98" t="s">
        <v>96</v>
      </c>
      <c r="F125" s="200" t="s">
        <v>802</v>
      </c>
      <c r="G125" s="200" t="s">
        <v>1123</v>
      </c>
      <c r="H125" s="98">
        <v>2017.05</v>
      </c>
      <c r="I125" s="98">
        <v>1025.3499999999999</v>
      </c>
      <c r="J125" s="98">
        <v>15459684190</v>
      </c>
      <c r="K125" s="98">
        <v>15077490173</v>
      </c>
      <c r="L125" s="98" t="s">
        <v>562</v>
      </c>
    </row>
    <row r="126" spans="1:13" ht="16.5" customHeight="1">
      <c r="A126" s="200" t="s">
        <v>781</v>
      </c>
      <c r="B126" s="98" t="s">
        <v>237</v>
      </c>
      <c r="C126" s="200" t="s">
        <v>566</v>
      </c>
      <c r="D126" s="98" t="s">
        <v>697</v>
      </c>
      <c r="E126" s="98" t="s">
        <v>95</v>
      </c>
      <c r="F126" s="200" t="s">
        <v>802</v>
      </c>
      <c r="G126" s="200" t="s">
        <v>1124</v>
      </c>
      <c r="H126" s="98">
        <v>2017.05</v>
      </c>
      <c r="I126" s="98" t="s">
        <v>636</v>
      </c>
      <c r="J126" s="98" t="s">
        <v>636</v>
      </c>
      <c r="K126" s="98" t="s">
        <v>636</v>
      </c>
      <c r="L126" s="98" t="s">
        <v>589</v>
      </c>
    </row>
    <row r="127" spans="1:13" ht="16.5" customHeight="1">
      <c r="A127" s="200" t="s">
        <v>781</v>
      </c>
      <c r="B127" s="98" t="s">
        <v>238</v>
      </c>
      <c r="C127" s="200" t="s">
        <v>566</v>
      </c>
      <c r="D127" s="98" t="s">
        <v>697</v>
      </c>
      <c r="E127" s="98" t="s">
        <v>96</v>
      </c>
      <c r="F127" s="200" t="s">
        <v>802</v>
      </c>
      <c r="G127" s="200" t="s">
        <v>1125</v>
      </c>
      <c r="H127" s="98">
        <v>2017.05</v>
      </c>
      <c r="I127" s="98">
        <v>1017.57</v>
      </c>
      <c r="J127" s="98">
        <v>3847522802</v>
      </c>
      <c r="K127" s="98">
        <v>3781094530</v>
      </c>
      <c r="L127" s="98" t="s">
        <v>562</v>
      </c>
    </row>
    <row r="128" spans="1:13" ht="16.5" customHeight="1">
      <c r="A128" s="200" t="s">
        <v>781</v>
      </c>
      <c r="B128" s="98" t="s">
        <v>239</v>
      </c>
      <c r="C128" s="200" t="s">
        <v>566</v>
      </c>
      <c r="D128" s="98" t="s">
        <v>697</v>
      </c>
      <c r="E128" s="98" t="s">
        <v>95</v>
      </c>
      <c r="F128" s="200" t="s">
        <v>802</v>
      </c>
      <c r="G128" s="200" t="s">
        <v>1126</v>
      </c>
      <c r="H128" s="98">
        <v>2017.07</v>
      </c>
      <c r="I128" s="98">
        <v>1123.7</v>
      </c>
      <c r="J128" s="98">
        <v>7865929645</v>
      </c>
      <c r="K128" s="98">
        <v>7000000000</v>
      </c>
      <c r="L128" s="98" t="s">
        <v>562</v>
      </c>
    </row>
    <row r="129" spans="1:12" ht="16.5" customHeight="1">
      <c r="A129" s="200" t="s">
        <v>781</v>
      </c>
      <c r="B129" s="98" t="s">
        <v>244</v>
      </c>
      <c r="C129" s="200" t="s">
        <v>566</v>
      </c>
      <c r="D129" s="98" t="s">
        <v>697</v>
      </c>
      <c r="E129" s="98" t="s">
        <v>96</v>
      </c>
      <c r="F129" s="200" t="s">
        <v>871</v>
      </c>
      <c r="G129" s="200" t="s">
        <v>1127</v>
      </c>
      <c r="H129" s="201">
        <v>43265</v>
      </c>
      <c r="I129" s="98">
        <v>1098.6400000000001</v>
      </c>
      <c r="J129" s="98">
        <v>10986358904</v>
      </c>
      <c r="K129" s="98">
        <v>10000000000</v>
      </c>
      <c r="L129" s="98" t="s">
        <v>562</v>
      </c>
    </row>
    <row r="130" spans="1:12" ht="16.5" customHeight="1">
      <c r="A130" s="200" t="s">
        <v>781</v>
      </c>
      <c r="B130" s="98" t="s">
        <v>1128</v>
      </c>
      <c r="C130" s="200" t="s">
        <v>566</v>
      </c>
      <c r="D130" s="98" t="s">
        <v>697</v>
      </c>
      <c r="E130" s="98" t="s">
        <v>94</v>
      </c>
      <c r="F130" s="98" t="s">
        <v>783</v>
      </c>
      <c r="G130" s="200" t="s">
        <v>1129</v>
      </c>
      <c r="H130" s="98">
        <v>2018.09</v>
      </c>
      <c r="L130" s="98" t="s">
        <v>589</v>
      </c>
    </row>
    <row r="131" spans="1:12" ht="16.5" customHeight="1">
      <c r="A131" s="200" t="s">
        <v>781</v>
      </c>
      <c r="B131" s="98" t="s">
        <v>253</v>
      </c>
      <c r="C131" s="200" t="s">
        <v>566</v>
      </c>
      <c r="D131" s="98" t="s">
        <v>697</v>
      </c>
      <c r="E131" s="98" t="s">
        <v>94</v>
      </c>
      <c r="F131" s="98" t="s">
        <v>783</v>
      </c>
      <c r="G131" s="200" t="s">
        <v>1130</v>
      </c>
      <c r="H131" s="98">
        <v>2019.01</v>
      </c>
      <c r="I131" s="98">
        <v>1004.92</v>
      </c>
      <c r="J131" s="98">
        <v>93106780251</v>
      </c>
      <c r="K131" s="98">
        <v>92651050941</v>
      </c>
      <c r="L131" s="98" t="s">
        <v>562</v>
      </c>
    </row>
    <row r="132" spans="1:12" ht="16.5" customHeight="1">
      <c r="A132" s="200" t="s">
        <v>781</v>
      </c>
      <c r="B132" s="98" t="s">
        <v>263</v>
      </c>
      <c r="C132" s="200" t="s">
        <v>566</v>
      </c>
      <c r="D132" s="98" t="s">
        <v>697</v>
      </c>
      <c r="E132" s="98" t="s">
        <v>94</v>
      </c>
      <c r="F132" s="200" t="s">
        <v>802</v>
      </c>
      <c r="G132" s="200" t="s">
        <v>1131</v>
      </c>
      <c r="H132" s="98">
        <v>2020.08</v>
      </c>
      <c r="I132" s="98" t="s">
        <v>636</v>
      </c>
      <c r="J132" s="98" t="s">
        <v>636</v>
      </c>
      <c r="K132" s="98" t="s">
        <v>636</v>
      </c>
      <c r="L132" s="98" t="s">
        <v>589</v>
      </c>
    </row>
    <row r="133" spans="1:12" ht="16.5" customHeight="1">
      <c r="A133" s="200" t="s">
        <v>781</v>
      </c>
      <c r="B133" s="98" t="s">
        <v>265</v>
      </c>
      <c r="C133" s="200" t="s">
        <v>566</v>
      </c>
      <c r="D133" s="98" t="s">
        <v>697</v>
      </c>
      <c r="E133" s="98" t="s">
        <v>94</v>
      </c>
      <c r="F133" s="200" t="s">
        <v>802</v>
      </c>
      <c r="G133" s="200" t="s">
        <v>1132</v>
      </c>
      <c r="H133" s="98">
        <v>2020.08</v>
      </c>
      <c r="I133" s="98">
        <v>1014.79</v>
      </c>
      <c r="J133" s="98">
        <v>50739555714</v>
      </c>
      <c r="K133" s="98">
        <v>50000000000</v>
      </c>
      <c r="L133" s="98" t="s">
        <v>562</v>
      </c>
    </row>
    <row r="134" spans="1:12" ht="16.5" customHeight="1">
      <c r="A134" s="200" t="s">
        <v>781</v>
      </c>
      <c r="B134" s="98" t="s">
        <v>1133</v>
      </c>
      <c r="C134" s="200" t="s">
        <v>566</v>
      </c>
      <c r="D134" s="98" t="s">
        <v>697</v>
      </c>
      <c r="E134" s="98" t="s">
        <v>93</v>
      </c>
      <c r="F134" s="200" t="s">
        <v>1134</v>
      </c>
      <c r="G134" s="200" t="s">
        <v>1135</v>
      </c>
      <c r="H134" s="98">
        <v>2022.01</v>
      </c>
      <c r="I134" s="98">
        <v>1089.8</v>
      </c>
      <c r="J134" s="98" t="s">
        <v>636</v>
      </c>
      <c r="L134" s="98" t="s">
        <v>562</v>
      </c>
    </row>
    <row r="135" spans="1:12" ht="16.5" customHeight="1">
      <c r="A135" s="200" t="s">
        <v>781</v>
      </c>
      <c r="B135" s="98" t="s">
        <v>269</v>
      </c>
      <c r="C135" s="200" t="s">
        <v>566</v>
      </c>
      <c r="D135" s="98" t="s">
        <v>697</v>
      </c>
      <c r="E135" s="98" t="s">
        <v>94</v>
      </c>
      <c r="F135" s="98" t="s">
        <v>783</v>
      </c>
      <c r="G135" s="200" t="s">
        <v>1136</v>
      </c>
      <c r="H135" s="98">
        <v>2021.01</v>
      </c>
      <c r="L135" s="98" t="s">
        <v>589</v>
      </c>
    </row>
    <row r="136" spans="1:12" ht="16.5" customHeight="1">
      <c r="A136" s="200" t="s">
        <v>781</v>
      </c>
      <c r="B136" s="98" t="s">
        <v>270</v>
      </c>
      <c r="C136" s="200" t="s">
        <v>566</v>
      </c>
      <c r="D136" s="98" t="s">
        <v>697</v>
      </c>
      <c r="E136" s="98" t="s">
        <v>94</v>
      </c>
      <c r="F136" s="98" t="s">
        <v>783</v>
      </c>
      <c r="G136" s="200" t="s">
        <v>1137</v>
      </c>
      <c r="H136" s="98">
        <v>2021.01</v>
      </c>
      <c r="L136" s="98" t="s">
        <v>589</v>
      </c>
    </row>
    <row r="137" spans="1:12" ht="16.5" customHeight="1">
      <c r="A137" s="200" t="s">
        <v>781</v>
      </c>
      <c r="B137" s="98" t="s">
        <v>271</v>
      </c>
      <c r="C137" s="200" t="s">
        <v>566</v>
      </c>
      <c r="D137" s="98" t="s">
        <v>697</v>
      </c>
      <c r="E137" s="98" t="s">
        <v>94</v>
      </c>
      <c r="F137" s="98" t="s">
        <v>783</v>
      </c>
      <c r="G137" s="200" t="s">
        <v>1138</v>
      </c>
      <c r="H137" s="98">
        <v>2021.01</v>
      </c>
      <c r="L137" s="98" t="s">
        <v>589</v>
      </c>
    </row>
    <row r="138" spans="1:12" ht="16.5" customHeight="1">
      <c r="A138" s="200" t="s">
        <v>781</v>
      </c>
      <c r="B138" s="98" t="s">
        <v>275</v>
      </c>
      <c r="C138" s="200" t="s">
        <v>556</v>
      </c>
      <c r="D138" s="98" t="s">
        <v>697</v>
      </c>
      <c r="E138" s="98" t="s">
        <v>93</v>
      </c>
      <c r="F138" s="200" t="s">
        <v>871</v>
      </c>
      <c r="G138" s="200" t="s">
        <v>1139</v>
      </c>
      <c r="H138" s="201">
        <v>44068</v>
      </c>
      <c r="I138" s="98">
        <v>1019.27</v>
      </c>
      <c r="J138" s="98">
        <v>47636757211</v>
      </c>
      <c r="K138" s="98">
        <v>46736233067</v>
      </c>
      <c r="L138" s="98" t="s">
        <v>589</v>
      </c>
    </row>
    <row r="139" spans="1:12" ht="16.5" customHeight="1">
      <c r="A139" s="200" t="s">
        <v>781</v>
      </c>
      <c r="B139" s="98" t="s">
        <v>276</v>
      </c>
      <c r="C139" s="200" t="s">
        <v>556</v>
      </c>
      <c r="D139" s="98" t="s">
        <v>697</v>
      </c>
      <c r="E139" s="98" t="s">
        <v>93</v>
      </c>
      <c r="F139" s="200" t="s">
        <v>871</v>
      </c>
      <c r="G139" s="200" t="s">
        <v>1140</v>
      </c>
      <c r="H139" s="201">
        <v>44068</v>
      </c>
      <c r="I139" s="98">
        <v>1001.39</v>
      </c>
      <c r="J139" s="98">
        <v>25844304621</v>
      </c>
      <c r="K139" s="98">
        <v>25808422947</v>
      </c>
      <c r="L139" s="98" t="s">
        <v>562</v>
      </c>
    </row>
    <row r="140" spans="1:12" ht="16.5" customHeight="1">
      <c r="A140" s="200" t="s">
        <v>781</v>
      </c>
      <c r="B140" s="98" t="s">
        <v>277</v>
      </c>
      <c r="C140" s="200" t="s">
        <v>556</v>
      </c>
      <c r="D140" s="98" t="s">
        <v>697</v>
      </c>
      <c r="E140" s="98" t="s">
        <v>93</v>
      </c>
      <c r="F140" s="200" t="s">
        <v>871</v>
      </c>
      <c r="G140" s="200" t="s">
        <v>1141</v>
      </c>
      <c r="H140" s="201">
        <v>44124</v>
      </c>
      <c r="I140" s="98">
        <v>1159.1099999999999</v>
      </c>
      <c r="J140" s="98">
        <v>48889380208</v>
      </c>
      <c r="K140" s="98">
        <v>4006000000</v>
      </c>
      <c r="L140" s="98" t="s">
        <v>562</v>
      </c>
    </row>
    <row r="141" spans="1:12" ht="16.5" customHeight="1">
      <c r="A141" s="200" t="s">
        <v>781</v>
      </c>
      <c r="B141" s="98" t="s">
        <v>1142</v>
      </c>
      <c r="C141" s="200" t="s">
        <v>566</v>
      </c>
      <c r="D141" s="98" t="s">
        <v>697</v>
      </c>
      <c r="E141" s="98" t="s">
        <v>97</v>
      </c>
      <c r="F141" s="200" t="s">
        <v>802</v>
      </c>
      <c r="G141" s="200" t="s">
        <v>1143</v>
      </c>
      <c r="H141" s="98">
        <v>2020.04</v>
      </c>
      <c r="I141" s="98" t="s">
        <v>636</v>
      </c>
      <c r="J141" s="98" t="s">
        <v>636</v>
      </c>
      <c r="K141" s="98" t="s">
        <v>636</v>
      </c>
      <c r="L141" s="98" t="s">
        <v>589</v>
      </c>
    </row>
    <row r="142" spans="1:12" ht="16.5" customHeight="1">
      <c r="A142" s="200" t="s">
        <v>781</v>
      </c>
      <c r="B142" s="98" t="s">
        <v>1144</v>
      </c>
      <c r="C142" s="200" t="s">
        <v>566</v>
      </c>
      <c r="D142" s="98" t="s">
        <v>697</v>
      </c>
      <c r="E142" s="98" t="s">
        <v>96</v>
      </c>
      <c r="F142" s="200" t="s">
        <v>802</v>
      </c>
      <c r="G142" s="200" t="s">
        <v>1145</v>
      </c>
      <c r="H142" s="98">
        <v>2019.02</v>
      </c>
      <c r="I142" s="98" t="s">
        <v>636</v>
      </c>
      <c r="J142" s="98" t="s">
        <v>636</v>
      </c>
      <c r="K142" s="98" t="s">
        <v>636</v>
      </c>
      <c r="L142" s="98" t="s">
        <v>589</v>
      </c>
    </row>
    <row r="143" spans="1:12" ht="16.5" customHeight="1">
      <c r="A143" s="200" t="s">
        <v>781</v>
      </c>
      <c r="B143" s="98" t="s">
        <v>183</v>
      </c>
      <c r="C143" s="200" t="s">
        <v>566</v>
      </c>
      <c r="D143" s="98" t="s">
        <v>697</v>
      </c>
      <c r="E143" s="98" t="s">
        <v>93</v>
      </c>
      <c r="F143" s="98" t="s">
        <v>783</v>
      </c>
      <c r="G143" s="200" t="s">
        <v>1146</v>
      </c>
      <c r="H143" s="98">
        <v>2011.04</v>
      </c>
      <c r="I143" s="98">
        <v>939.55</v>
      </c>
      <c r="J143" s="98">
        <v>3125333300</v>
      </c>
      <c r="K143" s="98">
        <v>4344380432</v>
      </c>
    </row>
    <row r="144" spans="1:12" ht="16.5" customHeight="1">
      <c r="A144" s="200" t="s">
        <v>781</v>
      </c>
      <c r="B144" s="98" t="s">
        <v>1147</v>
      </c>
      <c r="C144" s="200" t="s">
        <v>566</v>
      </c>
      <c r="D144" s="98" t="s">
        <v>697</v>
      </c>
      <c r="F144" s="98" t="s">
        <v>861</v>
      </c>
      <c r="G144" s="200" t="s">
        <v>1148</v>
      </c>
      <c r="H144" s="98">
        <v>2021.09</v>
      </c>
    </row>
    <row r="145" spans="1:12" ht="16.5" customHeight="1">
      <c r="A145" s="200" t="s">
        <v>781</v>
      </c>
      <c r="C145" s="200" t="s">
        <v>566</v>
      </c>
      <c r="D145" s="98" t="s">
        <v>697</v>
      </c>
      <c r="E145" s="98" t="s">
        <v>95</v>
      </c>
      <c r="F145" s="98" t="s">
        <v>783</v>
      </c>
      <c r="G145" s="200" t="s">
        <v>1149</v>
      </c>
    </row>
    <row r="146" spans="1:12" ht="16.5" customHeight="1">
      <c r="A146" s="200" t="s">
        <v>781</v>
      </c>
      <c r="C146" s="200" t="s">
        <v>566</v>
      </c>
      <c r="D146" s="98" t="s">
        <v>697</v>
      </c>
      <c r="E146" s="98" t="s">
        <v>95</v>
      </c>
      <c r="F146" s="98" t="s">
        <v>783</v>
      </c>
      <c r="G146" s="200" t="s">
        <v>1150</v>
      </c>
      <c r="H146" s="98">
        <v>2021.12</v>
      </c>
    </row>
    <row r="147" spans="1:12" ht="16.5" customHeight="1">
      <c r="A147" s="200" t="s">
        <v>781</v>
      </c>
      <c r="C147" s="200" t="s">
        <v>566</v>
      </c>
      <c r="D147" s="98" t="s">
        <v>697</v>
      </c>
      <c r="F147" s="98" t="s">
        <v>783</v>
      </c>
      <c r="G147" s="200" t="s">
        <v>1151</v>
      </c>
      <c r="H147" s="98">
        <v>2022.03</v>
      </c>
    </row>
    <row r="148" spans="1:12" ht="16.5" customHeight="1">
      <c r="A148" s="200" t="s">
        <v>781</v>
      </c>
      <c r="B148" s="98">
        <v>70004</v>
      </c>
      <c r="C148" s="200" t="s">
        <v>566</v>
      </c>
      <c r="D148" s="98" t="s">
        <v>1152</v>
      </c>
      <c r="E148" s="98" t="s">
        <v>100</v>
      </c>
      <c r="F148" s="200" t="s">
        <v>841</v>
      </c>
      <c r="G148" s="200" t="s">
        <v>1153</v>
      </c>
      <c r="H148" s="201">
        <v>38805</v>
      </c>
      <c r="I148" s="98">
        <v>1965.92</v>
      </c>
      <c r="J148" s="98">
        <v>9633433662</v>
      </c>
      <c r="K148" s="98">
        <v>4900216109</v>
      </c>
      <c r="L148" s="98" t="s">
        <v>562</v>
      </c>
    </row>
    <row r="149" spans="1:12" ht="16.5" customHeight="1">
      <c r="A149" s="200" t="s">
        <v>781</v>
      </c>
      <c r="B149" s="98" t="s">
        <v>1154</v>
      </c>
      <c r="C149" s="200" t="s">
        <v>566</v>
      </c>
      <c r="D149" s="98" t="s">
        <v>697</v>
      </c>
      <c r="E149" s="98" t="s">
        <v>1155</v>
      </c>
      <c r="F149" s="98" t="s">
        <v>861</v>
      </c>
      <c r="G149" s="200" t="s">
        <v>1156</v>
      </c>
      <c r="H149" s="98">
        <v>2022.02</v>
      </c>
    </row>
    <row r="150" spans="1:12" ht="16.5" customHeight="1">
      <c r="A150" s="200" t="s">
        <v>781</v>
      </c>
      <c r="B150" s="98" t="s">
        <v>1157</v>
      </c>
      <c r="C150" s="200" t="s">
        <v>566</v>
      </c>
      <c r="D150" s="98" t="s">
        <v>697</v>
      </c>
      <c r="E150" s="98" t="s">
        <v>1155</v>
      </c>
      <c r="F150" s="98" t="s">
        <v>861</v>
      </c>
      <c r="G150" s="200" t="s">
        <v>1158</v>
      </c>
      <c r="H150" s="98">
        <v>2022.02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M48"/>
  <sheetViews>
    <sheetView zoomScaleNormal="100" workbookViewId="0"/>
  </sheetViews>
  <sheetFormatPr defaultColWidth="8.5546875" defaultRowHeight="13.5"/>
  <sheetData>
    <row r="1" spans="1:12" ht="16.5" customHeight="1">
      <c r="A1" s="200" t="s">
        <v>16</v>
      </c>
      <c r="B1" s="200" t="s">
        <v>506</v>
      </c>
      <c r="C1" s="200" t="s">
        <v>38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1159</v>
      </c>
      <c r="C2" s="98">
        <v>35101</v>
      </c>
      <c r="D2" s="200" t="s">
        <v>1160</v>
      </c>
      <c r="E2" s="98" t="s">
        <v>1161</v>
      </c>
      <c r="F2" s="98" t="s">
        <v>94</v>
      </c>
      <c r="G2" s="200" t="s">
        <v>1162</v>
      </c>
      <c r="H2" s="200" t="s">
        <v>1163</v>
      </c>
      <c r="I2" s="201">
        <v>40763</v>
      </c>
      <c r="J2" s="98">
        <v>1205.8</v>
      </c>
      <c r="K2" s="98">
        <v>27000000</v>
      </c>
      <c r="L2" s="98">
        <v>22000000</v>
      </c>
    </row>
    <row r="3" spans="1:12" ht="16.5" customHeight="1">
      <c r="A3" s="98">
        <v>2</v>
      </c>
      <c r="B3" s="200" t="s">
        <v>1159</v>
      </c>
      <c r="C3" s="98">
        <v>35201</v>
      </c>
      <c r="D3" s="200" t="s">
        <v>1160</v>
      </c>
      <c r="E3" s="98" t="s">
        <v>1164</v>
      </c>
      <c r="F3" s="98" t="s">
        <v>94</v>
      </c>
      <c r="G3" s="200" t="s">
        <v>1162</v>
      </c>
      <c r="H3" s="200" t="s">
        <v>1165</v>
      </c>
      <c r="I3" s="201">
        <v>40759</v>
      </c>
      <c r="J3" s="98">
        <v>984.97375699999998</v>
      </c>
      <c r="K3" s="98">
        <v>75901539</v>
      </c>
      <c r="L3" s="98">
        <v>77059453</v>
      </c>
    </row>
    <row r="4" spans="1:12" ht="16.5" customHeight="1">
      <c r="A4" s="98">
        <v>3</v>
      </c>
      <c r="B4" s="200" t="s">
        <v>1159</v>
      </c>
      <c r="C4" s="98">
        <v>35310</v>
      </c>
      <c r="D4" s="200" t="s">
        <v>1160</v>
      </c>
      <c r="E4" s="98" t="s">
        <v>1166</v>
      </c>
      <c r="F4" s="98" t="s">
        <v>97</v>
      </c>
      <c r="G4" s="200" t="s">
        <v>1162</v>
      </c>
      <c r="H4" s="200" t="s">
        <v>1167</v>
      </c>
      <c r="I4" s="201">
        <v>42732</v>
      </c>
      <c r="J4" s="98">
        <v>1166.0957249999999</v>
      </c>
      <c r="K4" s="98">
        <v>43282073</v>
      </c>
      <c r="L4" s="98">
        <v>37117084</v>
      </c>
    </row>
    <row r="5" spans="1:12" ht="16.5" customHeight="1">
      <c r="A5" s="98">
        <v>4</v>
      </c>
      <c r="B5" s="200" t="s">
        <v>1159</v>
      </c>
      <c r="C5" s="98">
        <v>35601</v>
      </c>
      <c r="D5" s="200" t="s">
        <v>1160</v>
      </c>
      <c r="E5" s="98" t="s">
        <v>1168</v>
      </c>
      <c r="F5" s="98" t="s">
        <v>97</v>
      </c>
      <c r="G5" s="200" t="s">
        <v>1162</v>
      </c>
      <c r="H5" s="200" t="s">
        <v>1169</v>
      </c>
      <c r="I5" s="201">
        <v>41169</v>
      </c>
      <c r="J5" s="98">
        <v>1176.9002519999999</v>
      </c>
      <c r="K5" s="98">
        <v>24060255048</v>
      </c>
      <c r="L5" s="98">
        <v>20443750441</v>
      </c>
    </row>
    <row r="6" spans="1:12" ht="16.5" customHeight="1">
      <c r="A6" s="98">
        <v>5</v>
      </c>
      <c r="B6" s="200" t="s">
        <v>1159</v>
      </c>
      <c r="C6" s="98">
        <v>35701</v>
      </c>
      <c r="D6" s="200" t="s">
        <v>1160</v>
      </c>
      <c r="E6" s="98" t="s">
        <v>1170</v>
      </c>
      <c r="F6" s="98" t="s">
        <v>97</v>
      </c>
      <c r="G6" s="200" t="s">
        <v>1162</v>
      </c>
      <c r="H6" s="200" t="s">
        <v>1171</v>
      </c>
      <c r="I6" s="201">
        <v>41169</v>
      </c>
      <c r="J6" s="98">
        <v>1043.436369</v>
      </c>
      <c r="K6" s="98">
        <v>2004555</v>
      </c>
      <c r="L6" s="98">
        <v>1921109</v>
      </c>
    </row>
    <row r="7" spans="1:12" ht="16.5" customHeight="1">
      <c r="A7" s="98">
        <v>6</v>
      </c>
      <c r="B7" s="200" t="s">
        <v>1159</v>
      </c>
      <c r="C7" s="98">
        <v>40631</v>
      </c>
      <c r="D7" s="200" t="s">
        <v>1160</v>
      </c>
      <c r="E7" s="98" t="s">
        <v>1172</v>
      </c>
      <c r="F7" s="98" t="s">
        <v>100</v>
      </c>
      <c r="G7" s="200" t="s">
        <v>1162</v>
      </c>
      <c r="H7" s="200" t="s">
        <v>1173</v>
      </c>
      <c r="I7" s="201">
        <v>39204</v>
      </c>
      <c r="J7" s="98">
        <v>1382.8110790000001</v>
      </c>
      <c r="K7" s="98">
        <v>12085277215</v>
      </c>
      <c r="L7" s="98">
        <v>8739644476</v>
      </c>
    </row>
    <row r="8" spans="1:12" ht="16.5" customHeight="1">
      <c r="A8" s="98">
        <v>7</v>
      </c>
      <c r="B8" s="200" t="s">
        <v>1159</v>
      </c>
      <c r="C8" s="98">
        <v>40641</v>
      </c>
      <c r="D8" s="200" t="s">
        <v>1160</v>
      </c>
      <c r="E8" s="98" t="s">
        <v>1174</v>
      </c>
      <c r="F8" s="98" t="s">
        <v>94</v>
      </c>
      <c r="G8" s="200" t="s">
        <v>1162</v>
      </c>
      <c r="H8" s="200" t="s">
        <v>1175</v>
      </c>
      <c r="I8" s="201">
        <v>41625</v>
      </c>
      <c r="J8" s="98">
        <v>1091.6967010000001</v>
      </c>
      <c r="K8" s="98">
        <v>25446349097</v>
      </c>
      <c r="L8" s="98">
        <v>23308991455</v>
      </c>
    </row>
    <row r="9" spans="1:12" ht="16.5" customHeight="1">
      <c r="A9" s="98">
        <v>8</v>
      </c>
      <c r="B9" s="200" t="s">
        <v>1159</v>
      </c>
      <c r="C9" s="98">
        <v>42710</v>
      </c>
      <c r="D9" s="200" t="s">
        <v>1160</v>
      </c>
      <c r="E9" s="98" t="s">
        <v>1176</v>
      </c>
      <c r="F9" s="98" t="s">
        <v>98</v>
      </c>
      <c r="G9" s="200" t="s">
        <v>1162</v>
      </c>
      <c r="H9" s="200" t="s">
        <v>1177</v>
      </c>
      <c r="I9" s="201">
        <v>41460</v>
      </c>
      <c r="J9" s="98">
        <v>953.86647800000003</v>
      </c>
      <c r="K9" s="98">
        <v>358633819</v>
      </c>
      <c r="L9" s="98">
        <v>375979057</v>
      </c>
    </row>
    <row r="10" spans="1:12" ht="16.5" customHeight="1">
      <c r="A10" s="98">
        <v>9</v>
      </c>
      <c r="B10" s="200" t="s">
        <v>1159</v>
      </c>
      <c r="C10" s="98">
        <v>42750</v>
      </c>
      <c r="D10" s="200" t="s">
        <v>1160</v>
      </c>
      <c r="E10" s="98" t="s">
        <v>1178</v>
      </c>
      <c r="F10" s="98" t="s">
        <v>98</v>
      </c>
      <c r="G10" s="200" t="s">
        <v>1162</v>
      </c>
      <c r="H10" s="200" t="s">
        <v>1179</v>
      </c>
      <c r="I10" s="201">
        <v>41883</v>
      </c>
      <c r="J10" s="98">
        <v>820.10135200000002</v>
      </c>
      <c r="K10" s="98">
        <v>29961705</v>
      </c>
      <c r="L10" s="98">
        <v>36534149</v>
      </c>
    </row>
    <row r="11" spans="1:12" ht="16.5" customHeight="1">
      <c r="A11" s="98">
        <v>10</v>
      </c>
      <c r="B11" s="200" t="s">
        <v>1159</v>
      </c>
      <c r="C11" s="98">
        <v>43900</v>
      </c>
      <c r="D11" s="200" t="s">
        <v>1160</v>
      </c>
      <c r="E11" s="98" t="s">
        <v>1180</v>
      </c>
      <c r="F11" s="98" t="s">
        <v>100</v>
      </c>
      <c r="G11" s="200" t="s">
        <v>1162</v>
      </c>
      <c r="H11" s="200" t="s">
        <v>1181</v>
      </c>
      <c r="I11" s="201">
        <v>43565</v>
      </c>
      <c r="J11" s="98">
        <v>1098.2243840000001</v>
      </c>
      <c r="K11" s="98">
        <v>91759238</v>
      </c>
      <c r="L11" s="98">
        <v>83552359</v>
      </c>
    </row>
    <row r="12" spans="1:12" ht="16.5" customHeight="1">
      <c r="A12" s="98">
        <v>11</v>
      </c>
      <c r="B12" s="200" t="s">
        <v>1159</v>
      </c>
      <c r="C12" s="98">
        <v>62001</v>
      </c>
      <c r="D12" s="200" t="s">
        <v>1160</v>
      </c>
      <c r="E12" s="98" t="s">
        <v>1182</v>
      </c>
      <c r="F12" s="98" t="s">
        <v>100</v>
      </c>
      <c r="G12" s="200" t="s">
        <v>1162</v>
      </c>
      <c r="H12" s="200" t="s">
        <v>1183</v>
      </c>
      <c r="I12" s="201">
        <v>38398</v>
      </c>
      <c r="J12" s="98">
        <v>1317.1605750000001</v>
      </c>
      <c r="K12" s="98">
        <v>2172188238</v>
      </c>
      <c r="L12" s="98">
        <v>1649144590</v>
      </c>
    </row>
    <row r="13" spans="1:12" ht="16.5" customHeight="1">
      <c r="A13" s="98">
        <v>12</v>
      </c>
      <c r="B13" s="200" t="s">
        <v>1159</v>
      </c>
      <c r="C13" s="98">
        <v>62002</v>
      </c>
      <c r="D13" s="200" t="s">
        <v>1160</v>
      </c>
      <c r="E13" s="98" t="s">
        <v>1184</v>
      </c>
      <c r="F13" s="98" t="s">
        <v>100</v>
      </c>
      <c r="G13" s="200" t="s">
        <v>1162</v>
      </c>
      <c r="H13" s="200" t="s">
        <v>1185</v>
      </c>
      <c r="I13" s="201">
        <v>38537</v>
      </c>
      <c r="J13" s="98">
        <v>1177.1728129999999</v>
      </c>
      <c r="K13" s="98">
        <v>1684527994</v>
      </c>
      <c r="L13" s="98">
        <v>1430994646</v>
      </c>
    </row>
    <row r="14" spans="1:12" ht="16.5" customHeight="1">
      <c r="A14" s="98">
        <v>13</v>
      </c>
      <c r="B14" s="200" t="s">
        <v>1159</v>
      </c>
      <c r="C14" s="98">
        <v>62003</v>
      </c>
      <c r="D14" s="200" t="s">
        <v>1160</v>
      </c>
      <c r="E14" s="98" t="s">
        <v>1186</v>
      </c>
      <c r="F14" s="98" t="s">
        <v>100</v>
      </c>
      <c r="G14" s="200" t="s">
        <v>1162</v>
      </c>
      <c r="H14" s="200" t="s">
        <v>1187</v>
      </c>
      <c r="I14" s="201">
        <v>38783</v>
      </c>
      <c r="J14" s="98">
        <v>1303.662583</v>
      </c>
      <c r="K14" s="98">
        <v>434417385</v>
      </c>
      <c r="L14" s="98">
        <v>333228391</v>
      </c>
    </row>
    <row r="15" spans="1:12" ht="16.5" customHeight="1">
      <c r="A15" s="98">
        <v>14</v>
      </c>
      <c r="B15" s="200" t="s">
        <v>1159</v>
      </c>
      <c r="C15" s="98">
        <v>63311</v>
      </c>
      <c r="D15" s="200" t="s">
        <v>1160</v>
      </c>
      <c r="E15" s="98" t="s">
        <v>1188</v>
      </c>
      <c r="F15" s="98" t="s">
        <v>100</v>
      </c>
      <c r="G15" s="200" t="s">
        <v>1162</v>
      </c>
      <c r="H15" s="200" t="s">
        <v>1189</v>
      </c>
      <c r="I15" s="201">
        <v>39128</v>
      </c>
      <c r="J15" s="98">
        <v>1692.17</v>
      </c>
      <c r="K15" s="98">
        <v>2066000000</v>
      </c>
      <c r="L15" s="98">
        <v>1221000000</v>
      </c>
    </row>
    <row r="16" spans="1:12" ht="16.5" customHeight="1">
      <c r="A16" s="98">
        <v>15</v>
      </c>
      <c r="B16" s="200" t="s">
        <v>1159</v>
      </c>
      <c r="C16" s="98">
        <v>63751</v>
      </c>
      <c r="D16" s="200" t="s">
        <v>1160</v>
      </c>
      <c r="E16" s="98" t="s">
        <v>1190</v>
      </c>
      <c r="F16" s="98" t="s">
        <v>94</v>
      </c>
      <c r="G16" s="200" t="s">
        <v>1162</v>
      </c>
      <c r="H16" s="200" t="s">
        <v>1191</v>
      </c>
      <c r="I16" s="201">
        <v>40093</v>
      </c>
      <c r="J16" s="98">
        <v>1093.44507</v>
      </c>
      <c r="K16" s="98">
        <v>61082063724</v>
      </c>
      <c r="L16" s="98">
        <v>55862032166</v>
      </c>
    </row>
    <row r="17" spans="1:13" ht="16.5" customHeight="1">
      <c r="A17" s="98">
        <v>16</v>
      </c>
      <c r="B17" s="200" t="s">
        <v>1159</v>
      </c>
      <c r="C17" s="98">
        <v>64301</v>
      </c>
      <c r="D17" s="200" t="s">
        <v>1160</v>
      </c>
      <c r="E17" s="98" t="s">
        <v>1192</v>
      </c>
      <c r="F17" s="98" t="s">
        <v>94</v>
      </c>
      <c r="G17" s="200" t="s">
        <v>1162</v>
      </c>
      <c r="H17" s="200" t="s">
        <v>1193</v>
      </c>
      <c r="I17" s="201">
        <v>40322</v>
      </c>
      <c r="J17" s="98">
        <v>704.56644500000004</v>
      </c>
      <c r="K17" s="98">
        <v>1144349046</v>
      </c>
      <c r="L17" s="98">
        <v>1624188965</v>
      </c>
    </row>
    <row r="18" spans="1:13" ht="16.5" customHeight="1">
      <c r="A18" s="98">
        <v>17</v>
      </c>
      <c r="B18" s="200" t="s">
        <v>1159</v>
      </c>
      <c r="C18" s="98">
        <v>65101</v>
      </c>
      <c r="D18" s="200" t="s">
        <v>1160</v>
      </c>
      <c r="E18" s="98" t="s">
        <v>1194</v>
      </c>
      <c r="F18" s="98" t="s">
        <v>94</v>
      </c>
      <c r="G18" s="200" t="s">
        <v>1162</v>
      </c>
      <c r="H18" s="200" t="s">
        <v>1195</v>
      </c>
      <c r="I18" s="201">
        <v>42485</v>
      </c>
      <c r="J18" s="98">
        <v>1148.3277720000001</v>
      </c>
      <c r="K18" s="98">
        <v>5692069</v>
      </c>
      <c r="L18" s="98">
        <v>4956833</v>
      </c>
    </row>
    <row r="19" spans="1:13" ht="16.5" customHeight="1">
      <c r="A19" s="98">
        <v>18</v>
      </c>
      <c r="B19" s="200" t="s">
        <v>1159</v>
      </c>
      <c r="C19" s="98">
        <v>65201</v>
      </c>
      <c r="D19" s="200" t="s">
        <v>1160</v>
      </c>
      <c r="E19" s="98" t="s">
        <v>1196</v>
      </c>
      <c r="F19" s="98" t="s">
        <v>94</v>
      </c>
      <c r="G19" s="200" t="s">
        <v>1162</v>
      </c>
      <c r="H19" s="200" t="s">
        <v>1197</v>
      </c>
      <c r="I19" s="201">
        <v>42485</v>
      </c>
      <c r="J19" s="98">
        <v>1271.0120790000001</v>
      </c>
      <c r="K19" s="98">
        <v>1189343278</v>
      </c>
      <c r="L19" s="98">
        <v>935745063</v>
      </c>
    </row>
    <row r="20" spans="1:13" ht="16.5" customHeight="1">
      <c r="A20" s="98">
        <v>19</v>
      </c>
      <c r="B20" s="200" t="s">
        <v>1159</v>
      </c>
      <c r="C20" s="98">
        <v>35100</v>
      </c>
      <c r="D20" s="200" t="s">
        <v>1160</v>
      </c>
      <c r="E20" s="98" t="s">
        <v>1198</v>
      </c>
      <c r="F20" s="98" t="s">
        <v>94</v>
      </c>
      <c r="G20" s="200" t="s">
        <v>1162</v>
      </c>
      <c r="H20" s="200" t="s">
        <v>1199</v>
      </c>
      <c r="I20" s="201">
        <v>41029</v>
      </c>
      <c r="J20" s="98">
        <v>1253.7735580000001</v>
      </c>
      <c r="K20" s="98">
        <v>181604140</v>
      </c>
      <c r="L20" s="98">
        <v>144846044</v>
      </c>
    </row>
    <row r="21" spans="1:13" ht="16.5" customHeight="1">
      <c r="A21" s="98">
        <v>20</v>
      </c>
      <c r="B21" s="200" t="s">
        <v>1159</v>
      </c>
      <c r="C21" s="98">
        <v>35600</v>
      </c>
      <c r="D21" s="200" t="s">
        <v>1160</v>
      </c>
      <c r="E21" s="98" t="s">
        <v>1200</v>
      </c>
      <c r="F21" s="98" t="s">
        <v>97</v>
      </c>
      <c r="G21" s="200" t="s">
        <v>1162</v>
      </c>
      <c r="H21" s="200" t="s">
        <v>1201</v>
      </c>
      <c r="I21" s="201">
        <v>41171</v>
      </c>
      <c r="J21" s="98">
        <v>1289.219102</v>
      </c>
      <c r="K21" s="98">
        <v>50638727750</v>
      </c>
      <c r="L21" s="98">
        <v>39278604890</v>
      </c>
    </row>
    <row r="22" spans="1:13" ht="16.5" customHeight="1">
      <c r="A22" s="98">
        <v>21</v>
      </c>
      <c r="B22" s="200" t="s">
        <v>1159</v>
      </c>
      <c r="C22" s="98">
        <v>39100</v>
      </c>
      <c r="D22" s="200" t="s">
        <v>1160</v>
      </c>
      <c r="E22" s="98" t="s">
        <v>1202</v>
      </c>
      <c r="F22" s="98" t="s">
        <v>98</v>
      </c>
      <c r="G22" s="200" t="s">
        <v>1162</v>
      </c>
      <c r="H22" s="200" t="s">
        <v>1203</v>
      </c>
      <c r="I22" s="201">
        <v>43858</v>
      </c>
      <c r="J22" s="98">
        <v>1034.8948439999999</v>
      </c>
      <c r="K22" s="98">
        <v>6383644306</v>
      </c>
      <c r="L22" s="98">
        <v>6168398980</v>
      </c>
    </row>
    <row r="23" spans="1:13" ht="16.5" customHeight="1">
      <c r="A23" s="98">
        <v>22</v>
      </c>
      <c r="B23" s="200" t="s">
        <v>1159</v>
      </c>
      <c r="C23" s="98">
        <v>42701</v>
      </c>
      <c r="D23" s="200" t="s">
        <v>1160</v>
      </c>
      <c r="E23" s="98" t="s">
        <v>1204</v>
      </c>
      <c r="F23" s="98" t="s">
        <v>98</v>
      </c>
      <c r="G23" s="200" t="s">
        <v>1162</v>
      </c>
      <c r="H23" s="200" t="s">
        <v>1205</v>
      </c>
      <c r="I23" s="201">
        <v>41460</v>
      </c>
      <c r="J23" s="98">
        <v>1435.1791229999999</v>
      </c>
      <c r="K23" s="98">
        <v>889421098</v>
      </c>
      <c r="L23" s="98">
        <v>619728286</v>
      </c>
    </row>
    <row r="24" spans="1:13" ht="16.5" customHeight="1">
      <c r="A24" s="98">
        <v>23</v>
      </c>
      <c r="B24" s="200" t="s">
        <v>1159</v>
      </c>
      <c r="C24" s="98">
        <v>62000</v>
      </c>
      <c r="D24" s="200" t="s">
        <v>1160</v>
      </c>
      <c r="E24" s="98" t="s">
        <v>1206</v>
      </c>
      <c r="F24" s="98" t="s">
        <v>100</v>
      </c>
      <c r="G24" s="200" t="s">
        <v>1162</v>
      </c>
      <c r="H24" s="200" t="s">
        <v>1207</v>
      </c>
      <c r="I24" s="201">
        <v>42459</v>
      </c>
      <c r="J24" s="98">
        <v>1515.0020420000001</v>
      </c>
      <c r="K24" s="98">
        <v>7440221017</v>
      </c>
      <c r="L24" s="98">
        <v>4911030353</v>
      </c>
    </row>
    <row r="25" spans="1:13" ht="16.5" customHeight="1">
      <c r="A25" s="98">
        <v>24</v>
      </c>
      <c r="B25" s="200" t="s">
        <v>1159</v>
      </c>
      <c r="C25" s="98">
        <v>63101</v>
      </c>
      <c r="D25" s="200" t="s">
        <v>1160</v>
      </c>
      <c r="E25" s="98" t="s">
        <v>1208</v>
      </c>
      <c r="F25" s="98" t="s">
        <v>100</v>
      </c>
      <c r="G25" s="200" t="s">
        <v>1162</v>
      </c>
      <c r="H25" s="200" t="s">
        <v>1209</v>
      </c>
      <c r="I25" s="201">
        <v>38953</v>
      </c>
      <c r="J25" s="98">
        <v>1993.990963</v>
      </c>
      <c r="K25" s="98">
        <v>22365685573</v>
      </c>
      <c r="L25" s="98">
        <v>11216543093</v>
      </c>
    </row>
    <row r="26" spans="1:13" ht="16.5" customHeight="1">
      <c r="A26" s="98">
        <v>25</v>
      </c>
      <c r="B26" s="200" t="s">
        <v>1159</v>
      </c>
      <c r="C26" s="98">
        <v>63301</v>
      </c>
      <c r="D26" s="200" t="s">
        <v>1160</v>
      </c>
      <c r="E26" s="98" t="s">
        <v>1210</v>
      </c>
      <c r="F26" s="98" t="s">
        <v>100</v>
      </c>
      <c r="G26" s="200" t="s">
        <v>1162</v>
      </c>
      <c r="H26" s="200" t="s">
        <v>1211</v>
      </c>
      <c r="I26" s="201">
        <v>39128</v>
      </c>
      <c r="J26" s="98">
        <v>1725.870334</v>
      </c>
      <c r="K26" s="98">
        <v>2047630763</v>
      </c>
      <c r="L26" s="98">
        <v>1186433721</v>
      </c>
    </row>
    <row r="27" spans="1:13" ht="16.5" customHeight="1">
      <c r="A27" s="98">
        <v>26</v>
      </c>
      <c r="B27" s="200" t="s">
        <v>1159</v>
      </c>
      <c r="C27" s="98">
        <v>63650</v>
      </c>
      <c r="D27" s="200" t="s">
        <v>1160</v>
      </c>
      <c r="E27" s="98" t="s">
        <v>1212</v>
      </c>
      <c r="F27" s="98" t="s">
        <v>94</v>
      </c>
      <c r="G27" s="200" t="s">
        <v>1162</v>
      </c>
      <c r="H27" s="200" t="s">
        <v>1213</v>
      </c>
      <c r="I27" s="201">
        <v>40077</v>
      </c>
      <c r="J27" s="98">
        <v>1737.518812</v>
      </c>
      <c r="K27" s="98">
        <v>248518671954</v>
      </c>
      <c r="L27" s="98">
        <v>143030780535</v>
      </c>
    </row>
    <row r="28" spans="1:13" ht="16.5" customHeight="1">
      <c r="A28" s="98">
        <v>27</v>
      </c>
      <c r="B28" s="200" t="s">
        <v>1159</v>
      </c>
      <c r="C28" s="98">
        <v>67001</v>
      </c>
      <c r="D28" s="200" t="s">
        <v>1160</v>
      </c>
      <c r="E28" s="98" t="s">
        <v>1214</v>
      </c>
      <c r="F28" s="98" t="s">
        <v>95</v>
      </c>
      <c r="G28" s="200" t="s">
        <v>1162</v>
      </c>
      <c r="H28" s="200" t="s">
        <v>1215</v>
      </c>
      <c r="I28" s="201">
        <v>41785</v>
      </c>
      <c r="J28" s="98">
        <v>991.97738800000002</v>
      </c>
      <c r="K28" s="98">
        <v>21190995901</v>
      </c>
      <c r="L28" s="98">
        <v>21362377954</v>
      </c>
    </row>
    <row r="29" spans="1:13" ht="16.5" customHeight="1">
      <c r="A29" s="98">
        <v>28</v>
      </c>
      <c r="B29" s="200" t="s">
        <v>1159</v>
      </c>
      <c r="C29" s="98">
        <v>67101</v>
      </c>
      <c r="D29" s="200" t="s">
        <v>1160</v>
      </c>
      <c r="E29" s="98" t="s">
        <v>1216</v>
      </c>
      <c r="F29" s="98" t="s">
        <v>95</v>
      </c>
      <c r="G29" s="200" t="s">
        <v>1162</v>
      </c>
      <c r="H29" s="200" t="s">
        <v>1217</v>
      </c>
      <c r="I29" s="201">
        <v>41785</v>
      </c>
      <c r="J29" s="98">
        <v>1060.4110929999999</v>
      </c>
      <c r="K29" s="98">
        <v>13102574286</v>
      </c>
      <c r="L29" s="98">
        <v>12356127138</v>
      </c>
      <c r="M29" s="200" t="s">
        <v>1218</v>
      </c>
    </row>
    <row r="30" spans="1:13" ht="16.5" customHeight="1">
      <c r="A30" s="98">
        <v>29</v>
      </c>
      <c r="B30" s="200" t="s">
        <v>1159</v>
      </c>
      <c r="C30" s="98">
        <v>67301</v>
      </c>
      <c r="D30" s="200" t="s">
        <v>1160</v>
      </c>
      <c r="E30" s="98" t="s">
        <v>1219</v>
      </c>
      <c r="F30" s="98" t="s">
        <v>95</v>
      </c>
      <c r="G30" s="200" t="s">
        <v>1162</v>
      </c>
      <c r="H30" s="200" t="s">
        <v>1220</v>
      </c>
      <c r="I30" s="201">
        <v>42251</v>
      </c>
      <c r="J30" s="98">
        <v>1080.3587669999999</v>
      </c>
      <c r="K30" s="98">
        <v>1636775918</v>
      </c>
      <c r="L30" s="98">
        <v>1515029976</v>
      </c>
    </row>
    <row r="31" spans="1:13" ht="16.5" customHeight="1">
      <c r="A31" s="98">
        <v>30</v>
      </c>
      <c r="B31" s="200" t="s">
        <v>1159</v>
      </c>
      <c r="C31" s="98">
        <v>68100</v>
      </c>
      <c r="D31" s="200" t="s">
        <v>1160</v>
      </c>
      <c r="E31" s="98" t="s">
        <v>1221</v>
      </c>
      <c r="F31" s="98" t="s">
        <v>100</v>
      </c>
      <c r="G31" s="200" t="s">
        <v>1162</v>
      </c>
      <c r="H31" s="200" t="s">
        <v>1222</v>
      </c>
      <c r="I31" s="201">
        <v>42086</v>
      </c>
      <c r="J31" s="98">
        <v>1382.5895149999999</v>
      </c>
      <c r="K31" s="98">
        <v>2084701356</v>
      </c>
      <c r="L31" s="98">
        <v>1507823785</v>
      </c>
    </row>
    <row r="32" spans="1:13" ht="16.5" customHeight="1">
      <c r="A32" s="98">
        <v>31</v>
      </c>
      <c r="B32" s="200" t="s">
        <v>1159</v>
      </c>
      <c r="C32" s="98">
        <v>68101</v>
      </c>
      <c r="D32" s="200" t="s">
        <v>1160</v>
      </c>
      <c r="E32" s="98" t="s">
        <v>1223</v>
      </c>
      <c r="F32" s="98" t="s">
        <v>100</v>
      </c>
      <c r="G32" s="200" t="s">
        <v>1162</v>
      </c>
      <c r="H32" s="200" t="s">
        <v>1224</v>
      </c>
      <c r="I32" s="201">
        <v>42086</v>
      </c>
      <c r="J32" s="98">
        <v>1941.1288979999999</v>
      </c>
      <c r="K32" s="98">
        <v>336270071</v>
      </c>
      <c r="L32" s="98">
        <v>173234282</v>
      </c>
    </row>
    <row r="33" spans="1:12" ht="16.5" customHeight="1">
      <c r="A33" s="98">
        <v>32</v>
      </c>
      <c r="B33" s="200" t="s">
        <v>1159</v>
      </c>
      <c r="C33" s="98">
        <v>68201</v>
      </c>
      <c r="D33" s="200" t="s">
        <v>1160</v>
      </c>
      <c r="E33" s="98" t="s">
        <v>1225</v>
      </c>
      <c r="F33" s="98" t="s">
        <v>98</v>
      </c>
      <c r="G33" s="200" t="s">
        <v>1162</v>
      </c>
      <c r="H33" s="200" t="s">
        <v>1226</v>
      </c>
      <c r="I33" s="201">
        <v>45124</v>
      </c>
      <c r="J33" s="98">
        <v>1022.066085</v>
      </c>
      <c r="K33" s="98">
        <v>278515216</v>
      </c>
      <c r="L33" s="98">
        <v>272502160</v>
      </c>
    </row>
    <row r="34" spans="1:12" ht="16.5" customHeight="1">
      <c r="A34" s="98">
        <v>33</v>
      </c>
      <c r="B34" s="200" t="s">
        <v>1159</v>
      </c>
      <c r="C34" s="98">
        <v>68301</v>
      </c>
      <c r="D34" s="200" t="s">
        <v>1160</v>
      </c>
      <c r="E34" s="98" t="s">
        <v>1227</v>
      </c>
      <c r="F34" s="98" t="s">
        <v>98</v>
      </c>
      <c r="G34" s="200" t="s">
        <v>1162</v>
      </c>
      <c r="H34" s="200" t="s">
        <v>1228</v>
      </c>
      <c r="I34" s="201">
        <v>45124</v>
      </c>
      <c r="J34" s="98">
        <v>1000</v>
      </c>
    </row>
    <row r="35" spans="1:12" ht="16.5" customHeight="1">
      <c r="A35" s="98">
        <v>34</v>
      </c>
      <c r="B35" s="200" t="s">
        <v>1159</v>
      </c>
      <c r="C35" s="98">
        <v>63250</v>
      </c>
      <c r="D35" s="200" t="s">
        <v>1160</v>
      </c>
      <c r="E35" s="98" t="s">
        <v>1229</v>
      </c>
      <c r="F35" s="98" t="s">
        <v>94</v>
      </c>
      <c r="G35" s="200" t="s">
        <v>1162</v>
      </c>
      <c r="H35" s="200" t="s">
        <v>1230</v>
      </c>
      <c r="I35" s="201">
        <v>44109</v>
      </c>
    </row>
    <row r="36" spans="1:12" ht="16.5" customHeight="1">
      <c r="A36" s="98">
        <v>35</v>
      </c>
      <c r="B36" s="200" t="s">
        <v>1159</v>
      </c>
      <c r="C36" s="98">
        <v>64251</v>
      </c>
      <c r="D36" s="200" t="s">
        <v>1160</v>
      </c>
      <c r="E36" s="98" t="s">
        <v>1231</v>
      </c>
      <c r="F36" s="98" t="s">
        <v>94</v>
      </c>
      <c r="G36" s="200" t="s">
        <v>1162</v>
      </c>
      <c r="H36" s="200" t="s">
        <v>1232</v>
      </c>
      <c r="I36" s="201">
        <v>40322</v>
      </c>
    </row>
    <row r="37" spans="1:12" ht="16.5" customHeight="1">
      <c r="A37" s="98">
        <v>36</v>
      </c>
      <c r="B37" s="200" t="s">
        <v>1159</v>
      </c>
      <c r="C37" s="98">
        <v>66100</v>
      </c>
      <c r="D37" s="200" t="s">
        <v>1160</v>
      </c>
      <c r="E37" s="98" t="s">
        <v>1233</v>
      </c>
      <c r="F37" s="98" t="s">
        <v>94</v>
      </c>
      <c r="G37" s="200" t="s">
        <v>1162</v>
      </c>
      <c r="H37" s="200" t="s">
        <v>1234</v>
      </c>
      <c r="I37" s="201">
        <v>46143</v>
      </c>
      <c r="J37" s="98">
        <v>1000</v>
      </c>
    </row>
    <row r="38" spans="1:12" ht="16.5" customHeight="1">
      <c r="A38" s="98">
        <v>37</v>
      </c>
      <c r="B38" s="200" t="s">
        <v>1159</v>
      </c>
      <c r="C38" s="98">
        <v>66101</v>
      </c>
      <c r="D38" s="200" t="s">
        <v>1160</v>
      </c>
      <c r="E38" s="98" t="s">
        <v>1235</v>
      </c>
      <c r="F38" s="98" t="s">
        <v>94</v>
      </c>
      <c r="G38" s="200" t="s">
        <v>1162</v>
      </c>
      <c r="H38" s="200" t="s">
        <v>1236</v>
      </c>
      <c r="I38" s="201">
        <v>46143</v>
      </c>
      <c r="J38" s="98">
        <v>1000</v>
      </c>
    </row>
    <row r="41" spans="1:12" ht="15" customHeight="1">
      <c r="A41" s="200" t="s">
        <v>633</v>
      </c>
    </row>
    <row r="42" spans="1:12" ht="16.5" customHeight="1">
      <c r="A42" s="98">
        <v>1</v>
      </c>
      <c r="B42" s="98" t="s">
        <v>1237</v>
      </c>
      <c r="C42" s="98">
        <v>42411</v>
      </c>
      <c r="D42" s="200" t="s">
        <v>1160</v>
      </c>
      <c r="E42" s="98" t="s">
        <v>697</v>
      </c>
      <c r="F42" s="98" t="s">
        <v>98</v>
      </c>
      <c r="G42" s="200" t="s">
        <v>1162</v>
      </c>
      <c r="H42" s="200" t="s">
        <v>1238</v>
      </c>
      <c r="I42" s="201">
        <v>40785</v>
      </c>
      <c r="J42" s="98">
        <v>989.01832999999999</v>
      </c>
      <c r="K42" s="98">
        <v>1922056402</v>
      </c>
      <c r="L42" s="98">
        <v>1943398158</v>
      </c>
    </row>
    <row r="43" spans="1:12" ht="16.5" customHeight="1">
      <c r="A43" s="98">
        <v>2</v>
      </c>
      <c r="B43" s="98" t="s">
        <v>1237</v>
      </c>
      <c r="C43" s="98">
        <v>61101</v>
      </c>
      <c r="D43" s="200" t="s">
        <v>1239</v>
      </c>
      <c r="E43" s="98" t="s">
        <v>697</v>
      </c>
      <c r="F43" s="98" t="s">
        <v>100</v>
      </c>
      <c r="G43" s="200" t="s">
        <v>1162</v>
      </c>
      <c r="H43" s="200" t="s">
        <v>1240</v>
      </c>
      <c r="I43" s="201">
        <v>41753</v>
      </c>
      <c r="J43" s="98">
        <v>1009.03</v>
      </c>
      <c r="K43" s="98">
        <v>51010090352</v>
      </c>
      <c r="L43" s="98">
        <v>50553824130</v>
      </c>
    </row>
    <row r="44" spans="1:12" ht="16.5" customHeight="1">
      <c r="A44" s="98">
        <v>3</v>
      </c>
      <c r="B44" s="98" t="s">
        <v>1237</v>
      </c>
      <c r="C44" s="98">
        <v>63511</v>
      </c>
      <c r="D44" s="200" t="s">
        <v>1160</v>
      </c>
      <c r="E44" s="98" t="s">
        <v>697</v>
      </c>
      <c r="F44" s="98" t="s">
        <v>100</v>
      </c>
      <c r="G44" s="200" t="s">
        <v>1162</v>
      </c>
      <c r="H44" s="200" t="s">
        <v>1241</v>
      </c>
      <c r="I44" s="201">
        <v>39373</v>
      </c>
      <c r="J44" s="98">
        <v>1370.2036989999999</v>
      </c>
      <c r="K44" s="98">
        <v>176054548</v>
      </c>
      <c r="L44" s="98">
        <v>128487865</v>
      </c>
    </row>
    <row r="45" spans="1:12" ht="16.5" customHeight="1">
      <c r="A45" s="98">
        <v>4</v>
      </c>
      <c r="B45" s="98" t="s">
        <v>1237</v>
      </c>
      <c r="C45" s="98">
        <v>63501</v>
      </c>
      <c r="D45" s="200" t="s">
        <v>1160</v>
      </c>
      <c r="E45" s="98" t="s">
        <v>697</v>
      </c>
      <c r="F45" s="98" t="s">
        <v>100</v>
      </c>
      <c r="G45" s="200" t="s">
        <v>1162</v>
      </c>
      <c r="H45" s="200" t="s">
        <v>1242</v>
      </c>
      <c r="I45" s="201">
        <v>39170</v>
      </c>
      <c r="J45" s="98">
        <v>1937.4678180000001</v>
      </c>
      <c r="K45" s="98">
        <v>4802819710</v>
      </c>
      <c r="L45" s="98">
        <v>2478915863</v>
      </c>
    </row>
    <row r="46" spans="1:12" ht="16.5" customHeight="1">
      <c r="A46" s="98">
        <v>5</v>
      </c>
      <c r="B46" s="98" t="s">
        <v>1237</v>
      </c>
      <c r="C46" s="98">
        <v>63531</v>
      </c>
      <c r="D46" s="200" t="s">
        <v>1160</v>
      </c>
      <c r="E46" s="98" t="s">
        <v>697</v>
      </c>
      <c r="F46" s="98" t="s">
        <v>100</v>
      </c>
      <c r="G46" s="200" t="s">
        <v>1162</v>
      </c>
      <c r="H46" s="200" t="s">
        <v>1243</v>
      </c>
      <c r="I46" s="201">
        <v>39170</v>
      </c>
      <c r="J46" s="98">
        <v>1622.9608390000001</v>
      </c>
      <c r="K46" s="98">
        <v>1374802869</v>
      </c>
      <c r="L46" s="98">
        <v>847095528</v>
      </c>
    </row>
    <row r="47" spans="1:12" ht="16.5" customHeight="1">
      <c r="A47" s="98">
        <v>6</v>
      </c>
      <c r="B47" s="98" t="s">
        <v>1237</v>
      </c>
      <c r="C47" s="98">
        <v>69201</v>
      </c>
      <c r="D47" s="200" t="s">
        <v>1160</v>
      </c>
      <c r="E47" s="98" t="s">
        <v>697</v>
      </c>
      <c r="F47" s="98" t="s">
        <v>100</v>
      </c>
      <c r="G47" s="200" t="s">
        <v>1162</v>
      </c>
      <c r="H47" s="200" t="s">
        <v>1244</v>
      </c>
      <c r="I47" s="201">
        <v>43154</v>
      </c>
      <c r="J47" s="98">
        <v>1274.527865</v>
      </c>
      <c r="K47" s="98">
        <v>2533679059</v>
      </c>
      <c r="L47" s="98">
        <v>1987935398</v>
      </c>
    </row>
    <row r="48" spans="1:12" ht="16.5" customHeight="1">
      <c r="A48" s="98">
        <v>7</v>
      </c>
      <c r="B48" s="98" t="s">
        <v>1237</v>
      </c>
      <c r="C48" s="98">
        <v>42402</v>
      </c>
      <c r="D48" s="200" t="s">
        <v>1160</v>
      </c>
      <c r="F48" s="98" t="s">
        <v>98</v>
      </c>
      <c r="G48" s="200" t="s">
        <v>1162</v>
      </c>
      <c r="H48" s="200" t="s">
        <v>1245</v>
      </c>
      <c r="I48" s="201">
        <v>40785</v>
      </c>
      <c r="J48" s="98">
        <v>959.24649499999998</v>
      </c>
      <c r="K48" s="98">
        <v>4902622424</v>
      </c>
      <c r="L48" s="98">
        <v>5110909915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/>
  <dimension ref="A1:M114"/>
  <sheetViews>
    <sheetView topLeftCell="A53" zoomScaleNormal="100" workbookViewId="0">
      <selection activeCell="C77" sqref="C77"/>
    </sheetView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1247</v>
      </c>
      <c r="C2" s="98" t="s">
        <v>328</v>
      </c>
      <c r="D2" s="200" t="s">
        <v>566</v>
      </c>
      <c r="E2" s="98" t="s">
        <v>1248</v>
      </c>
      <c r="F2" s="98" t="s">
        <v>96</v>
      </c>
      <c r="G2" s="200" t="s">
        <v>1249</v>
      </c>
      <c r="H2" s="200" t="s">
        <v>1250</v>
      </c>
      <c r="I2" s="98" t="s">
        <v>1251</v>
      </c>
      <c r="J2" s="98">
        <v>1097.45</v>
      </c>
      <c r="K2" s="98">
        <v>38577956666</v>
      </c>
      <c r="L2" s="98">
        <v>35152316367</v>
      </c>
      <c r="M2" s="98" t="s">
        <v>562</v>
      </c>
    </row>
    <row r="3" spans="1:13" ht="16.5" customHeight="1">
      <c r="A3" s="98">
        <v>2</v>
      </c>
      <c r="B3" s="200" t="s">
        <v>1247</v>
      </c>
      <c r="C3" s="98" t="s">
        <v>329</v>
      </c>
      <c r="D3" s="200" t="s">
        <v>566</v>
      </c>
      <c r="E3" s="98" t="s">
        <v>1252</v>
      </c>
      <c r="F3" s="98" t="s">
        <v>94</v>
      </c>
      <c r="G3" s="200" t="s">
        <v>1253</v>
      </c>
      <c r="H3" s="200" t="s">
        <v>1254</v>
      </c>
      <c r="I3" s="98" t="s">
        <v>1255</v>
      </c>
      <c r="J3" s="98">
        <v>669.59</v>
      </c>
      <c r="K3" s="98">
        <v>6695867350</v>
      </c>
      <c r="L3" s="98">
        <v>10000000000</v>
      </c>
    </row>
    <row r="4" spans="1:13" ht="16.5" customHeight="1">
      <c r="A4" s="98">
        <v>3</v>
      </c>
      <c r="B4" s="200" t="s">
        <v>1247</v>
      </c>
      <c r="C4" s="98" t="s">
        <v>330</v>
      </c>
      <c r="D4" s="200" t="s">
        <v>566</v>
      </c>
      <c r="E4" s="98" t="s">
        <v>1256</v>
      </c>
      <c r="F4" s="98" t="s">
        <v>94</v>
      </c>
      <c r="G4" s="200" t="s">
        <v>1257</v>
      </c>
      <c r="H4" s="200" t="s">
        <v>1258</v>
      </c>
      <c r="I4" s="98" t="s">
        <v>1259</v>
      </c>
      <c r="J4" s="98">
        <v>681.83</v>
      </c>
      <c r="K4" s="98">
        <v>6818344621</v>
      </c>
      <c r="L4" s="98">
        <v>10000000000</v>
      </c>
    </row>
    <row r="5" spans="1:13" ht="16.5" customHeight="1">
      <c r="A5" s="98">
        <v>4</v>
      </c>
      <c r="B5" s="200" t="s">
        <v>1247</v>
      </c>
      <c r="C5" s="98" t="s">
        <v>365</v>
      </c>
      <c r="D5" s="200" t="s">
        <v>556</v>
      </c>
      <c r="E5" s="98" t="s">
        <v>1260</v>
      </c>
      <c r="F5" s="98" t="s">
        <v>98</v>
      </c>
      <c r="G5" s="200" t="s">
        <v>1261</v>
      </c>
      <c r="H5" s="200" t="s">
        <v>1262</v>
      </c>
      <c r="I5" s="98" t="s">
        <v>1263</v>
      </c>
      <c r="J5" s="98">
        <v>1423.68</v>
      </c>
      <c r="K5" s="98">
        <v>7817712270</v>
      </c>
      <c r="L5" s="98">
        <v>5491206860</v>
      </c>
    </row>
    <row r="6" spans="1:13" ht="16.5" customHeight="1">
      <c r="A6" s="98">
        <v>5</v>
      </c>
      <c r="B6" s="200" t="s">
        <v>1247</v>
      </c>
      <c r="C6" s="98" t="s">
        <v>374</v>
      </c>
      <c r="D6" s="200" t="s">
        <v>556</v>
      </c>
      <c r="E6" s="98" t="s">
        <v>1264</v>
      </c>
      <c r="F6" s="98" t="s">
        <v>94</v>
      </c>
      <c r="G6" s="200" t="s">
        <v>1265</v>
      </c>
      <c r="H6" s="200" t="s">
        <v>1266</v>
      </c>
      <c r="I6" s="98" t="s">
        <v>1267</v>
      </c>
      <c r="J6" s="98">
        <v>1076.45</v>
      </c>
      <c r="K6" s="98">
        <v>5376005063</v>
      </c>
      <c r="L6" s="98">
        <v>4994208227</v>
      </c>
    </row>
    <row r="7" spans="1:13" ht="16.5" customHeight="1">
      <c r="A7" s="98">
        <v>6</v>
      </c>
      <c r="B7" s="200" t="s">
        <v>1247</v>
      </c>
      <c r="C7" s="98" t="s">
        <v>380</v>
      </c>
      <c r="D7" s="200" t="s">
        <v>566</v>
      </c>
      <c r="E7" s="98" t="s">
        <v>1268</v>
      </c>
      <c r="F7" s="98" t="s">
        <v>96</v>
      </c>
      <c r="G7" s="200" t="s">
        <v>1269</v>
      </c>
      <c r="H7" s="200" t="s">
        <v>1270</v>
      </c>
      <c r="I7" s="98" t="s">
        <v>1271</v>
      </c>
      <c r="J7" s="98">
        <v>1062.26</v>
      </c>
    </row>
    <row r="8" spans="1:13" ht="16.5" customHeight="1">
      <c r="A8" s="98">
        <v>7</v>
      </c>
      <c r="B8" s="200" t="s">
        <v>1247</v>
      </c>
      <c r="C8" s="98" t="s">
        <v>383</v>
      </c>
      <c r="D8" s="200" t="s">
        <v>556</v>
      </c>
      <c r="E8" s="98" t="s">
        <v>1272</v>
      </c>
      <c r="F8" s="98" t="s">
        <v>100</v>
      </c>
      <c r="G8" s="200" t="s">
        <v>1261</v>
      </c>
      <c r="H8" s="200" t="s">
        <v>1273</v>
      </c>
      <c r="I8" s="98" t="s">
        <v>1274</v>
      </c>
      <c r="J8" s="98">
        <v>978.53</v>
      </c>
      <c r="K8" s="98">
        <v>975675861</v>
      </c>
      <c r="L8" s="98">
        <v>997083100</v>
      </c>
    </row>
    <row r="9" spans="1:13" ht="16.5" customHeight="1">
      <c r="A9" s="98">
        <v>8</v>
      </c>
      <c r="B9" s="200" t="s">
        <v>1247</v>
      </c>
      <c r="C9" s="98" t="s">
        <v>384</v>
      </c>
      <c r="D9" s="200" t="s">
        <v>556</v>
      </c>
      <c r="E9" s="98" t="s">
        <v>1275</v>
      </c>
      <c r="F9" s="98" t="s">
        <v>95</v>
      </c>
      <c r="G9" s="200" t="s">
        <v>1269</v>
      </c>
      <c r="H9" s="200" t="s">
        <v>1276</v>
      </c>
      <c r="I9" s="98" t="s">
        <v>1277</v>
      </c>
      <c r="J9" s="98">
        <v>1030.67</v>
      </c>
      <c r="K9" s="98">
        <v>10772976579</v>
      </c>
      <c r="L9" s="98">
        <v>10452351124</v>
      </c>
    </row>
    <row r="10" spans="1:13" ht="16.5" customHeight="1">
      <c r="A10" s="98">
        <v>9</v>
      </c>
      <c r="B10" s="200" t="s">
        <v>1247</v>
      </c>
      <c r="C10" s="98" t="s">
        <v>385</v>
      </c>
      <c r="D10" s="200" t="s">
        <v>556</v>
      </c>
      <c r="E10" s="98" t="s">
        <v>1278</v>
      </c>
      <c r="F10" s="98" t="s">
        <v>95</v>
      </c>
      <c r="G10" s="200" t="s">
        <v>1269</v>
      </c>
      <c r="H10" s="200" t="s">
        <v>1279</v>
      </c>
      <c r="I10" s="98" t="s">
        <v>1277</v>
      </c>
      <c r="J10" s="98">
        <v>1060.73</v>
      </c>
      <c r="K10" s="98">
        <v>11883333943</v>
      </c>
      <c r="L10" s="98">
        <v>11202960461</v>
      </c>
    </row>
    <row r="11" spans="1:13" ht="16.5" customHeight="1">
      <c r="A11" s="98">
        <v>10</v>
      </c>
      <c r="B11" s="200" t="s">
        <v>1247</v>
      </c>
      <c r="C11" s="98" t="s">
        <v>386</v>
      </c>
      <c r="D11" s="200" t="s">
        <v>556</v>
      </c>
      <c r="E11" s="98" t="s">
        <v>1280</v>
      </c>
      <c r="F11" s="98" t="s">
        <v>95</v>
      </c>
      <c r="G11" s="200" t="s">
        <v>1269</v>
      </c>
      <c r="H11" s="200" t="s">
        <v>1281</v>
      </c>
      <c r="I11" s="98" t="s">
        <v>1277</v>
      </c>
      <c r="J11" s="98">
        <v>1087.93</v>
      </c>
      <c r="K11" s="98">
        <v>6317258866</v>
      </c>
      <c r="L11" s="98">
        <v>5806695437</v>
      </c>
    </row>
    <row r="12" spans="1:13" ht="16.5" customHeight="1">
      <c r="A12" s="98">
        <v>11</v>
      </c>
      <c r="B12" s="200" t="s">
        <v>1247</v>
      </c>
      <c r="C12" s="98" t="s">
        <v>387</v>
      </c>
      <c r="D12" s="200" t="s">
        <v>556</v>
      </c>
      <c r="E12" s="98" t="s">
        <v>1282</v>
      </c>
      <c r="F12" s="98" t="s">
        <v>95</v>
      </c>
      <c r="G12" s="200" t="s">
        <v>1269</v>
      </c>
      <c r="H12" s="200" t="s">
        <v>1283</v>
      </c>
      <c r="I12" s="98" t="s">
        <v>1277</v>
      </c>
      <c r="J12" s="98">
        <v>1110.74</v>
      </c>
      <c r="K12" s="98">
        <v>6190915274</v>
      </c>
      <c r="L12" s="98">
        <v>5573667560</v>
      </c>
    </row>
    <row r="13" spans="1:13" ht="16.5" customHeight="1">
      <c r="A13" s="98">
        <v>12</v>
      </c>
      <c r="B13" s="200" t="s">
        <v>1247</v>
      </c>
      <c r="C13" s="98" t="s">
        <v>388</v>
      </c>
      <c r="D13" s="200" t="s">
        <v>556</v>
      </c>
      <c r="E13" s="98" t="s">
        <v>1284</v>
      </c>
      <c r="F13" s="98" t="s">
        <v>95</v>
      </c>
      <c r="G13" s="200" t="s">
        <v>1269</v>
      </c>
      <c r="H13" s="200" t="s">
        <v>1285</v>
      </c>
      <c r="I13" s="98" t="s">
        <v>1277</v>
      </c>
      <c r="J13" s="98">
        <v>1123.22</v>
      </c>
      <c r="K13" s="98">
        <v>6101971747</v>
      </c>
      <c r="L13" s="98">
        <v>5432573838</v>
      </c>
    </row>
    <row r="14" spans="1:13" ht="16.5" customHeight="1">
      <c r="A14" s="98">
        <v>13</v>
      </c>
      <c r="B14" s="200" t="s">
        <v>1247</v>
      </c>
      <c r="C14" s="98" t="s">
        <v>389</v>
      </c>
      <c r="D14" s="200" t="s">
        <v>556</v>
      </c>
      <c r="E14" s="98" t="s">
        <v>1286</v>
      </c>
      <c r="F14" s="98" t="s">
        <v>95</v>
      </c>
      <c r="G14" s="200" t="s">
        <v>1269</v>
      </c>
      <c r="H14" s="200" t="s">
        <v>1287</v>
      </c>
      <c r="I14" s="98" t="s">
        <v>1277</v>
      </c>
      <c r="J14" s="98">
        <v>1125.1099999999999</v>
      </c>
      <c r="K14" s="98">
        <v>7497110167</v>
      </c>
      <c r="L14" s="98">
        <v>6663467716</v>
      </c>
    </row>
    <row r="15" spans="1:13" ht="16.5" customHeight="1">
      <c r="A15" s="98">
        <v>14</v>
      </c>
      <c r="B15" s="200" t="s">
        <v>1247</v>
      </c>
      <c r="C15" s="98" t="s">
        <v>392</v>
      </c>
      <c r="D15" s="200" t="s">
        <v>556</v>
      </c>
      <c r="E15" s="98" t="s">
        <v>1288</v>
      </c>
      <c r="F15" s="98" t="s">
        <v>98</v>
      </c>
      <c r="G15" s="200" t="s">
        <v>1265</v>
      </c>
      <c r="H15" s="200" t="s">
        <v>1289</v>
      </c>
      <c r="I15" s="98" t="s">
        <v>1290</v>
      </c>
      <c r="J15" s="98">
        <v>1209.9100000000001</v>
      </c>
      <c r="K15" s="98">
        <v>2505395458</v>
      </c>
      <c r="L15" s="98">
        <v>2069627336</v>
      </c>
    </row>
    <row r="16" spans="1:13" ht="16.5" customHeight="1">
      <c r="A16" s="98">
        <v>15</v>
      </c>
      <c r="B16" s="200" t="s">
        <v>1247</v>
      </c>
      <c r="C16" s="98" t="s">
        <v>394</v>
      </c>
      <c r="D16" s="200" t="s">
        <v>556</v>
      </c>
      <c r="E16" s="98" t="s">
        <v>1291</v>
      </c>
      <c r="F16" s="98" t="s">
        <v>98</v>
      </c>
      <c r="G16" s="200" t="s">
        <v>1265</v>
      </c>
      <c r="H16" s="200" t="s">
        <v>1292</v>
      </c>
      <c r="I16" s="98" t="s">
        <v>1293</v>
      </c>
      <c r="J16" s="98">
        <v>857.98</v>
      </c>
      <c r="K16" s="98">
        <v>728793900</v>
      </c>
      <c r="L16" s="98">
        <v>848980178</v>
      </c>
    </row>
    <row r="17" spans="1:12" ht="16.5" customHeight="1">
      <c r="A17" s="98">
        <v>16</v>
      </c>
      <c r="B17" s="200" t="s">
        <v>1247</v>
      </c>
      <c r="C17" s="98" t="s">
        <v>1294</v>
      </c>
      <c r="D17" s="200" t="s">
        <v>556</v>
      </c>
      <c r="E17" s="98" t="s">
        <v>1295</v>
      </c>
      <c r="F17" s="98" t="s">
        <v>100</v>
      </c>
      <c r="G17" s="200" t="s">
        <v>1296</v>
      </c>
      <c r="H17" s="200" t="s">
        <v>1297</v>
      </c>
      <c r="I17" s="201">
        <v>44644</v>
      </c>
    </row>
    <row r="18" spans="1:12" ht="16.5" customHeight="1">
      <c r="A18" s="98">
        <v>17</v>
      </c>
      <c r="B18" s="200" t="s">
        <v>1247</v>
      </c>
      <c r="C18" s="98" t="s">
        <v>435</v>
      </c>
      <c r="D18" s="200" t="s">
        <v>556</v>
      </c>
      <c r="E18" s="98" t="s">
        <v>1298</v>
      </c>
      <c r="F18" s="98" t="s">
        <v>100</v>
      </c>
      <c r="G18" s="200" t="s">
        <v>1299</v>
      </c>
      <c r="H18" s="200" t="s">
        <v>1300</v>
      </c>
      <c r="I18" s="201">
        <v>44644</v>
      </c>
      <c r="J18" s="98">
        <v>1025.56</v>
      </c>
      <c r="K18" s="98">
        <v>54114262597</v>
      </c>
      <c r="L18" s="98">
        <v>52461297640</v>
      </c>
    </row>
    <row r="19" spans="1:12" ht="16.5" customHeight="1">
      <c r="A19" s="98">
        <v>18</v>
      </c>
      <c r="B19" s="200" t="s">
        <v>1247</v>
      </c>
      <c r="C19" s="98" t="s">
        <v>427</v>
      </c>
      <c r="D19" s="200" t="s">
        <v>556</v>
      </c>
      <c r="E19" s="98" t="s">
        <v>1301</v>
      </c>
      <c r="F19" s="98" t="s">
        <v>100</v>
      </c>
      <c r="G19" s="200" t="s">
        <v>1299</v>
      </c>
      <c r="H19" s="200" t="s">
        <v>1302</v>
      </c>
      <c r="I19" s="201">
        <v>44834</v>
      </c>
      <c r="L19" s="98">
        <v>7500000000</v>
      </c>
    </row>
    <row r="20" spans="1:12" ht="16.5" customHeight="1">
      <c r="A20" s="98">
        <v>19</v>
      </c>
      <c r="B20" s="200" t="s">
        <v>1247</v>
      </c>
      <c r="C20" s="98" t="s">
        <v>432</v>
      </c>
      <c r="D20" s="200" t="s">
        <v>566</v>
      </c>
      <c r="E20" s="98" t="s">
        <v>1303</v>
      </c>
      <c r="F20" s="98" t="s">
        <v>98</v>
      </c>
      <c r="G20" s="200" t="s">
        <v>1299</v>
      </c>
      <c r="H20" s="200" t="s">
        <v>1304</v>
      </c>
      <c r="I20" s="201">
        <v>44923</v>
      </c>
      <c r="J20" s="98">
        <v>1000</v>
      </c>
      <c r="L20" s="98">
        <v>1000000000</v>
      </c>
    </row>
    <row r="21" spans="1:12" ht="16.5" customHeight="1">
      <c r="A21" s="98">
        <v>20</v>
      </c>
      <c r="B21" s="200" t="s">
        <v>1247</v>
      </c>
      <c r="C21" s="98" t="s">
        <v>1305</v>
      </c>
      <c r="D21" s="200" t="s">
        <v>566</v>
      </c>
      <c r="E21" s="98" t="s">
        <v>1306</v>
      </c>
      <c r="F21" s="98" t="s">
        <v>100</v>
      </c>
      <c r="G21" s="200" t="s">
        <v>1299</v>
      </c>
      <c r="H21" s="200" t="s">
        <v>1307</v>
      </c>
      <c r="I21" s="201">
        <v>44972</v>
      </c>
      <c r="L21" s="98">
        <v>30000000000</v>
      </c>
    </row>
    <row r="22" spans="1:12" ht="16.5" customHeight="1">
      <c r="A22" s="98">
        <v>21</v>
      </c>
      <c r="B22" s="200" t="s">
        <v>1247</v>
      </c>
      <c r="C22" s="98" t="s">
        <v>1308</v>
      </c>
      <c r="D22" s="200" t="s">
        <v>566</v>
      </c>
      <c r="E22" s="98" t="s">
        <v>1309</v>
      </c>
      <c r="F22" s="98" t="s">
        <v>100</v>
      </c>
      <c r="G22" s="200" t="s">
        <v>1299</v>
      </c>
      <c r="H22" s="200" t="s">
        <v>1310</v>
      </c>
      <c r="I22" s="201">
        <v>44972</v>
      </c>
      <c r="L22" s="98">
        <v>50000000000</v>
      </c>
    </row>
    <row r="23" spans="1:12" ht="16.5" customHeight="1">
      <c r="A23" s="98">
        <v>22</v>
      </c>
      <c r="B23" s="200" t="s">
        <v>1247</v>
      </c>
      <c r="C23" s="98" t="s">
        <v>1311</v>
      </c>
      <c r="D23" s="200" t="s">
        <v>566</v>
      </c>
      <c r="E23" s="98" t="s">
        <v>1312</v>
      </c>
      <c r="F23" s="98" t="s">
        <v>100</v>
      </c>
      <c r="G23" s="200" t="s">
        <v>1299</v>
      </c>
      <c r="H23" s="200" t="s">
        <v>1313</v>
      </c>
      <c r="I23" s="201">
        <v>44972</v>
      </c>
    </row>
    <row r="24" spans="1:12" ht="16.5" customHeight="1">
      <c r="A24" s="98">
        <v>23</v>
      </c>
      <c r="B24" s="200" t="s">
        <v>1247</v>
      </c>
      <c r="C24" s="98" t="s">
        <v>1314</v>
      </c>
      <c r="D24" s="200" t="s">
        <v>556</v>
      </c>
      <c r="E24" s="98" t="s">
        <v>1315</v>
      </c>
      <c r="F24" s="98" t="s">
        <v>95</v>
      </c>
      <c r="G24" s="200" t="s">
        <v>1296</v>
      </c>
      <c r="H24" s="200" t="s">
        <v>1316</v>
      </c>
      <c r="I24" s="201">
        <v>43664</v>
      </c>
      <c r="J24" s="98">
        <v>13797.16</v>
      </c>
      <c r="L24" s="98">
        <v>841160886.39999998</v>
      </c>
    </row>
    <row r="25" spans="1:12" ht="16.5" customHeight="1">
      <c r="A25" s="98">
        <v>24</v>
      </c>
      <c r="B25" s="200" t="s">
        <v>1247</v>
      </c>
      <c r="C25" s="98" t="s">
        <v>390</v>
      </c>
      <c r="D25" s="200" t="s">
        <v>556</v>
      </c>
      <c r="E25" s="98" t="s">
        <v>1317</v>
      </c>
      <c r="F25" s="98" t="s">
        <v>98</v>
      </c>
      <c r="G25" s="200" t="s">
        <v>1296</v>
      </c>
      <c r="H25" s="200" t="s">
        <v>1318</v>
      </c>
      <c r="I25" s="201">
        <v>39174</v>
      </c>
      <c r="J25" s="98">
        <v>3674.93</v>
      </c>
      <c r="K25" s="98">
        <v>4906669454</v>
      </c>
      <c r="L25" s="98">
        <v>6672220000</v>
      </c>
    </row>
    <row r="26" spans="1:12" ht="16.5" customHeight="1">
      <c r="A26" s="98">
        <v>25</v>
      </c>
      <c r="B26" s="200" t="s">
        <v>1247</v>
      </c>
      <c r="C26" s="98" t="s">
        <v>391</v>
      </c>
      <c r="D26" s="200" t="s">
        <v>556</v>
      </c>
      <c r="E26" s="98" t="s">
        <v>1319</v>
      </c>
      <c r="F26" s="98" t="s">
        <v>98</v>
      </c>
      <c r="G26" s="200" t="s">
        <v>1296</v>
      </c>
      <c r="H26" s="200" t="s">
        <v>1320</v>
      </c>
      <c r="I26" s="201">
        <v>39398</v>
      </c>
      <c r="J26" s="98">
        <v>5290.79</v>
      </c>
      <c r="K26" s="98">
        <v>359806482</v>
      </c>
      <c r="L26" s="98">
        <v>339870000</v>
      </c>
    </row>
    <row r="27" spans="1:12" ht="16.5" customHeight="1">
      <c r="A27" s="98">
        <v>26</v>
      </c>
      <c r="B27" s="200" t="s">
        <v>1247</v>
      </c>
      <c r="C27" s="98" t="s">
        <v>1321</v>
      </c>
      <c r="D27" s="200" t="s">
        <v>556</v>
      </c>
      <c r="E27" s="98" t="s">
        <v>1322</v>
      </c>
      <c r="F27" s="98" t="s">
        <v>98</v>
      </c>
      <c r="G27" s="200" t="s">
        <v>1296</v>
      </c>
      <c r="H27" s="200" t="s">
        <v>1323</v>
      </c>
      <c r="I27" s="201">
        <v>45321</v>
      </c>
      <c r="J27" s="98">
        <v>1000</v>
      </c>
      <c r="K27" s="98">
        <v>10000000000</v>
      </c>
    </row>
    <row r="28" spans="1:12" ht="16.5" customHeight="1">
      <c r="A28" s="98">
        <v>27</v>
      </c>
      <c r="B28" s="200" t="s">
        <v>1247</v>
      </c>
      <c r="C28" s="98" t="s">
        <v>1324</v>
      </c>
      <c r="D28" s="200" t="s">
        <v>556</v>
      </c>
      <c r="E28" s="98" t="s">
        <v>1325</v>
      </c>
      <c r="F28" s="98" t="s">
        <v>98</v>
      </c>
      <c r="G28" s="200" t="s">
        <v>1326</v>
      </c>
      <c r="H28" s="200" t="s">
        <v>1327</v>
      </c>
      <c r="I28" s="201">
        <v>45505</v>
      </c>
      <c r="J28" s="98">
        <v>1000</v>
      </c>
      <c r="K28" s="98">
        <v>2013000000</v>
      </c>
      <c r="L28" s="98">
        <v>2013000000</v>
      </c>
    </row>
    <row r="29" spans="1:12" ht="16.5" customHeight="1">
      <c r="A29" s="98">
        <v>28</v>
      </c>
      <c r="B29" s="200" t="s">
        <v>1247</v>
      </c>
      <c r="C29" s="98" t="s">
        <v>1328</v>
      </c>
      <c r="D29" s="200" t="s">
        <v>556</v>
      </c>
      <c r="E29" s="98" t="s">
        <v>1329</v>
      </c>
      <c r="F29" s="98" t="s">
        <v>94</v>
      </c>
      <c r="G29" s="200" t="s">
        <v>1326</v>
      </c>
      <c r="H29" s="200" t="s">
        <v>1330</v>
      </c>
      <c r="I29" s="201">
        <v>45560</v>
      </c>
      <c r="J29" s="98">
        <v>1000</v>
      </c>
      <c r="K29" s="98">
        <v>219524898</v>
      </c>
      <c r="L29" s="98">
        <v>200000000</v>
      </c>
    </row>
    <row r="30" spans="1:12" ht="16.5" customHeight="1">
      <c r="A30" s="98">
        <v>29</v>
      </c>
      <c r="B30" s="200" t="s">
        <v>1247</v>
      </c>
      <c r="C30" s="98" t="s">
        <v>1331</v>
      </c>
      <c r="D30" s="200" t="s">
        <v>556</v>
      </c>
      <c r="E30" s="98" t="s">
        <v>1332</v>
      </c>
      <c r="F30" s="98" t="s">
        <v>96</v>
      </c>
      <c r="G30" s="200" t="s">
        <v>1299</v>
      </c>
      <c r="H30" s="200" t="s">
        <v>1333</v>
      </c>
      <c r="I30" s="201">
        <v>45720</v>
      </c>
      <c r="J30" s="98">
        <v>1000</v>
      </c>
    </row>
    <row r="31" spans="1:12" ht="16.5" customHeight="1">
      <c r="A31" s="98">
        <v>30</v>
      </c>
      <c r="B31" s="200" t="s">
        <v>1247</v>
      </c>
      <c r="C31" s="98" t="s">
        <v>1334</v>
      </c>
      <c r="D31" s="200" t="s">
        <v>566</v>
      </c>
      <c r="E31" s="98" t="s">
        <v>1335</v>
      </c>
      <c r="F31" s="98" t="s">
        <v>100</v>
      </c>
      <c r="G31" s="200" t="s">
        <v>1299</v>
      </c>
      <c r="H31" s="200" t="s">
        <v>1336</v>
      </c>
      <c r="I31" s="201">
        <v>44287</v>
      </c>
    </row>
    <row r="32" spans="1:12" ht="16.5" customHeight="1">
      <c r="A32" s="98">
        <v>31</v>
      </c>
      <c r="B32" s="200" t="s">
        <v>1247</v>
      </c>
      <c r="C32" s="98" t="s">
        <v>1337</v>
      </c>
      <c r="D32" s="200" t="s">
        <v>556</v>
      </c>
      <c r="E32" s="98" t="s">
        <v>1338</v>
      </c>
      <c r="F32" s="98" t="s">
        <v>100</v>
      </c>
      <c r="H32" s="200" t="s">
        <v>1339</v>
      </c>
      <c r="I32" s="98" t="s">
        <v>1340</v>
      </c>
    </row>
    <row r="33" spans="1:9" ht="16.5" customHeight="1">
      <c r="A33" s="98">
        <v>32</v>
      </c>
      <c r="B33" s="200" t="s">
        <v>1247</v>
      </c>
      <c r="C33" s="98" t="s">
        <v>1341</v>
      </c>
      <c r="D33" s="200" t="s">
        <v>556</v>
      </c>
      <c r="E33" s="98" t="s">
        <v>1342</v>
      </c>
      <c r="F33" s="98" t="s">
        <v>100</v>
      </c>
      <c r="H33" s="200" t="s">
        <v>1343</v>
      </c>
      <c r="I33" s="98" t="s">
        <v>1344</v>
      </c>
    </row>
    <row r="34" spans="1:9" ht="16.5" customHeight="1">
      <c r="A34" s="98">
        <v>33</v>
      </c>
      <c r="B34" s="200" t="s">
        <v>1247</v>
      </c>
      <c r="C34" s="98" t="s">
        <v>1345</v>
      </c>
      <c r="D34" s="200" t="s">
        <v>556</v>
      </c>
      <c r="E34" s="98" t="s">
        <v>1346</v>
      </c>
      <c r="F34" s="98" t="s">
        <v>100</v>
      </c>
      <c r="H34" s="200" t="s">
        <v>1347</v>
      </c>
      <c r="I34" s="98" t="s">
        <v>1344</v>
      </c>
    </row>
    <row r="35" spans="1:9" ht="16.5" customHeight="1">
      <c r="A35" s="98">
        <v>34</v>
      </c>
      <c r="B35" s="200" t="s">
        <v>1247</v>
      </c>
      <c r="C35" s="98" t="s">
        <v>1348</v>
      </c>
      <c r="D35" s="200" t="s">
        <v>556</v>
      </c>
      <c r="E35" s="98" t="s">
        <v>1349</v>
      </c>
      <c r="F35" s="98" t="s">
        <v>100</v>
      </c>
      <c r="H35" s="200" t="s">
        <v>1350</v>
      </c>
      <c r="I35" s="98" t="s">
        <v>1351</v>
      </c>
    </row>
    <row r="36" spans="1:9" ht="16.5" customHeight="1">
      <c r="A36" s="98">
        <v>35</v>
      </c>
      <c r="B36" s="200" t="s">
        <v>1247</v>
      </c>
      <c r="C36" s="98" t="s">
        <v>1352</v>
      </c>
      <c r="D36" s="200" t="s">
        <v>556</v>
      </c>
      <c r="E36" s="98" t="s">
        <v>1353</v>
      </c>
      <c r="F36" s="98" t="s">
        <v>100</v>
      </c>
      <c r="H36" s="200" t="s">
        <v>1354</v>
      </c>
      <c r="I36" s="98" t="s">
        <v>1355</v>
      </c>
    </row>
    <row r="37" spans="1:9" ht="16.5" customHeight="1">
      <c r="A37" s="98">
        <v>36</v>
      </c>
      <c r="B37" s="200" t="s">
        <v>1247</v>
      </c>
      <c r="C37" s="98" t="s">
        <v>1356</v>
      </c>
      <c r="D37" s="200" t="s">
        <v>556</v>
      </c>
      <c r="E37" s="98" t="s">
        <v>1357</v>
      </c>
      <c r="F37" s="98" t="s">
        <v>94</v>
      </c>
      <c r="H37" s="200" t="s">
        <v>1358</v>
      </c>
      <c r="I37" s="98" t="s">
        <v>1359</v>
      </c>
    </row>
    <row r="38" spans="1:9" ht="16.5" customHeight="1">
      <c r="A38" s="98">
        <v>37</v>
      </c>
      <c r="B38" s="200" t="s">
        <v>1247</v>
      </c>
      <c r="C38" s="98" t="s">
        <v>1360</v>
      </c>
      <c r="D38" s="200" t="s">
        <v>556</v>
      </c>
      <c r="E38" s="98" t="s">
        <v>1361</v>
      </c>
      <c r="F38" s="98" t="s">
        <v>94</v>
      </c>
      <c r="H38" s="200" t="s">
        <v>1362</v>
      </c>
      <c r="I38" s="98" t="s">
        <v>1363</v>
      </c>
    </row>
    <row r="39" spans="1:9" ht="16.5" customHeight="1">
      <c r="A39" s="98">
        <v>38</v>
      </c>
      <c r="B39" s="200" t="s">
        <v>1247</v>
      </c>
      <c r="C39" s="98" t="s">
        <v>1364</v>
      </c>
      <c r="D39" s="200" t="s">
        <v>556</v>
      </c>
      <c r="E39" s="98" t="s">
        <v>1365</v>
      </c>
      <c r="F39" s="98" t="s">
        <v>94</v>
      </c>
      <c r="H39" s="200" t="s">
        <v>1366</v>
      </c>
      <c r="I39" s="98" t="s">
        <v>1367</v>
      </c>
    </row>
    <row r="40" spans="1:9" ht="16.5" customHeight="1">
      <c r="A40" s="98">
        <v>39</v>
      </c>
      <c r="B40" s="200" t="s">
        <v>1247</v>
      </c>
      <c r="C40" s="98" t="s">
        <v>1368</v>
      </c>
      <c r="D40" s="200" t="s">
        <v>556</v>
      </c>
      <c r="E40" s="98" t="s">
        <v>1369</v>
      </c>
      <c r="F40" s="98" t="s">
        <v>94</v>
      </c>
      <c r="H40" s="200" t="s">
        <v>1370</v>
      </c>
      <c r="I40" s="98" t="s">
        <v>1371</v>
      </c>
    </row>
    <row r="41" spans="1:9" ht="16.5" customHeight="1">
      <c r="A41" s="98">
        <v>40</v>
      </c>
      <c r="B41" s="200" t="s">
        <v>1247</v>
      </c>
      <c r="C41" s="98" t="s">
        <v>1372</v>
      </c>
      <c r="D41" s="200" t="s">
        <v>556</v>
      </c>
      <c r="E41" s="98" t="s">
        <v>1373</v>
      </c>
      <c r="F41" s="98" t="s">
        <v>94</v>
      </c>
      <c r="H41" s="200" t="s">
        <v>1374</v>
      </c>
      <c r="I41" s="98" t="s">
        <v>1375</v>
      </c>
    </row>
    <row r="42" spans="1:9" ht="16.5" customHeight="1">
      <c r="A42" s="98">
        <v>41</v>
      </c>
      <c r="B42" s="200" t="s">
        <v>1247</v>
      </c>
      <c r="C42" s="98" t="s">
        <v>1376</v>
      </c>
      <c r="D42" s="200" t="s">
        <v>556</v>
      </c>
      <c r="E42" s="98" t="s">
        <v>1377</v>
      </c>
      <c r="F42" s="98" t="s">
        <v>94</v>
      </c>
      <c r="H42" s="200" t="s">
        <v>1378</v>
      </c>
      <c r="I42" s="98" t="s">
        <v>1379</v>
      </c>
    </row>
    <row r="43" spans="1:9" ht="16.5" customHeight="1">
      <c r="A43" s="98">
        <v>42</v>
      </c>
      <c r="B43" s="200" t="s">
        <v>1247</v>
      </c>
      <c r="C43" s="98" t="s">
        <v>1380</v>
      </c>
      <c r="D43" s="200" t="s">
        <v>556</v>
      </c>
      <c r="E43" s="98" t="s">
        <v>1381</v>
      </c>
      <c r="F43" s="98" t="s">
        <v>94</v>
      </c>
      <c r="H43" s="200" t="s">
        <v>1382</v>
      </c>
      <c r="I43" s="98" t="s">
        <v>1379</v>
      </c>
    </row>
    <row r="44" spans="1:9" ht="16.5" customHeight="1">
      <c r="A44" s="98">
        <v>43</v>
      </c>
      <c r="B44" s="200" t="s">
        <v>1247</v>
      </c>
      <c r="C44" s="98" t="s">
        <v>1383</v>
      </c>
      <c r="D44" s="200" t="s">
        <v>556</v>
      </c>
      <c r="E44" s="98" t="s">
        <v>1384</v>
      </c>
      <c r="F44" s="98" t="s">
        <v>94</v>
      </c>
      <c r="H44" s="200" t="s">
        <v>1385</v>
      </c>
      <c r="I44" s="98" t="s">
        <v>1386</v>
      </c>
    </row>
    <row r="45" spans="1:9" ht="16.5" customHeight="1">
      <c r="A45" s="98">
        <v>44</v>
      </c>
      <c r="B45" s="200" t="s">
        <v>1247</v>
      </c>
      <c r="C45" s="98" t="s">
        <v>1387</v>
      </c>
      <c r="D45" s="200" t="s">
        <v>556</v>
      </c>
      <c r="E45" s="98" t="s">
        <v>1388</v>
      </c>
      <c r="F45" s="98" t="s">
        <v>94</v>
      </c>
      <c r="H45" s="200" t="s">
        <v>1389</v>
      </c>
      <c r="I45" s="98" t="s">
        <v>1390</v>
      </c>
    </row>
    <row r="46" spans="1:9" ht="16.5" customHeight="1">
      <c r="A46" s="98">
        <v>45</v>
      </c>
      <c r="B46" s="200" t="s">
        <v>1247</v>
      </c>
      <c r="C46" s="98" t="s">
        <v>1391</v>
      </c>
      <c r="D46" s="200" t="s">
        <v>556</v>
      </c>
      <c r="E46" s="98" t="s">
        <v>1392</v>
      </c>
      <c r="F46" s="98" t="s">
        <v>94</v>
      </c>
      <c r="H46" s="200" t="s">
        <v>1393</v>
      </c>
      <c r="I46" s="98" t="s">
        <v>1394</v>
      </c>
    </row>
    <row r="47" spans="1:9" ht="16.5" customHeight="1">
      <c r="A47" s="98">
        <v>46</v>
      </c>
      <c r="B47" s="200" t="s">
        <v>1247</v>
      </c>
      <c r="C47" s="98" t="s">
        <v>1395</v>
      </c>
      <c r="D47" s="200" t="s">
        <v>556</v>
      </c>
      <c r="E47" s="98" t="s">
        <v>1396</v>
      </c>
      <c r="F47" s="98" t="s">
        <v>94</v>
      </c>
      <c r="H47" s="200" t="s">
        <v>1397</v>
      </c>
      <c r="I47" s="98" t="s">
        <v>1394</v>
      </c>
    </row>
    <row r="48" spans="1:9" ht="16.5" customHeight="1">
      <c r="A48" s="98">
        <v>47</v>
      </c>
      <c r="B48" s="200" t="s">
        <v>1247</v>
      </c>
      <c r="C48" s="98" t="s">
        <v>1398</v>
      </c>
      <c r="D48" s="200" t="s">
        <v>556</v>
      </c>
      <c r="E48" s="98" t="s">
        <v>1399</v>
      </c>
      <c r="F48" s="98" t="s">
        <v>100</v>
      </c>
      <c r="H48" s="200" t="s">
        <v>1400</v>
      </c>
      <c r="I48" s="98" t="s">
        <v>1401</v>
      </c>
    </row>
    <row r="49" spans="1:9" ht="16.5" customHeight="1">
      <c r="A49" s="98">
        <v>48</v>
      </c>
      <c r="B49" s="200" t="s">
        <v>1247</v>
      </c>
      <c r="C49" s="98" t="s">
        <v>1402</v>
      </c>
      <c r="D49" s="200" t="s">
        <v>556</v>
      </c>
      <c r="E49" s="98" t="s">
        <v>1403</v>
      </c>
      <c r="F49" s="98" t="s">
        <v>100</v>
      </c>
      <c r="H49" s="200" t="s">
        <v>1404</v>
      </c>
      <c r="I49" s="98" t="s">
        <v>1405</v>
      </c>
    </row>
    <row r="50" spans="1:9" ht="16.5" customHeight="1">
      <c r="A50" s="98">
        <v>49</v>
      </c>
      <c r="B50" s="200" t="s">
        <v>1247</v>
      </c>
      <c r="C50" s="98" t="s">
        <v>1406</v>
      </c>
      <c r="D50" s="200" t="s">
        <v>556</v>
      </c>
      <c r="E50" s="98" t="s">
        <v>1407</v>
      </c>
      <c r="F50" s="98" t="s">
        <v>100</v>
      </c>
      <c r="H50" s="200" t="s">
        <v>1408</v>
      </c>
      <c r="I50" s="98" t="s">
        <v>1409</v>
      </c>
    </row>
    <row r="51" spans="1:9" ht="16.5" customHeight="1">
      <c r="A51" s="98">
        <v>50</v>
      </c>
      <c r="B51" s="200" t="s">
        <v>1247</v>
      </c>
      <c r="C51" s="98" t="s">
        <v>1410</v>
      </c>
      <c r="D51" s="200" t="s">
        <v>556</v>
      </c>
      <c r="E51" s="98" t="s">
        <v>1411</v>
      </c>
      <c r="F51" s="98" t="s">
        <v>100</v>
      </c>
      <c r="H51" s="200" t="s">
        <v>1412</v>
      </c>
      <c r="I51" s="98" t="s">
        <v>1413</v>
      </c>
    </row>
    <row r="52" spans="1:9" ht="16.5" customHeight="1">
      <c r="A52" s="98">
        <v>51</v>
      </c>
      <c r="B52" s="200" t="s">
        <v>1247</v>
      </c>
      <c r="C52" s="98" t="s">
        <v>1414</v>
      </c>
      <c r="D52" s="200" t="s">
        <v>556</v>
      </c>
      <c r="E52" s="98" t="s">
        <v>1415</v>
      </c>
      <c r="F52" s="98" t="s">
        <v>100</v>
      </c>
      <c r="H52" s="200" t="s">
        <v>1416</v>
      </c>
      <c r="I52" s="98" t="s">
        <v>1413</v>
      </c>
    </row>
    <row r="53" spans="1:9" ht="16.5" customHeight="1">
      <c r="A53" s="98">
        <v>52</v>
      </c>
      <c r="B53" s="200" t="s">
        <v>1247</v>
      </c>
      <c r="C53" s="98" t="s">
        <v>1417</v>
      </c>
      <c r="D53" s="200" t="s">
        <v>556</v>
      </c>
      <c r="E53" s="98" t="s">
        <v>1418</v>
      </c>
      <c r="F53" s="98" t="s">
        <v>100</v>
      </c>
      <c r="H53" s="200" t="s">
        <v>1419</v>
      </c>
      <c r="I53" s="98" t="s">
        <v>1409</v>
      </c>
    </row>
    <row r="54" spans="1:9" ht="16.5" customHeight="1">
      <c r="A54" s="98">
        <v>53</v>
      </c>
      <c r="B54" s="200" t="s">
        <v>1247</v>
      </c>
      <c r="C54" s="98" t="s">
        <v>1420</v>
      </c>
      <c r="D54" s="200" t="s">
        <v>556</v>
      </c>
      <c r="E54" s="98" t="s">
        <v>1421</v>
      </c>
      <c r="F54" s="98" t="s">
        <v>100</v>
      </c>
      <c r="H54" s="200" t="s">
        <v>1422</v>
      </c>
      <c r="I54" s="98" t="s">
        <v>1423</v>
      </c>
    </row>
    <row r="55" spans="1:9" ht="16.5" customHeight="1">
      <c r="A55" s="98">
        <v>54</v>
      </c>
      <c r="B55" s="200" t="s">
        <v>1247</v>
      </c>
      <c r="C55" s="98" t="s">
        <v>1424</v>
      </c>
      <c r="D55" s="200" t="s">
        <v>556</v>
      </c>
      <c r="E55" s="98" t="s">
        <v>1425</v>
      </c>
      <c r="F55" s="98" t="s">
        <v>100</v>
      </c>
      <c r="H55" s="200" t="s">
        <v>1426</v>
      </c>
      <c r="I55" s="98" t="s">
        <v>1427</v>
      </c>
    </row>
    <row r="56" spans="1:9" ht="16.5" customHeight="1">
      <c r="A56" s="98">
        <v>55</v>
      </c>
      <c r="B56" s="200" t="s">
        <v>1247</v>
      </c>
      <c r="C56" s="98" t="s">
        <v>1428</v>
      </c>
      <c r="D56" s="200" t="s">
        <v>556</v>
      </c>
      <c r="E56" s="98" t="s">
        <v>1429</v>
      </c>
      <c r="F56" s="98" t="s">
        <v>100</v>
      </c>
      <c r="H56" s="200" t="s">
        <v>1430</v>
      </c>
      <c r="I56" s="98" t="s">
        <v>1431</v>
      </c>
    </row>
    <row r="57" spans="1:9" ht="16.5" customHeight="1">
      <c r="A57" s="98">
        <v>56</v>
      </c>
      <c r="B57" s="200" t="s">
        <v>1247</v>
      </c>
      <c r="C57" s="98" t="s">
        <v>1432</v>
      </c>
      <c r="D57" s="200" t="s">
        <v>556</v>
      </c>
      <c r="E57" s="98" t="s">
        <v>1433</v>
      </c>
      <c r="F57" s="98" t="s">
        <v>100</v>
      </c>
      <c r="H57" s="200" t="s">
        <v>1434</v>
      </c>
      <c r="I57" s="98" t="s">
        <v>1435</v>
      </c>
    </row>
    <row r="58" spans="1:9" ht="16.5" customHeight="1">
      <c r="A58" s="98">
        <v>57</v>
      </c>
      <c r="B58" s="200" t="s">
        <v>1247</v>
      </c>
      <c r="C58" s="98" t="s">
        <v>1436</v>
      </c>
      <c r="D58" s="200" t="s">
        <v>556</v>
      </c>
      <c r="E58" s="98" t="s">
        <v>1437</v>
      </c>
      <c r="F58" s="98" t="s">
        <v>100</v>
      </c>
      <c r="H58" s="200" t="s">
        <v>1438</v>
      </c>
      <c r="I58" s="98" t="s">
        <v>1439</v>
      </c>
    </row>
    <row r="59" spans="1:9" ht="16.5" customHeight="1">
      <c r="A59" s="98">
        <v>58</v>
      </c>
      <c r="B59" s="200" t="s">
        <v>1247</v>
      </c>
      <c r="C59" s="98" t="s">
        <v>1440</v>
      </c>
      <c r="D59" s="200" t="s">
        <v>556</v>
      </c>
      <c r="E59" s="98" t="s">
        <v>1441</v>
      </c>
      <c r="F59" s="98" t="s">
        <v>100</v>
      </c>
      <c r="H59" s="200" t="s">
        <v>1442</v>
      </c>
      <c r="I59" s="98" t="s">
        <v>1443</v>
      </c>
    </row>
    <row r="60" spans="1:9" ht="16.5" customHeight="1">
      <c r="A60" s="98">
        <v>59</v>
      </c>
      <c r="B60" s="200" t="s">
        <v>1247</v>
      </c>
      <c r="C60" s="98" t="s">
        <v>1444</v>
      </c>
      <c r="D60" s="200" t="s">
        <v>556</v>
      </c>
      <c r="E60" s="98" t="s">
        <v>1445</v>
      </c>
      <c r="F60" s="98" t="s">
        <v>100</v>
      </c>
      <c r="H60" s="200" t="s">
        <v>1446</v>
      </c>
      <c r="I60" s="98" t="s">
        <v>1447</v>
      </c>
    </row>
    <row r="61" spans="1:9" ht="16.5" customHeight="1">
      <c r="A61" s="98">
        <v>60</v>
      </c>
      <c r="B61" s="200" t="s">
        <v>1247</v>
      </c>
      <c r="C61" s="98" t="s">
        <v>1448</v>
      </c>
      <c r="D61" s="200" t="s">
        <v>556</v>
      </c>
      <c r="E61" s="98" t="s">
        <v>1449</v>
      </c>
      <c r="F61" s="98" t="s">
        <v>100</v>
      </c>
      <c r="H61" s="200" t="s">
        <v>1450</v>
      </c>
      <c r="I61" s="98" t="s">
        <v>1447</v>
      </c>
    </row>
    <row r="62" spans="1:9" ht="16.5" customHeight="1">
      <c r="A62" s="98">
        <v>61</v>
      </c>
      <c r="B62" s="200" t="s">
        <v>1247</v>
      </c>
      <c r="C62" s="98" t="s">
        <v>1451</v>
      </c>
      <c r="D62" s="200" t="s">
        <v>556</v>
      </c>
      <c r="E62" s="98" t="s">
        <v>1452</v>
      </c>
      <c r="F62" s="98" t="s">
        <v>100</v>
      </c>
      <c r="H62" s="200" t="s">
        <v>1453</v>
      </c>
      <c r="I62" s="98" t="s">
        <v>1454</v>
      </c>
    </row>
    <row r="63" spans="1:9" ht="16.5" customHeight="1">
      <c r="A63" s="98">
        <v>62</v>
      </c>
      <c r="B63" s="200" t="s">
        <v>1247</v>
      </c>
      <c r="C63" s="98" t="s">
        <v>1455</v>
      </c>
      <c r="D63" s="200" t="s">
        <v>556</v>
      </c>
      <c r="E63" s="98" t="s">
        <v>1456</v>
      </c>
      <c r="F63" s="98" t="s">
        <v>100</v>
      </c>
      <c r="H63" s="200" t="s">
        <v>1457</v>
      </c>
      <c r="I63" s="98" t="s">
        <v>1458</v>
      </c>
    </row>
    <row r="64" spans="1:9" ht="16.5" customHeight="1">
      <c r="A64" s="98">
        <v>63</v>
      </c>
      <c r="B64" s="200" t="s">
        <v>1247</v>
      </c>
      <c r="C64" s="98" t="s">
        <v>1459</v>
      </c>
      <c r="D64" s="200" t="s">
        <v>556</v>
      </c>
      <c r="E64" s="98" t="s">
        <v>1460</v>
      </c>
      <c r="F64" s="98" t="s">
        <v>100</v>
      </c>
      <c r="H64" s="200" t="s">
        <v>1461</v>
      </c>
      <c r="I64" s="98" t="s">
        <v>1462</v>
      </c>
    </row>
    <row r="65" spans="1:9" ht="16.5" customHeight="1">
      <c r="A65" s="98">
        <v>64</v>
      </c>
      <c r="B65" s="200" t="s">
        <v>1247</v>
      </c>
      <c r="C65" s="98" t="s">
        <v>1463</v>
      </c>
      <c r="D65" s="200" t="s">
        <v>556</v>
      </c>
      <c r="E65" s="98" t="s">
        <v>1464</v>
      </c>
      <c r="F65" s="98" t="s">
        <v>100</v>
      </c>
      <c r="H65" s="200" t="s">
        <v>1465</v>
      </c>
      <c r="I65" s="98" t="s">
        <v>1466</v>
      </c>
    </row>
    <row r="66" spans="1:9" ht="16.5" customHeight="1">
      <c r="A66" s="98">
        <v>65</v>
      </c>
      <c r="B66" s="200" t="s">
        <v>1247</v>
      </c>
      <c r="C66" s="98" t="s">
        <v>1467</v>
      </c>
      <c r="D66" s="200" t="s">
        <v>556</v>
      </c>
      <c r="E66" s="98" t="s">
        <v>1468</v>
      </c>
      <c r="F66" s="98" t="s">
        <v>100</v>
      </c>
      <c r="H66" s="200" t="s">
        <v>1469</v>
      </c>
      <c r="I66" s="98" t="s">
        <v>1466</v>
      </c>
    </row>
    <row r="67" spans="1:9" ht="16.5" customHeight="1">
      <c r="A67" s="98">
        <v>66</v>
      </c>
      <c r="B67" s="200" t="s">
        <v>1247</v>
      </c>
      <c r="C67" s="98" t="s">
        <v>428</v>
      </c>
      <c r="D67" s="200" t="s">
        <v>556</v>
      </c>
      <c r="E67" s="98" t="s">
        <v>1470</v>
      </c>
      <c r="F67" s="98" t="s">
        <v>100</v>
      </c>
      <c r="H67" s="200" t="s">
        <v>1471</v>
      </c>
      <c r="I67" s="98" t="s">
        <v>1472</v>
      </c>
    </row>
    <row r="68" spans="1:9" ht="16.5" customHeight="1">
      <c r="A68" s="98">
        <v>67</v>
      </c>
      <c r="B68" s="200" t="s">
        <v>1247</v>
      </c>
      <c r="C68" s="98" t="s">
        <v>1473</v>
      </c>
      <c r="D68" s="200" t="s">
        <v>556</v>
      </c>
      <c r="E68" s="98" t="s">
        <v>1474</v>
      </c>
      <c r="F68" s="98" t="s">
        <v>100</v>
      </c>
      <c r="H68" s="200" t="s">
        <v>1475</v>
      </c>
      <c r="I68" s="98" t="s">
        <v>1476</v>
      </c>
    </row>
    <row r="69" spans="1:9" ht="16.5" customHeight="1">
      <c r="A69" s="98">
        <v>68</v>
      </c>
      <c r="B69" s="200" t="s">
        <v>1247</v>
      </c>
      <c r="C69" s="98" t="s">
        <v>1477</v>
      </c>
      <c r="D69" s="200" t="s">
        <v>556</v>
      </c>
      <c r="E69" s="98" t="s">
        <v>1478</v>
      </c>
      <c r="F69" s="98" t="s">
        <v>100</v>
      </c>
      <c r="H69" s="200" t="s">
        <v>1479</v>
      </c>
      <c r="I69" s="98" t="s">
        <v>1480</v>
      </c>
    </row>
    <row r="70" spans="1:9" ht="16.5" customHeight="1">
      <c r="A70" s="98">
        <v>69</v>
      </c>
      <c r="B70" s="200" t="s">
        <v>1247</v>
      </c>
      <c r="C70" s="98" t="s">
        <v>1481</v>
      </c>
      <c r="D70" s="200" t="s">
        <v>556</v>
      </c>
      <c r="E70" s="98" t="s">
        <v>1482</v>
      </c>
      <c r="F70" s="98" t="s">
        <v>100</v>
      </c>
      <c r="H70" s="200" t="s">
        <v>1483</v>
      </c>
      <c r="I70" s="98" t="s">
        <v>1484</v>
      </c>
    </row>
    <row r="71" spans="1:9" ht="16.5" customHeight="1">
      <c r="A71" s="98">
        <v>70</v>
      </c>
      <c r="B71" s="200" t="s">
        <v>1247</v>
      </c>
      <c r="C71" s="98" t="s">
        <v>1485</v>
      </c>
      <c r="D71" s="200" t="s">
        <v>556</v>
      </c>
      <c r="E71" s="98" t="s">
        <v>1486</v>
      </c>
      <c r="F71" s="98" t="s">
        <v>100</v>
      </c>
      <c r="H71" s="200" t="s">
        <v>1487</v>
      </c>
      <c r="I71" s="98" t="s">
        <v>1484</v>
      </c>
    </row>
    <row r="72" spans="1:9" ht="16.5" customHeight="1">
      <c r="A72" s="98">
        <v>71</v>
      </c>
      <c r="B72" s="200" t="s">
        <v>1247</v>
      </c>
      <c r="C72" s="98" t="s">
        <v>462</v>
      </c>
      <c r="D72" s="200" t="s">
        <v>556</v>
      </c>
      <c r="E72" s="200" t="s">
        <v>1488</v>
      </c>
      <c r="H72" s="200" t="s">
        <v>1489</v>
      </c>
    </row>
    <row r="73" spans="1:9" ht="16.5" customHeight="1">
      <c r="A73" s="98">
        <v>72</v>
      </c>
      <c r="B73" s="200" t="s">
        <v>1247</v>
      </c>
      <c r="C73" s="98" t="s">
        <v>1490</v>
      </c>
      <c r="D73" s="200" t="s">
        <v>556</v>
      </c>
      <c r="E73" s="98" t="s">
        <v>1491</v>
      </c>
      <c r="F73" s="98" t="s">
        <v>96</v>
      </c>
      <c r="H73" s="200" t="s">
        <v>1492</v>
      </c>
      <c r="I73" s="201">
        <v>46023</v>
      </c>
    </row>
    <row r="74" spans="1:9" ht="16.5" customHeight="1">
      <c r="A74" s="98">
        <v>73</v>
      </c>
      <c r="B74" s="200" t="s">
        <v>1247</v>
      </c>
      <c r="C74" s="98" t="s">
        <v>1493</v>
      </c>
      <c r="D74" s="200" t="s">
        <v>556</v>
      </c>
      <c r="E74" s="98" t="s">
        <v>1494</v>
      </c>
      <c r="F74" s="98" t="s">
        <v>98</v>
      </c>
      <c r="H74" s="200" t="s">
        <v>1495</v>
      </c>
      <c r="I74" s="201">
        <v>46219</v>
      </c>
    </row>
    <row r="75" spans="1:9" ht="14.25">
      <c r="A75" s="98">
        <v>74</v>
      </c>
      <c r="B75" s="200" t="s">
        <v>1247</v>
      </c>
      <c r="C75" s="98" t="s">
        <v>3208</v>
      </c>
      <c r="D75" s="200" t="s">
        <v>556</v>
      </c>
      <c r="F75" s="98" t="s">
        <v>98</v>
      </c>
    </row>
    <row r="76" spans="1:9" ht="14.25">
      <c r="A76" s="98">
        <v>75</v>
      </c>
      <c r="B76" s="200" t="s">
        <v>1247</v>
      </c>
      <c r="C76" s="238" t="s">
        <v>3209</v>
      </c>
      <c r="D76" s="200" t="s">
        <v>556</v>
      </c>
      <c r="F76" s="98" t="s">
        <v>98</v>
      </c>
    </row>
    <row r="105" spans="2:13" ht="16.5" customHeight="1">
      <c r="B105" s="200" t="s">
        <v>1247</v>
      </c>
      <c r="C105" s="98" t="s">
        <v>1496</v>
      </c>
      <c r="D105" s="200" t="s">
        <v>556</v>
      </c>
      <c r="E105" s="98" t="s">
        <v>697</v>
      </c>
      <c r="F105" s="98" t="s">
        <v>100</v>
      </c>
      <c r="H105" s="200" t="s">
        <v>1497</v>
      </c>
      <c r="I105" s="98" t="s">
        <v>1498</v>
      </c>
    </row>
    <row r="106" spans="2:13" ht="16.5" customHeight="1">
      <c r="B106" s="200" t="s">
        <v>1247</v>
      </c>
      <c r="C106" s="98" t="s">
        <v>1499</v>
      </c>
      <c r="D106" s="200" t="s">
        <v>556</v>
      </c>
      <c r="E106" s="98" t="s">
        <v>697</v>
      </c>
      <c r="F106" s="98" t="s">
        <v>100</v>
      </c>
      <c r="H106" s="200" t="s">
        <v>1500</v>
      </c>
      <c r="I106" s="98" t="s">
        <v>1498</v>
      </c>
    </row>
    <row r="107" spans="2:13" ht="16.5" customHeight="1">
      <c r="B107" s="200" t="s">
        <v>1247</v>
      </c>
      <c r="C107" s="98" t="s">
        <v>1501</v>
      </c>
      <c r="D107" s="200" t="s">
        <v>556</v>
      </c>
      <c r="E107" s="98" t="s">
        <v>697</v>
      </c>
      <c r="F107" s="98" t="s">
        <v>100</v>
      </c>
      <c r="H107" s="200" t="s">
        <v>1502</v>
      </c>
      <c r="I107" s="98" t="s">
        <v>1503</v>
      </c>
    </row>
    <row r="108" spans="2:13" ht="16.5" customHeight="1">
      <c r="B108" s="200" t="s">
        <v>1247</v>
      </c>
      <c r="C108" s="98" t="s">
        <v>1504</v>
      </c>
      <c r="D108" s="200" t="s">
        <v>556</v>
      </c>
      <c r="E108" s="98" t="s">
        <v>697</v>
      </c>
      <c r="F108" s="98" t="s">
        <v>100</v>
      </c>
      <c r="H108" s="200" t="s">
        <v>1505</v>
      </c>
      <c r="I108" s="98" t="s">
        <v>1503</v>
      </c>
    </row>
    <row r="109" spans="2:13" ht="16.5" customHeight="1">
      <c r="B109" s="200" t="s">
        <v>1247</v>
      </c>
      <c r="C109" s="98" t="s">
        <v>373</v>
      </c>
      <c r="D109" s="200" t="s">
        <v>556</v>
      </c>
      <c r="E109" s="98" t="s">
        <v>697</v>
      </c>
      <c r="F109" s="98" t="s">
        <v>94</v>
      </c>
      <c r="G109" s="200" t="s">
        <v>1265</v>
      </c>
      <c r="H109" s="200" t="s">
        <v>1506</v>
      </c>
      <c r="I109" s="98" t="s">
        <v>1267</v>
      </c>
      <c r="J109" s="98">
        <v>1112.26</v>
      </c>
    </row>
    <row r="110" spans="2:13" ht="16.5" customHeight="1">
      <c r="B110" s="200" t="s">
        <v>1247</v>
      </c>
      <c r="C110" s="98" t="s">
        <v>375</v>
      </c>
      <c r="D110" s="200" t="s">
        <v>566</v>
      </c>
      <c r="E110" s="98" t="s">
        <v>697</v>
      </c>
      <c r="F110" s="98" t="s">
        <v>94</v>
      </c>
      <c r="G110" s="200" t="s">
        <v>1253</v>
      </c>
      <c r="H110" s="200" t="s">
        <v>1507</v>
      </c>
      <c r="I110" s="98" t="s">
        <v>1508</v>
      </c>
      <c r="J110" s="98">
        <v>951.61</v>
      </c>
    </row>
    <row r="111" spans="2:13" ht="16.5" customHeight="1">
      <c r="B111" s="200" t="s">
        <v>1247</v>
      </c>
      <c r="C111" s="98" t="s">
        <v>376</v>
      </c>
      <c r="D111" s="200" t="s">
        <v>566</v>
      </c>
      <c r="E111" s="98" t="s">
        <v>697</v>
      </c>
      <c r="F111" s="98" t="s">
        <v>94</v>
      </c>
      <c r="G111" s="200" t="s">
        <v>1253</v>
      </c>
      <c r="H111" s="200" t="s">
        <v>1509</v>
      </c>
      <c r="I111" s="98" t="s">
        <v>1508</v>
      </c>
      <c r="J111" s="98">
        <v>676.22</v>
      </c>
    </row>
    <row r="112" spans="2:13" ht="16.5" customHeight="1">
      <c r="B112" s="200" t="s">
        <v>1247</v>
      </c>
      <c r="C112" s="98" t="s">
        <v>393</v>
      </c>
      <c r="D112" s="200" t="s">
        <v>556</v>
      </c>
      <c r="E112" s="98" t="s">
        <v>697</v>
      </c>
      <c r="F112" s="98" t="s">
        <v>98</v>
      </c>
      <c r="G112" s="200" t="s">
        <v>1265</v>
      </c>
      <c r="H112" s="200" t="s">
        <v>1510</v>
      </c>
      <c r="I112" s="98" t="s">
        <v>1511</v>
      </c>
      <c r="J112" s="98">
        <v>1099.5899999999999</v>
      </c>
      <c r="K112" s="98">
        <v>3601100</v>
      </c>
      <c r="L112" s="98">
        <v>3274948</v>
      </c>
      <c r="M112" s="201">
        <v>44382</v>
      </c>
    </row>
    <row r="113" spans="2:11" ht="16.5" customHeight="1">
      <c r="B113" s="200" t="s">
        <v>1247</v>
      </c>
      <c r="C113" s="98" t="s">
        <v>1512</v>
      </c>
      <c r="D113" s="200" t="s">
        <v>556</v>
      </c>
      <c r="E113" s="98" t="s">
        <v>697</v>
      </c>
      <c r="F113" s="98" t="s">
        <v>100</v>
      </c>
      <c r="G113" s="200" t="s">
        <v>1296</v>
      </c>
      <c r="H113" s="200" t="s">
        <v>1513</v>
      </c>
      <c r="I113" s="201">
        <v>44644</v>
      </c>
    </row>
    <row r="114" spans="2:11" ht="16.5" customHeight="1">
      <c r="B114" s="200" t="s">
        <v>1247</v>
      </c>
      <c r="C114" s="98" t="s">
        <v>407</v>
      </c>
      <c r="D114" s="200" t="s">
        <v>556</v>
      </c>
      <c r="E114" s="98" t="s">
        <v>697</v>
      </c>
      <c r="F114" s="98" t="s">
        <v>100</v>
      </c>
      <c r="G114" s="200" t="s">
        <v>1296</v>
      </c>
      <c r="H114" s="200" t="s">
        <v>1514</v>
      </c>
      <c r="I114" s="201">
        <v>45257</v>
      </c>
      <c r="J114" s="98">
        <v>1000</v>
      </c>
      <c r="K114" s="98">
        <v>6400000000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/>
  <dimension ref="B1:M89"/>
  <sheetViews>
    <sheetView topLeftCell="A23" zoomScaleNormal="100" workbookViewId="0">
      <selection activeCell="F52" sqref="F52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546</v>
      </c>
      <c r="E1" s="200" t="s">
        <v>1515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1516</v>
      </c>
      <c r="C2" s="98">
        <v>2231</v>
      </c>
      <c r="D2" s="200" t="s">
        <v>556</v>
      </c>
      <c r="E2" s="98" t="s">
        <v>1517</v>
      </c>
      <c r="F2" s="98" t="s">
        <v>94</v>
      </c>
      <c r="G2" s="200" t="s">
        <v>1518</v>
      </c>
      <c r="H2" s="200" t="s">
        <v>1519</v>
      </c>
      <c r="I2" s="98">
        <v>2007.05</v>
      </c>
      <c r="J2" s="98">
        <v>919.63</v>
      </c>
      <c r="K2" s="98">
        <v>5854000000</v>
      </c>
      <c r="L2" s="98">
        <v>6366000000</v>
      </c>
      <c r="M2" s="98" t="s">
        <v>562</v>
      </c>
    </row>
    <row r="3" spans="2:13" ht="16.5" customHeight="1">
      <c r="B3" s="200" t="s">
        <v>1516</v>
      </c>
      <c r="C3" s="98">
        <v>2235</v>
      </c>
      <c r="D3" s="200" t="s">
        <v>556</v>
      </c>
      <c r="E3" s="98" t="s">
        <v>1520</v>
      </c>
      <c r="F3" s="98" t="s">
        <v>94</v>
      </c>
      <c r="G3" s="200" t="s">
        <v>1518</v>
      </c>
      <c r="H3" s="200" t="s">
        <v>1521</v>
      </c>
      <c r="I3" s="98">
        <v>2007.06</v>
      </c>
      <c r="J3" s="98">
        <v>1156.33</v>
      </c>
      <c r="K3" s="98">
        <v>5740000000</v>
      </c>
      <c r="L3" s="98">
        <v>4964000000</v>
      </c>
      <c r="M3" s="98" t="s">
        <v>562</v>
      </c>
    </row>
    <row r="4" spans="2:13" ht="16.5" customHeight="1">
      <c r="B4" s="200" t="s">
        <v>1516</v>
      </c>
      <c r="C4" s="98">
        <v>2650</v>
      </c>
      <c r="D4" s="200" t="s">
        <v>556</v>
      </c>
      <c r="E4" s="98" t="s">
        <v>1522</v>
      </c>
      <c r="F4" s="98" t="s">
        <v>97</v>
      </c>
      <c r="G4" s="98" t="s">
        <v>1523</v>
      </c>
      <c r="H4" s="200" t="s">
        <v>1524</v>
      </c>
      <c r="I4" s="98">
        <v>2016.04</v>
      </c>
      <c r="J4" s="98">
        <v>1056.55</v>
      </c>
      <c r="K4" s="98">
        <v>8682000000</v>
      </c>
      <c r="L4" s="98">
        <v>8217000000</v>
      </c>
      <c r="M4" s="98" t="s">
        <v>562</v>
      </c>
    </row>
    <row r="5" spans="2:13" ht="16.5" customHeight="1">
      <c r="B5" s="200" t="s">
        <v>1516</v>
      </c>
      <c r="C5" s="98">
        <v>2665</v>
      </c>
      <c r="D5" s="200" t="s">
        <v>556</v>
      </c>
      <c r="E5" s="98" t="s">
        <v>1525</v>
      </c>
      <c r="F5" s="98" t="s">
        <v>97</v>
      </c>
      <c r="G5" s="98" t="s">
        <v>1523</v>
      </c>
      <c r="H5" s="200" t="s">
        <v>1526</v>
      </c>
      <c r="I5" s="98">
        <v>2016.06</v>
      </c>
      <c r="J5" s="98">
        <v>1297.81</v>
      </c>
      <c r="K5" s="98">
        <v>5010243217</v>
      </c>
      <c r="L5" s="98">
        <v>6502364508</v>
      </c>
      <c r="M5" s="98" t="s">
        <v>562</v>
      </c>
    </row>
    <row r="6" spans="2:13" ht="16.5" customHeight="1">
      <c r="B6" s="200" t="s">
        <v>1516</v>
      </c>
      <c r="C6" s="98">
        <v>2705</v>
      </c>
      <c r="D6" s="200" t="s">
        <v>556</v>
      </c>
      <c r="E6" s="98" t="s">
        <v>1527</v>
      </c>
      <c r="F6" s="98" t="s">
        <v>100</v>
      </c>
      <c r="G6" s="98" t="s">
        <v>1523</v>
      </c>
      <c r="H6" s="200" t="s">
        <v>1528</v>
      </c>
      <c r="I6" s="98">
        <v>2016.08</v>
      </c>
      <c r="J6" s="98">
        <v>1437.37</v>
      </c>
      <c r="K6" s="98">
        <v>4419134396</v>
      </c>
      <c r="L6" s="98">
        <v>6351925950</v>
      </c>
      <c r="M6" s="98" t="s">
        <v>562</v>
      </c>
    </row>
    <row r="7" spans="2:13" ht="16.5" customHeight="1">
      <c r="B7" s="200" t="s">
        <v>1516</v>
      </c>
      <c r="C7" s="98">
        <v>2885</v>
      </c>
      <c r="D7" s="200" t="s">
        <v>556</v>
      </c>
      <c r="E7" s="98" t="s">
        <v>1529</v>
      </c>
      <c r="F7" s="98" t="s">
        <v>94</v>
      </c>
      <c r="G7" s="98" t="s">
        <v>1530</v>
      </c>
      <c r="H7" s="200" t="s">
        <v>1531</v>
      </c>
      <c r="I7" s="98">
        <v>2020.01</v>
      </c>
      <c r="J7" s="98">
        <v>1151.3</v>
      </c>
      <c r="K7" s="98">
        <v>19410700000</v>
      </c>
      <c r="L7" s="98">
        <v>168599000000</v>
      </c>
      <c r="M7" s="98" t="s">
        <v>562</v>
      </c>
    </row>
    <row r="8" spans="2:13" ht="16.5" customHeight="1">
      <c r="B8" s="200" t="s">
        <v>1516</v>
      </c>
      <c r="C8" s="98">
        <v>3320</v>
      </c>
      <c r="D8" s="200" t="s">
        <v>556</v>
      </c>
      <c r="E8" s="98" t="s">
        <v>1532</v>
      </c>
      <c r="F8" s="98" t="s">
        <v>100</v>
      </c>
      <c r="G8" s="200" t="s">
        <v>1518</v>
      </c>
      <c r="H8" s="200" t="s">
        <v>1533</v>
      </c>
      <c r="I8" s="98">
        <v>2007.05</v>
      </c>
      <c r="J8" s="98">
        <v>823.36</v>
      </c>
      <c r="K8" s="98">
        <v>51668000000</v>
      </c>
      <c r="L8" s="98">
        <v>62753000000</v>
      </c>
      <c r="M8" s="98" t="s">
        <v>562</v>
      </c>
    </row>
    <row r="9" spans="2:13" ht="16.5" customHeight="1">
      <c r="B9" s="200" t="s">
        <v>1516</v>
      </c>
      <c r="C9" s="98">
        <v>3788</v>
      </c>
      <c r="D9" s="200" t="s">
        <v>566</v>
      </c>
      <c r="E9" s="98" t="s">
        <v>1534</v>
      </c>
      <c r="F9" s="98" t="s">
        <v>96</v>
      </c>
      <c r="G9" s="200" t="s">
        <v>1535</v>
      </c>
      <c r="H9" s="200" t="s">
        <v>1536</v>
      </c>
      <c r="I9" s="98">
        <v>2019.04</v>
      </c>
      <c r="J9" s="98">
        <v>1075.47</v>
      </c>
      <c r="K9" s="98">
        <v>1243669346</v>
      </c>
      <c r="M9" s="98" t="s">
        <v>562</v>
      </c>
    </row>
    <row r="10" spans="2:13" ht="16.5" customHeight="1">
      <c r="B10" s="200" t="s">
        <v>1516</v>
      </c>
      <c r="C10" s="98">
        <v>6356</v>
      </c>
      <c r="D10" s="200" t="s">
        <v>556</v>
      </c>
      <c r="E10" s="98" t="s">
        <v>1537</v>
      </c>
      <c r="F10" s="98" t="s">
        <v>94</v>
      </c>
      <c r="G10" s="98" t="s">
        <v>1523</v>
      </c>
      <c r="H10" s="200" t="s">
        <v>1538</v>
      </c>
      <c r="I10" s="98">
        <v>2019.12</v>
      </c>
      <c r="J10" s="98">
        <v>981.17</v>
      </c>
      <c r="K10" s="98">
        <v>31132000000</v>
      </c>
      <c r="L10" s="98">
        <v>31730000000</v>
      </c>
      <c r="M10" s="98" t="s">
        <v>562</v>
      </c>
    </row>
    <row r="11" spans="2:13" ht="16.5" customHeight="1">
      <c r="B11" s="200" t="s">
        <v>1516</v>
      </c>
      <c r="C11" s="98">
        <v>1798</v>
      </c>
      <c r="D11" s="200" t="s">
        <v>566</v>
      </c>
      <c r="E11" s="98" t="s">
        <v>1539</v>
      </c>
      <c r="F11" s="98" t="s">
        <v>94</v>
      </c>
      <c r="G11" s="200" t="s">
        <v>1540</v>
      </c>
      <c r="H11" s="200" t="s">
        <v>1541</v>
      </c>
      <c r="I11" s="98">
        <v>2019.05</v>
      </c>
      <c r="J11" s="98">
        <v>727.78</v>
      </c>
      <c r="K11" s="98">
        <v>14365880551</v>
      </c>
      <c r="L11" s="98">
        <v>19739447876</v>
      </c>
      <c r="M11" s="98" t="s">
        <v>589</v>
      </c>
    </row>
    <row r="12" spans="2:13" ht="16.5" customHeight="1">
      <c r="B12" s="200" t="s">
        <v>1516</v>
      </c>
      <c r="C12" s="98">
        <v>1898</v>
      </c>
      <c r="D12" s="200" t="s">
        <v>566</v>
      </c>
      <c r="E12" s="98" t="s">
        <v>1542</v>
      </c>
      <c r="F12" s="98" t="s">
        <v>94</v>
      </c>
      <c r="G12" s="200" t="s">
        <v>1540</v>
      </c>
      <c r="H12" s="200" t="s">
        <v>1543</v>
      </c>
      <c r="I12" s="98">
        <v>2019.03</v>
      </c>
      <c r="J12" s="98">
        <v>923.83</v>
      </c>
      <c r="K12" s="98">
        <v>3758559585</v>
      </c>
      <c r="L12" s="98">
        <v>4068449806</v>
      </c>
      <c r="M12" s="98" t="s">
        <v>589</v>
      </c>
    </row>
    <row r="13" spans="2:13" ht="16.5" customHeight="1">
      <c r="B13" s="200" t="s">
        <v>1516</v>
      </c>
      <c r="C13" s="98">
        <v>1943</v>
      </c>
      <c r="D13" s="200" t="s">
        <v>566</v>
      </c>
      <c r="E13" s="98" t="s">
        <v>1544</v>
      </c>
      <c r="F13" s="98" t="s">
        <v>94</v>
      </c>
      <c r="G13" s="200" t="s">
        <v>1540</v>
      </c>
      <c r="H13" s="200" t="s">
        <v>1545</v>
      </c>
      <c r="I13" s="98">
        <v>2019.03</v>
      </c>
      <c r="J13" s="98">
        <v>927.58</v>
      </c>
      <c r="K13" s="98">
        <v>7436288977</v>
      </c>
      <c r="L13" s="98">
        <v>8016885149</v>
      </c>
      <c r="M13" s="98" t="s">
        <v>589</v>
      </c>
    </row>
    <row r="14" spans="2:13" ht="16.5" customHeight="1">
      <c r="B14" s="200" t="s">
        <v>1516</v>
      </c>
      <c r="C14" s="98">
        <v>1984</v>
      </c>
      <c r="D14" s="200" t="s">
        <v>566</v>
      </c>
      <c r="E14" s="98" t="s">
        <v>1546</v>
      </c>
      <c r="F14" s="98" t="s">
        <v>94</v>
      </c>
      <c r="G14" s="200" t="s">
        <v>1540</v>
      </c>
      <c r="H14" s="200" t="s">
        <v>1547</v>
      </c>
      <c r="I14" s="98">
        <v>2019.11</v>
      </c>
      <c r="J14" s="98">
        <v>1001.3</v>
      </c>
      <c r="K14" s="98">
        <v>20573146212</v>
      </c>
      <c r="L14" s="98">
        <v>20546459992</v>
      </c>
      <c r="M14" s="98" t="s">
        <v>589</v>
      </c>
    </row>
    <row r="15" spans="2:13" ht="16.5" customHeight="1">
      <c r="B15" s="200" t="s">
        <v>1516</v>
      </c>
      <c r="C15" s="98">
        <v>8310</v>
      </c>
      <c r="D15" s="200" t="s">
        <v>556</v>
      </c>
      <c r="E15" s="98" t="s">
        <v>1548</v>
      </c>
      <c r="F15" s="98" t="s">
        <v>94</v>
      </c>
      <c r="G15" s="200" t="s">
        <v>1518</v>
      </c>
      <c r="H15" s="200" t="s">
        <v>1549</v>
      </c>
      <c r="I15" s="98">
        <v>2018.05</v>
      </c>
      <c r="J15" s="98">
        <v>1195.8599999999999</v>
      </c>
      <c r="K15" s="98">
        <v>13906484619</v>
      </c>
      <c r="L15" s="98">
        <v>11628849430</v>
      </c>
      <c r="M15" s="98" t="s">
        <v>589</v>
      </c>
    </row>
    <row r="16" spans="2:13" ht="16.5" customHeight="1">
      <c r="B16" s="200" t="s">
        <v>1516</v>
      </c>
      <c r="C16" s="98">
        <v>8325</v>
      </c>
      <c r="D16" s="200" t="s">
        <v>556</v>
      </c>
      <c r="E16" s="98" t="s">
        <v>1550</v>
      </c>
      <c r="F16" s="98" t="s">
        <v>94</v>
      </c>
      <c r="G16" s="200" t="s">
        <v>1518</v>
      </c>
      <c r="H16" s="200" t="s">
        <v>1551</v>
      </c>
      <c r="I16" s="98">
        <v>2018.05</v>
      </c>
      <c r="J16" s="98">
        <v>1234.06</v>
      </c>
      <c r="K16" s="98">
        <v>14220894524</v>
      </c>
      <c r="L16" s="98">
        <v>11523677452</v>
      </c>
      <c r="M16" s="98" t="s">
        <v>589</v>
      </c>
    </row>
    <row r="17" spans="2:13" ht="16.5" customHeight="1">
      <c r="B17" s="200" t="s">
        <v>1516</v>
      </c>
      <c r="C17" s="98">
        <v>8340</v>
      </c>
      <c r="D17" s="200" t="s">
        <v>556</v>
      </c>
      <c r="E17" s="98" t="s">
        <v>1552</v>
      </c>
      <c r="F17" s="98" t="s">
        <v>94</v>
      </c>
      <c r="G17" s="200" t="s">
        <v>1518</v>
      </c>
      <c r="H17" s="200" t="s">
        <v>1553</v>
      </c>
      <c r="I17" s="98">
        <v>2018.05</v>
      </c>
      <c r="J17" s="98">
        <v>1259.32</v>
      </c>
      <c r="K17" s="98">
        <v>13370826883</v>
      </c>
      <c r="L17" s="98">
        <v>10617460811</v>
      </c>
      <c r="M17" s="98" t="s">
        <v>589</v>
      </c>
    </row>
    <row r="18" spans="2:13" ht="16.5" customHeight="1">
      <c r="B18" s="200" t="s">
        <v>1516</v>
      </c>
      <c r="C18" s="98">
        <v>8355</v>
      </c>
      <c r="D18" s="200" t="s">
        <v>556</v>
      </c>
      <c r="E18" s="98" t="s">
        <v>1554</v>
      </c>
      <c r="F18" s="98" t="s">
        <v>94</v>
      </c>
      <c r="G18" s="200" t="s">
        <v>1518</v>
      </c>
      <c r="H18" s="200" t="s">
        <v>1555</v>
      </c>
      <c r="I18" s="98">
        <v>2018.05</v>
      </c>
      <c r="J18" s="98">
        <v>1264.29</v>
      </c>
      <c r="K18" s="98">
        <v>12848100120</v>
      </c>
      <c r="L18" s="98">
        <v>10162303295</v>
      </c>
      <c r="M18" s="98" t="s">
        <v>589</v>
      </c>
    </row>
    <row r="19" spans="2:13" ht="16.5" customHeight="1">
      <c r="B19" s="200" t="s">
        <v>1516</v>
      </c>
      <c r="C19" s="98">
        <v>8370</v>
      </c>
      <c r="D19" s="200" t="s">
        <v>556</v>
      </c>
      <c r="E19" s="98" t="s">
        <v>1556</v>
      </c>
      <c r="F19" s="98" t="s">
        <v>94</v>
      </c>
      <c r="G19" s="200" t="s">
        <v>1518</v>
      </c>
      <c r="H19" s="200" t="s">
        <v>1557</v>
      </c>
      <c r="I19" s="98">
        <v>2018.05</v>
      </c>
      <c r="J19" s="98">
        <v>1261.02</v>
      </c>
      <c r="K19" s="98">
        <v>15111521289</v>
      </c>
      <c r="L19" s="98">
        <v>11983549201</v>
      </c>
      <c r="M19" s="98" t="s">
        <v>589</v>
      </c>
    </row>
    <row r="20" spans="2:13" ht="16.5" customHeight="1">
      <c r="B20" s="200" t="s">
        <v>1516</v>
      </c>
      <c r="C20" s="98">
        <v>6355</v>
      </c>
      <c r="D20" s="200" t="s">
        <v>556</v>
      </c>
      <c r="E20" s="98" t="s">
        <v>1558</v>
      </c>
      <c r="F20" s="98" t="s">
        <v>94</v>
      </c>
      <c r="G20" s="98" t="s">
        <v>1523</v>
      </c>
      <c r="H20" s="200" t="s">
        <v>1559</v>
      </c>
      <c r="I20" s="98">
        <v>2019.12</v>
      </c>
      <c r="J20" s="98">
        <v>1033.04</v>
      </c>
      <c r="K20" s="98">
        <v>41145293535</v>
      </c>
      <c r="L20" s="98">
        <v>39829423640</v>
      </c>
      <c r="M20" s="98" t="s">
        <v>589</v>
      </c>
    </row>
    <row r="21" spans="2:13" ht="16.5" customHeight="1">
      <c r="B21" s="200" t="s">
        <v>1516</v>
      </c>
      <c r="C21" s="98">
        <v>8391</v>
      </c>
      <c r="D21" s="200" t="s">
        <v>556</v>
      </c>
      <c r="E21" s="98" t="s">
        <v>1560</v>
      </c>
      <c r="F21" s="98" t="s">
        <v>100</v>
      </c>
      <c r="G21" s="200" t="s">
        <v>1540</v>
      </c>
      <c r="H21" s="200" t="s">
        <v>1561</v>
      </c>
      <c r="I21" s="98">
        <v>2021.06</v>
      </c>
    </row>
    <row r="22" spans="2:13" ht="16.5" customHeight="1">
      <c r="B22" s="200" t="s">
        <v>1516</v>
      </c>
      <c r="C22" s="98">
        <v>6513</v>
      </c>
      <c r="D22" s="200" t="s">
        <v>556</v>
      </c>
      <c r="E22" s="98" t="s">
        <v>1562</v>
      </c>
      <c r="F22" s="98" t="s">
        <v>100</v>
      </c>
      <c r="G22" s="200" t="s">
        <v>1518</v>
      </c>
      <c r="H22" s="200" t="s">
        <v>1563</v>
      </c>
      <c r="I22" s="98">
        <v>2021.08</v>
      </c>
      <c r="J22" s="98">
        <v>965.56</v>
      </c>
      <c r="K22" s="98">
        <v>305000000</v>
      </c>
      <c r="L22" s="98">
        <v>316000000</v>
      </c>
      <c r="M22" s="98" t="s">
        <v>562</v>
      </c>
    </row>
    <row r="23" spans="2:13" ht="16.5" customHeight="1">
      <c r="B23" s="200" t="s">
        <v>1516</v>
      </c>
      <c r="C23" s="98">
        <v>5327</v>
      </c>
      <c r="D23" s="200" t="s">
        <v>556</v>
      </c>
      <c r="E23" s="98" t="s">
        <v>1564</v>
      </c>
      <c r="F23" s="98" t="s">
        <v>100</v>
      </c>
      <c r="H23" s="200" t="s">
        <v>1565</v>
      </c>
      <c r="I23" s="98">
        <v>2022.02</v>
      </c>
    </row>
    <row r="24" spans="2:13" ht="16.5" customHeight="1">
      <c r="B24" s="200" t="s">
        <v>1516</v>
      </c>
      <c r="C24" s="98">
        <v>5328</v>
      </c>
      <c r="D24" s="200" t="s">
        <v>556</v>
      </c>
      <c r="E24" s="98" t="s">
        <v>1566</v>
      </c>
      <c r="F24" s="98" t="s">
        <v>100</v>
      </c>
      <c r="H24" s="200" t="s">
        <v>1567</v>
      </c>
      <c r="I24" s="98">
        <v>2022.02</v>
      </c>
    </row>
    <row r="25" spans="2:13" ht="16.5" customHeight="1">
      <c r="B25" s="200" t="s">
        <v>1516</v>
      </c>
      <c r="C25" s="98">
        <v>3595</v>
      </c>
      <c r="D25" s="200" t="s">
        <v>566</v>
      </c>
      <c r="E25" s="98" t="s">
        <v>1568</v>
      </c>
      <c r="F25" s="98" t="s">
        <v>96</v>
      </c>
      <c r="G25" s="200" t="s">
        <v>1540</v>
      </c>
      <c r="H25" s="200" t="s">
        <v>1318</v>
      </c>
      <c r="I25" s="98">
        <v>2021.04</v>
      </c>
    </row>
    <row r="26" spans="2:13" ht="16.5" customHeight="1">
      <c r="B26" s="200" t="s">
        <v>1516</v>
      </c>
      <c r="C26" s="98">
        <v>3594</v>
      </c>
      <c r="D26" s="200" t="s">
        <v>566</v>
      </c>
      <c r="E26" s="98" t="s">
        <v>1569</v>
      </c>
      <c r="F26" s="98" t="s">
        <v>94</v>
      </c>
      <c r="G26" s="200" t="s">
        <v>1540</v>
      </c>
      <c r="H26" s="200" t="s">
        <v>1320</v>
      </c>
      <c r="I26" s="98">
        <v>2021.04</v>
      </c>
    </row>
    <row r="27" spans="2:13" ht="16.5" customHeight="1">
      <c r="B27" s="200" t="s">
        <v>1516</v>
      </c>
      <c r="C27" s="98">
        <v>5425</v>
      </c>
      <c r="D27" s="200" t="s">
        <v>556</v>
      </c>
      <c r="E27" s="98" t="s">
        <v>1570</v>
      </c>
      <c r="F27" s="98" t="s">
        <v>100</v>
      </c>
      <c r="G27" s="200" t="s">
        <v>1571</v>
      </c>
      <c r="H27" s="200" t="s">
        <v>1572</v>
      </c>
      <c r="I27" s="98">
        <v>2023.08</v>
      </c>
    </row>
    <row r="28" spans="2:13" ht="16.5" customHeight="1">
      <c r="B28" s="200" t="s">
        <v>1516</v>
      </c>
      <c r="C28" s="98">
        <v>5458</v>
      </c>
      <c r="D28" s="200" t="s">
        <v>556</v>
      </c>
      <c r="E28" s="98" t="s">
        <v>1573</v>
      </c>
      <c r="F28" s="98" t="s">
        <v>100</v>
      </c>
      <c r="G28" s="200" t="s">
        <v>1574</v>
      </c>
      <c r="H28" s="200" t="s">
        <v>1575</v>
      </c>
      <c r="I28" s="98">
        <v>2023.11</v>
      </c>
      <c r="J28" s="98">
        <v>1000</v>
      </c>
    </row>
    <row r="29" spans="2:13" ht="16.5" customHeight="1">
      <c r="B29" s="200" t="s">
        <v>1516</v>
      </c>
      <c r="C29" s="98">
        <v>6650</v>
      </c>
      <c r="D29" s="200" t="s">
        <v>556</v>
      </c>
      <c r="E29" s="98" t="s">
        <v>1576</v>
      </c>
      <c r="F29" s="98" t="s">
        <v>100</v>
      </c>
      <c r="G29" s="200" t="s">
        <v>1571</v>
      </c>
      <c r="H29" s="200" t="s">
        <v>1577</v>
      </c>
      <c r="I29" s="98">
        <v>2024.02</v>
      </c>
    </row>
    <row r="30" spans="2:13" ht="16.5" customHeight="1">
      <c r="B30" s="200" t="s">
        <v>1516</v>
      </c>
      <c r="C30" s="98">
        <v>3239</v>
      </c>
      <c r="D30" s="200" t="s">
        <v>566</v>
      </c>
      <c r="E30" s="98" t="s">
        <v>1578</v>
      </c>
      <c r="F30" s="98" t="s">
        <v>98</v>
      </c>
      <c r="G30" s="200" t="s">
        <v>1571</v>
      </c>
      <c r="H30" s="200" t="s">
        <v>1579</v>
      </c>
      <c r="I30" s="98">
        <v>2024.07</v>
      </c>
    </row>
    <row r="31" spans="2:13" ht="16.5" customHeight="1">
      <c r="B31" s="200" t="s">
        <v>1516</v>
      </c>
      <c r="C31" s="98">
        <v>5530</v>
      </c>
      <c r="D31" s="200" t="s">
        <v>556</v>
      </c>
      <c r="E31" s="98" t="s">
        <v>1580</v>
      </c>
      <c r="F31" s="98" t="s">
        <v>94</v>
      </c>
      <c r="H31" s="200" t="s">
        <v>1581</v>
      </c>
      <c r="I31" s="98">
        <v>2024.08</v>
      </c>
    </row>
    <row r="32" spans="2:13" ht="16.5" customHeight="1">
      <c r="B32" s="200" t="s">
        <v>1516</v>
      </c>
      <c r="C32" s="98">
        <v>2992</v>
      </c>
      <c r="D32" s="200" t="s">
        <v>556</v>
      </c>
      <c r="E32" s="98" t="s">
        <v>1582</v>
      </c>
      <c r="F32" s="98" t="s">
        <v>98</v>
      </c>
      <c r="H32" s="200" t="s">
        <v>1583</v>
      </c>
      <c r="I32" s="98">
        <v>2025.03</v>
      </c>
    </row>
    <row r="33" spans="2:13" ht="16.5" customHeight="1">
      <c r="B33" s="200" t="s">
        <v>1516</v>
      </c>
      <c r="C33" s="98">
        <v>5612</v>
      </c>
      <c r="D33" s="200" t="s">
        <v>556</v>
      </c>
      <c r="E33" s="98" t="s">
        <v>1584</v>
      </c>
      <c r="F33" s="98" t="s">
        <v>94</v>
      </c>
      <c r="G33" s="200" t="s">
        <v>1571</v>
      </c>
      <c r="H33" s="200" t="s">
        <v>1585</v>
      </c>
      <c r="I33" s="98">
        <v>2025.06</v>
      </c>
    </row>
    <row r="34" spans="2:13" ht="16.5" customHeight="1">
      <c r="B34" s="200" t="s">
        <v>1516</v>
      </c>
      <c r="C34" s="98">
        <v>5570</v>
      </c>
      <c r="D34" s="200" t="s">
        <v>556</v>
      </c>
      <c r="E34" s="98" t="s">
        <v>1586</v>
      </c>
      <c r="F34" s="98" t="s">
        <v>98</v>
      </c>
      <c r="G34" s="200" t="s">
        <v>1571</v>
      </c>
      <c r="H34" s="200" t="s">
        <v>1587</v>
      </c>
      <c r="I34" s="98">
        <v>2025.06</v>
      </c>
    </row>
    <row r="35" spans="2:13" ht="16.5" customHeight="1">
      <c r="B35" s="200" t="s">
        <v>1516</v>
      </c>
      <c r="C35" s="98">
        <v>5650</v>
      </c>
      <c r="D35" s="200" t="s">
        <v>556</v>
      </c>
      <c r="E35" s="98" t="s">
        <v>1588</v>
      </c>
      <c r="F35" s="98" t="s">
        <v>94</v>
      </c>
      <c r="G35" s="200" t="s">
        <v>1571</v>
      </c>
      <c r="H35" s="200" t="s">
        <v>1589</v>
      </c>
      <c r="I35" s="98">
        <v>2025.08</v>
      </c>
    </row>
    <row r="36" spans="2:13" ht="16.5" customHeight="1">
      <c r="B36" s="200" t="s">
        <v>1516</v>
      </c>
      <c r="C36" s="98">
        <v>5690</v>
      </c>
      <c r="D36" s="200" t="s">
        <v>556</v>
      </c>
      <c r="E36" s="98" t="s">
        <v>1590</v>
      </c>
      <c r="F36" s="98" t="s">
        <v>94</v>
      </c>
      <c r="G36" s="200" t="s">
        <v>1571</v>
      </c>
      <c r="H36" s="200" t="s">
        <v>1591</v>
      </c>
      <c r="I36" s="98">
        <v>2025.08</v>
      </c>
    </row>
    <row r="37" spans="2:13" ht="16.5" customHeight="1">
      <c r="B37" s="200" t="s">
        <v>1516</v>
      </c>
      <c r="C37" s="98">
        <v>5730</v>
      </c>
      <c r="D37" s="200" t="s">
        <v>556</v>
      </c>
      <c r="E37" s="98" t="s">
        <v>1592</v>
      </c>
      <c r="F37" s="98" t="s">
        <v>94</v>
      </c>
      <c r="G37" s="200" t="s">
        <v>1571</v>
      </c>
      <c r="H37" s="200" t="s">
        <v>1593</v>
      </c>
      <c r="I37" s="98">
        <v>2025.08</v>
      </c>
    </row>
    <row r="38" spans="2:13" ht="16.5" customHeight="1">
      <c r="B38" s="200" t="s">
        <v>1516</v>
      </c>
      <c r="C38" s="98">
        <v>6390</v>
      </c>
      <c r="D38" s="200" t="s">
        <v>556</v>
      </c>
      <c r="E38" s="98" t="s">
        <v>1594</v>
      </c>
      <c r="F38" s="98" t="s">
        <v>100</v>
      </c>
      <c r="G38" s="200" t="s">
        <v>1518</v>
      </c>
      <c r="H38" s="200" t="s">
        <v>1595</v>
      </c>
      <c r="I38" s="98">
        <v>2020.03</v>
      </c>
      <c r="J38" s="98">
        <v>1536.35</v>
      </c>
      <c r="K38" s="98">
        <v>14071114834</v>
      </c>
      <c r="L38" s="98">
        <v>8999126439</v>
      </c>
      <c r="M38" s="98" t="s">
        <v>589</v>
      </c>
    </row>
    <row r="39" spans="2:13" ht="16.5" customHeight="1">
      <c r="B39" s="200" t="s">
        <v>1516</v>
      </c>
      <c r="C39" s="98">
        <v>3009</v>
      </c>
      <c r="D39" s="200" t="s">
        <v>556</v>
      </c>
      <c r="E39" s="98" t="s">
        <v>1596</v>
      </c>
      <c r="F39" s="98" t="s">
        <v>1597</v>
      </c>
      <c r="H39" s="200" t="s">
        <v>1598</v>
      </c>
      <c r="I39" s="98">
        <v>2026.03</v>
      </c>
      <c r="J39" s="98">
        <v>1000</v>
      </c>
    </row>
    <row r="40" spans="2:13" ht="16.5" customHeight="1">
      <c r="B40" s="200" t="s">
        <v>1516</v>
      </c>
      <c r="C40" s="98">
        <v>3668</v>
      </c>
      <c r="D40" s="200" t="s">
        <v>566</v>
      </c>
      <c r="F40" s="98" t="s">
        <v>94</v>
      </c>
      <c r="H40" s="200" t="s">
        <v>1599</v>
      </c>
      <c r="I40" s="98">
        <v>2026.06</v>
      </c>
      <c r="J40" s="98">
        <v>1000</v>
      </c>
    </row>
    <row r="66" spans="2:13" ht="16.5" customHeight="1">
      <c r="B66" s="200" t="s">
        <v>1516</v>
      </c>
      <c r="C66" s="98">
        <v>7067</v>
      </c>
      <c r="D66" s="200" t="s">
        <v>566</v>
      </c>
      <c r="E66" s="98" t="s">
        <v>697</v>
      </c>
      <c r="F66" s="98" t="s">
        <v>97</v>
      </c>
      <c r="G66" s="200" t="s">
        <v>1518</v>
      </c>
      <c r="H66" s="200" t="s">
        <v>1600</v>
      </c>
      <c r="I66" s="98">
        <v>2018.01</v>
      </c>
      <c r="M66" s="98" t="s">
        <v>562</v>
      </c>
    </row>
    <row r="67" spans="2:13" ht="16.5" customHeight="1">
      <c r="B67" s="200" t="s">
        <v>1516</v>
      </c>
      <c r="C67" s="98">
        <v>7708</v>
      </c>
      <c r="D67" s="200" t="s">
        <v>566</v>
      </c>
      <c r="E67" s="98" t="s">
        <v>697</v>
      </c>
      <c r="F67" s="98" t="s">
        <v>97</v>
      </c>
      <c r="G67" s="200" t="s">
        <v>1518</v>
      </c>
      <c r="H67" s="200" t="s">
        <v>1601</v>
      </c>
      <c r="I67" s="98">
        <v>2017.06</v>
      </c>
      <c r="J67" s="98">
        <v>1077.83</v>
      </c>
      <c r="K67" s="98">
        <v>27903995513</v>
      </c>
      <c r="L67" s="98">
        <v>25889046798</v>
      </c>
      <c r="M67" s="98" t="s">
        <v>562</v>
      </c>
    </row>
    <row r="68" spans="2:13" ht="15" customHeight="1">
      <c r="B68" s="200" t="s">
        <v>1516</v>
      </c>
      <c r="C68" s="98">
        <v>1779</v>
      </c>
      <c r="D68" s="200" t="s">
        <v>566</v>
      </c>
      <c r="E68" s="98" t="s">
        <v>697</v>
      </c>
      <c r="F68" s="98" t="s">
        <v>94</v>
      </c>
      <c r="G68" s="200" t="s">
        <v>1540</v>
      </c>
      <c r="H68" s="200" t="s">
        <v>1602</v>
      </c>
      <c r="I68" s="98">
        <v>2019.03</v>
      </c>
      <c r="J68" s="98">
        <v>931.05</v>
      </c>
      <c r="K68" s="98">
        <v>12815204792</v>
      </c>
      <c r="L68" s="98">
        <v>13764295036</v>
      </c>
      <c r="M68" s="98" t="s">
        <v>589</v>
      </c>
    </row>
    <row r="69" spans="2:13" ht="15" customHeight="1">
      <c r="B69" s="200" t="s">
        <v>1516</v>
      </c>
      <c r="C69" s="98">
        <v>1782</v>
      </c>
      <c r="D69" s="200" t="s">
        <v>566</v>
      </c>
      <c r="E69" s="98" t="s">
        <v>697</v>
      </c>
      <c r="F69" s="98" t="s">
        <v>94</v>
      </c>
      <c r="G69" s="200" t="s">
        <v>1540</v>
      </c>
      <c r="H69" s="200" t="s">
        <v>1602</v>
      </c>
      <c r="I69" s="98">
        <v>2019.03</v>
      </c>
      <c r="J69" s="98">
        <v>935.67</v>
      </c>
      <c r="K69" s="98">
        <v>5157496050</v>
      </c>
      <c r="L69" s="98">
        <v>5512096991</v>
      </c>
      <c r="M69" s="98" t="s">
        <v>589</v>
      </c>
    </row>
    <row r="71" spans="2:13" ht="16.5" customHeight="1">
      <c r="B71" s="200" t="s">
        <v>1516</v>
      </c>
      <c r="C71" s="98">
        <v>7064</v>
      </c>
      <c r="D71" s="200" t="s">
        <v>566</v>
      </c>
      <c r="E71" s="98" t="s">
        <v>697</v>
      </c>
      <c r="F71" s="98" t="s">
        <v>96</v>
      </c>
      <c r="G71" s="200" t="s">
        <v>1603</v>
      </c>
      <c r="H71" s="200" t="s">
        <v>1604</v>
      </c>
      <c r="I71" s="98">
        <v>2019.04</v>
      </c>
      <c r="J71" s="98">
        <v>1059.92</v>
      </c>
      <c r="K71" s="98">
        <v>155766859447</v>
      </c>
      <c r="L71" s="98">
        <v>146960386534</v>
      </c>
      <c r="M71" s="98" t="s">
        <v>589</v>
      </c>
    </row>
    <row r="72" spans="2:13" ht="16.5" customHeight="1">
      <c r="C72" s="98">
        <v>1530</v>
      </c>
      <c r="D72" s="200" t="s">
        <v>566</v>
      </c>
      <c r="E72" s="98" t="s">
        <v>697</v>
      </c>
      <c r="F72" s="98" t="s">
        <v>100</v>
      </c>
      <c r="G72" s="200" t="s">
        <v>1605</v>
      </c>
      <c r="H72" s="200" t="s">
        <v>1606</v>
      </c>
      <c r="I72" s="98">
        <v>2022.06</v>
      </c>
    </row>
    <row r="73" spans="2:13" ht="16.5" customHeight="1">
      <c r="B73" s="200" t="s">
        <v>1516</v>
      </c>
      <c r="C73" s="98">
        <v>2797</v>
      </c>
      <c r="D73" s="200" t="s">
        <v>556</v>
      </c>
      <c r="E73" s="98" t="s">
        <v>697</v>
      </c>
      <c r="F73" s="98" t="s">
        <v>100</v>
      </c>
      <c r="G73" s="200" t="s">
        <v>1571</v>
      </c>
      <c r="H73" s="200" t="s">
        <v>1607</v>
      </c>
      <c r="I73" s="98">
        <v>2022.12</v>
      </c>
    </row>
    <row r="74" spans="2:13" ht="16.5" customHeight="1">
      <c r="B74" s="200" t="s">
        <v>1516</v>
      </c>
      <c r="C74" s="98">
        <v>2798</v>
      </c>
      <c r="D74" s="200" t="s">
        <v>556</v>
      </c>
      <c r="E74" s="98" t="s">
        <v>697</v>
      </c>
      <c r="F74" s="98" t="s">
        <v>100</v>
      </c>
      <c r="G74" s="200" t="s">
        <v>1571</v>
      </c>
      <c r="H74" s="200" t="s">
        <v>1608</v>
      </c>
      <c r="I74" s="98">
        <v>2022.12</v>
      </c>
    </row>
    <row r="75" spans="2:13" ht="16.5" customHeight="1">
      <c r="B75" s="200" t="s">
        <v>1516</v>
      </c>
      <c r="C75" s="98">
        <v>2949</v>
      </c>
      <c r="D75" s="200" t="s">
        <v>556</v>
      </c>
      <c r="E75" s="98" t="s">
        <v>697</v>
      </c>
      <c r="F75" s="98" t="s">
        <v>100</v>
      </c>
      <c r="G75" s="200" t="s">
        <v>1571</v>
      </c>
      <c r="H75" s="200" t="s">
        <v>1609</v>
      </c>
      <c r="I75" s="98">
        <v>2023.03</v>
      </c>
      <c r="J75" s="98">
        <v>1000</v>
      </c>
      <c r="L75" s="98">
        <v>7500000000</v>
      </c>
    </row>
    <row r="76" spans="2:13" ht="16.5" customHeight="1">
      <c r="B76" s="200" t="s">
        <v>1516</v>
      </c>
      <c r="C76" s="98">
        <v>3430</v>
      </c>
      <c r="D76" s="200" t="s">
        <v>556</v>
      </c>
      <c r="E76" s="98" t="s">
        <v>697</v>
      </c>
      <c r="F76" s="98" t="s">
        <v>100</v>
      </c>
      <c r="G76" s="200" t="s">
        <v>1571</v>
      </c>
      <c r="H76" s="200" t="s">
        <v>1610</v>
      </c>
      <c r="I76" s="98">
        <v>2024.02</v>
      </c>
    </row>
    <row r="77" spans="2:13" ht="16.5" customHeight="1">
      <c r="B77" s="200" t="s">
        <v>1516</v>
      </c>
      <c r="C77" s="98">
        <v>8420</v>
      </c>
      <c r="D77" s="200" t="s">
        <v>556</v>
      </c>
      <c r="E77" s="98" t="s">
        <v>697</v>
      </c>
      <c r="F77" s="98" t="s">
        <v>100</v>
      </c>
      <c r="G77" s="200" t="s">
        <v>1611</v>
      </c>
      <c r="H77" s="200" t="s">
        <v>1612</v>
      </c>
      <c r="I77" s="98">
        <v>2021.03</v>
      </c>
    </row>
    <row r="78" spans="2:13" ht="16.5" customHeight="1">
      <c r="B78" s="200" t="s">
        <v>1516</v>
      </c>
      <c r="C78" s="98">
        <v>3143</v>
      </c>
      <c r="D78" s="200" t="s">
        <v>566</v>
      </c>
      <c r="E78" s="98" t="s">
        <v>697</v>
      </c>
      <c r="F78" s="98" t="s">
        <v>100</v>
      </c>
      <c r="G78" s="200" t="s">
        <v>1540</v>
      </c>
      <c r="H78" s="200" t="s">
        <v>1613</v>
      </c>
      <c r="I78" s="98">
        <v>2021.02</v>
      </c>
    </row>
    <row r="79" spans="2:13" ht="16.5" customHeight="1">
      <c r="B79" s="200" t="s">
        <v>1516</v>
      </c>
      <c r="C79" s="98">
        <v>3131</v>
      </c>
      <c r="D79" s="200" t="s">
        <v>566</v>
      </c>
      <c r="E79" s="98" t="s">
        <v>697</v>
      </c>
      <c r="F79" s="98" t="s">
        <v>100</v>
      </c>
      <c r="G79" s="200" t="s">
        <v>1603</v>
      </c>
      <c r="H79" s="200" t="s">
        <v>1614</v>
      </c>
      <c r="I79" s="98">
        <v>2020.09</v>
      </c>
      <c r="J79" s="98">
        <v>1027.99</v>
      </c>
      <c r="K79" s="98">
        <v>81828333477</v>
      </c>
      <c r="L79" s="98">
        <v>79600663672</v>
      </c>
      <c r="M79" s="98" t="s">
        <v>589</v>
      </c>
    </row>
    <row r="80" spans="2:13" ht="16.5" customHeight="1">
      <c r="B80" s="200" t="s">
        <v>1516</v>
      </c>
      <c r="C80" s="98">
        <v>3132</v>
      </c>
      <c r="D80" s="200" t="s">
        <v>566</v>
      </c>
      <c r="E80" s="98" t="s">
        <v>697</v>
      </c>
      <c r="F80" s="98" t="s">
        <v>100</v>
      </c>
      <c r="G80" s="200" t="s">
        <v>1603</v>
      </c>
      <c r="H80" s="200" t="s">
        <v>1615</v>
      </c>
      <c r="I80" s="98">
        <v>2020.09</v>
      </c>
      <c r="J80" s="98">
        <v>1011.73</v>
      </c>
      <c r="K80" s="98">
        <v>100955910430</v>
      </c>
      <c r="L80" s="98">
        <v>99785916754</v>
      </c>
      <c r="M80" s="98" t="s">
        <v>589</v>
      </c>
    </row>
    <row r="81" spans="2:13" ht="16.5" customHeight="1">
      <c r="B81" s="200" t="s">
        <v>1516</v>
      </c>
      <c r="C81" s="98">
        <v>3128</v>
      </c>
      <c r="D81" s="200" t="s">
        <v>566</v>
      </c>
      <c r="E81" s="98" t="s">
        <v>697</v>
      </c>
      <c r="F81" s="98" t="s">
        <v>100</v>
      </c>
      <c r="G81" s="200" t="s">
        <v>1603</v>
      </c>
      <c r="H81" s="200" t="s">
        <v>1616</v>
      </c>
      <c r="I81" s="98">
        <v>2020.09</v>
      </c>
      <c r="J81" s="98">
        <v>984.18</v>
      </c>
      <c r="K81" s="98">
        <v>103807132007</v>
      </c>
      <c r="L81" s="98">
        <v>105475386593</v>
      </c>
      <c r="M81" s="98" t="s">
        <v>589</v>
      </c>
    </row>
    <row r="82" spans="2:13" ht="16.5" customHeight="1">
      <c r="B82" s="200" t="s">
        <v>1516</v>
      </c>
      <c r="C82" s="98">
        <v>3129</v>
      </c>
      <c r="D82" s="200" t="s">
        <v>566</v>
      </c>
      <c r="E82" s="98" t="s">
        <v>697</v>
      </c>
      <c r="F82" s="98" t="s">
        <v>96</v>
      </c>
      <c r="G82" s="200" t="s">
        <v>1518</v>
      </c>
      <c r="H82" s="200" t="s">
        <v>1617</v>
      </c>
      <c r="I82" s="98">
        <v>2019.06</v>
      </c>
      <c r="J82" s="98">
        <v>1357.88</v>
      </c>
      <c r="K82" s="98">
        <v>13578831113</v>
      </c>
      <c r="L82" s="98">
        <v>10000000000</v>
      </c>
      <c r="M82" s="98" t="s">
        <v>589</v>
      </c>
    </row>
    <row r="83" spans="2:13" ht="16.5" customHeight="1">
      <c r="B83" s="200" t="s">
        <v>1516</v>
      </c>
      <c r="C83" s="98">
        <v>4820</v>
      </c>
      <c r="D83" s="200" t="s">
        <v>556</v>
      </c>
      <c r="E83" s="98" t="s">
        <v>697</v>
      </c>
      <c r="F83" s="98" t="s">
        <v>100</v>
      </c>
      <c r="G83" s="200" t="s">
        <v>1618</v>
      </c>
      <c r="H83" s="200" t="s">
        <v>1619</v>
      </c>
      <c r="I83" s="98">
        <v>2007.02</v>
      </c>
      <c r="J83" s="98">
        <v>1707.08</v>
      </c>
      <c r="K83" s="98">
        <v>4536000000</v>
      </c>
      <c r="L83" s="98">
        <v>2657000000</v>
      </c>
      <c r="M83" s="98" t="s">
        <v>562</v>
      </c>
    </row>
    <row r="84" spans="2:13" ht="16.5" customHeight="1">
      <c r="B84" s="200" t="s">
        <v>1516</v>
      </c>
      <c r="C84" s="98">
        <v>3330</v>
      </c>
      <c r="D84" s="200" t="s">
        <v>556</v>
      </c>
      <c r="E84" s="98" t="s">
        <v>697</v>
      </c>
      <c r="F84" s="98" t="s">
        <v>100</v>
      </c>
      <c r="G84" s="200" t="s">
        <v>1518</v>
      </c>
      <c r="H84" s="200" t="s">
        <v>1620</v>
      </c>
      <c r="I84" s="98">
        <v>2007.06</v>
      </c>
      <c r="J84" s="98">
        <v>1081.8900000000001</v>
      </c>
      <c r="K84" s="98">
        <v>742000000</v>
      </c>
      <c r="L84" s="98">
        <v>685000000</v>
      </c>
      <c r="M84" s="98" t="s">
        <v>562</v>
      </c>
    </row>
    <row r="85" spans="2:13" ht="16.5" customHeight="1">
      <c r="B85" s="200" t="s">
        <v>1516</v>
      </c>
      <c r="C85" s="98">
        <v>3340</v>
      </c>
      <c r="D85" s="200" t="s">
        <v>556</v>
      </c>
      <c r="E85" s="98" t="s">
        <v>697</v>
      </c>
      <c r="F85" s="98" t="s">
        <v>100</v>
      </c>
      <c r="G85" s="200" t="s">
        <v>1518</v>
      </c>
      <c r="H85" s="200" t="s">
        <v>1621</v>
      </c>
      <c r="I85" s="98">
        <v>2007.06</v>
      </c>
      <c r="J85" s="98">
        <v>921.97</v>
      </c>
      <c r="K85" s="98">
        <v>2170000000</v>
      </c>
      <c r="L85" s="98">
        <v>2354000000</v>
      </c>
      <c r="M85" s="98" t="s">
        <v>562</v>
      </c>
    </row>
    <row r="86" spans="2:13" ht="16.5" customHeight="1">
      <c r="B86" s="200" t="s">
        <v>1516</v>
      </c>
      <c r="C86" s="98">
        <v>3380</v>
      </c>
      <c r="D86" s="200" t="s">
        <v>556</v>
      </c>
      <c r="E86" s="98" t="s">
        <v>697</v>
      </c>
      <c r="F86" s="98" t="s">
        <v>94</v>
      </c>
      <c r="G86" s="200" t="s">
        <v>1518</v>
      </c>
      <c r="H86" s="200" t="s">
        <v>1622</v>
      </c>
      <c r="I86" s="98">
        <v>2008.03</v>
      </c>
      <c r="J86" s="98">
        <v>841.86</v>
      </c>
      <c r="K86" s="98">
        <v>20000000</v>
      </c>
      <c r="L86" s="98">
        <v>24000000</v>
      </c>
      <c r="M86" s="98" t="s">
        <v>562</v>
      </c>
    </row>
    <row r="87" spans="2:13" ht="16.5" customHeight="1">
      <c r="B87" s="200" t="s">
        <v>1516</v>
      </c>
      <c r="C87" s="98">
        <v>3280</v>
      </c>
      <c r="D87" s="200" t="s">
        <v>556</v>
      </c>
      <c r="E87" s="98" t="s">
        <v>697</v>
      </c>
      <c r="F87" s="98" t="s">
        <v>100</v>
      </c>
      <c r="G87" s="200" t="s">
        <v>1518</v>
      </c>
      <c r="H87" s="200" t="s">
        <v>1623</v>
      </c>
      <c r="I87" s="98">
        <v>2007.03</v>
      </c>
      <c r="J87" s="98">
        <v>1563.46</v>
      </c>
      <c r="K87" s="98">
        <v>575000000</v>
      </c>
      <c r="L87" s="98">
        <v>368000000</v>
      </c>
      <c r="M87" s="98" t="s">
        <v>562</v>
      </c>
    </row>
    <row r="88" spans="2:13" ht="15" customHeight="1">
      <c r="B88" s="200" t="s">
        <v>1516</v>
      </c>
      <c r="C88" s="98">
        <v>3122</v>
      </c>
      <c r="D88" s="200" t="s">
        <v>566</v>
      </c>
      <c r="E88" s="98" t="s">
        <v>697</v>
      </c>
      <c r="F88" s="98" t="s">
        <v>96</v>
      </c>
      <c r="G88" s="200" t="s">
        <v>1518</v>
      </c>
      <c r="H88" s="200" t="s">
        <v>1624</v>
      </c>
      <c r="I88" s="98">
        <v>2018.08</v>
      </c>
      <c r="J88" s="98">
        <v>1263.58</v>
      </c>
      <c r="K88" s="98">
        <v>31933195227</v>
      </c>
      <c r="L88" s="98">
        <v>25271986260</v>
      </c>
      <c r="M88" s="98" t="s">
        <v>562</v>
      </c>
    </row>
    <row r="89" spans="2:13" ht="16.5" customHeight="1">
      <c r="B89" s="200" t="s">
        <v>1516</v>
      </c>
      <c r="C89" s="98">
        <v>3124</v>
      </c>
      <c r="D89" s="200" t="s">
        <v>566</v>
      </c>
      <c r="E89" s="98" t="s">
        <v>697</v>
      </c>
      <c r="F89" s="98" t="s">
        <v>96</v>
      </c>
      <c r="G89" s="200" t="s">
        <v>1518</v>
      </c>
      <c r="H89" s="200" t="s">
        <v>1625</v>
      </c>
      <c r="I89" s="98">
        <v>2020.12</v>
      </c>
      <c r="J89" s="98">
        <v>1270.42</v>
      </c>
      <c r="K89" s="98">
        <v>6352079165</v>
      </c>
      <c r="L89" s="98">
        <v>5000000000</v>
      </c>
      <c r="M89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/>
  <dimension ref="A1:M64"/>
  <sheetViews>
    <sheetView zoomScaleNormal="100" workbookViewId="0">
      <selection activeCell="C2" sqref="C2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1626</v>
      </c>
      <c r="C2" s="98" t="s">
        <v>1627</v>
      </c>
      <c r="D2" s="200" t="s">
        <v>566</v>
      </c>
      <c r="E2" s="98" t="s">
        <v>1628</v>
      </c>
      <c r="F2" s="98" t="s">
        <v>95</v>
      </c>
      <c r="G2" s="200" t="s">
        <v>1629</v>
      </c>
      <c r="H2" s="200" t="s">
        <v>1630</v>
      </c>
      <c r="I2" s="98">
        <v>2019.03</v>
      </c>
      <c r="J2" s="98">
        <v>1119</v>
      </c>
      <c r="K2" s="98">
        <v>11092275019</v>
      </c>
      <c r="L2" s="98">
        <v>9912698370</v>
      </c>
      <c r="M2" s="98" t="s">
        <v>562</v>
      </c>
    </row>
    <row r="3" spans="1:13" ht="16.5" customHeight="1">
      <c r="A3" s="98">
        <v>2</v>
      </c>
      <c r="B3" s="200" t="s">
        <v>1626</v>
      </c>
      <c r="C3" s="98" t="s">
        <v>1631</v>
      </c>
      <c r="D3" s="200" t="s">
        <v>566</v>
      </c>
      <c r="E3" s="98" t="s">
        <v>1632</v>
      </c>
      <c r="F3" s="98" t="s">
        <v>94</v>
      </c>
      <c r="G3" s="200" t="s">
        <v>1633</v>
      </c>
      <c r="H3" s="200" t="s">
        <v>1634</v>
      </c>
      <c r="I3" s="98">
        <v>2020.06</v>
      </c>
      <c r="J3" s="98">
        <v>869.73</v>
      </c>
      <c r="K3" s="98">
        <v>1136000000</v>
      </c>
      <c r="L3" s="98">
        <v>1306000000</v>
      </c>
      <c r="M3" s="98" t="s">
        <v>1635</v>
      </c>
    </row>
    <row r="4" spans="1:13" ht="16.5" customHeight="1">
      <c r="A4" s="98">
        <v>3</v>
      </c>
      <c r="B4" s="200" t="s">
        <v>1626</v>
      </c>
      <c r="C4" s="98">
        <v>200000</v>
      </c>
      <c r="D4" s="200" t="s">
        <v>556</v>
      </c>
      <c r="E4" s="98" t="s">
        <v>1636</v>
      </c>
      <c r="F4" s="98" t="s">
        <v>100</v>
      </c>
      <c r="G4" s="200" t="s">
        <v>1637</v>
      </c>
      <c r="H4" s="200" t="s">
        <v>1638</v>
      </c>
      <c r="I4" s="98">
        <v>2015.12</v>
      </c>
      <c r="J4" s="98">
        <v>1242.3699999999999</v>
      </c>
      <c r="K4" s="98">
        <v>6388000000</v>
      </c>
      <c r="L4" s="98">
        <v>5142000000</v>
      </c>
      <c r="M4" s="98" t="s">
        <v>1635</v>
      </c>
    </row>
    <row r="5" spans="1:13" ht="16.5" customHeight="1">
      <c r="A5" s="98">
        <v>4</v>
      </c>
      <c r="B5" s="200" t="s">
        <v>1626</v>
      </c>
      <c r="C5" s="98">
        <v>200070</v>
      </c>
      <c r="D5" s="200" t="s">
        <v>556</v>
      </c>
      <c r="E5" s="98" t="s">
        <v>1639</v>
      </c>
      <c r="F5" s="98" t="s">
        <v>100</v>
      </c>
      <c r="G5" s="200" t="s">
        <v>1633</v>
      </c>
      <c r="H5" s="200" t="s">
        <v>1640</v>
      </c>
      <c r="I5" s="98">
        <v>2013.03</v>
      </c>
      <c r="J5" s="98">
        <v>1289.58</v>
      </c>
      <c r="K5" s="98">
        <v>82.49</v>
      </c>
      <c r="L5" s="98">
        <v>63.97</v>
      </c>
      <c r="M5" s="98" t="s">
        <v>1635</v>
      </c>
    </row>
    <row r="6" spans="1:13" ht="16.5" customHeight="1">
      <c r="A6" s="98">
        <v>5</v>
      </c>
      <c r="B6" s="200" t="s">
        <v>1626</v>
      </c>
      <c r="C6" s="98">
        <v>200170</v>
      </c>
      <c r="D6" s="200" t="s">
        <v>556</v>
      </c>
      <c r="E6" s="98" t="s">
        <v>1641</v>
      </c>
      <c r="F6" s="98" t="s">
        <v>94</v>
      </c>
      <c r="G6" s="200" t="s">
        <v>1637</v>
      </c>
      <c r="H6" s="200" t="s">
        <v>1642</v>
      </c>
      <c r="I6" s="98">
        <v>2007.11</v>
      </c>
      <c r="J6" s="98">
        <v>1047.03</v>
      </c>
      <c r="K6" s="98">
        <v>3151000000</v>
      </c>
      <c r="L6" s="98">
        <v>3009000000</v>
      </c>
      <c r="M6" s="98" t="s">
        <v>1635</v>
      </c>
    </row>
    <row r="7" spans="1:13" ht="16.5" customHeight="1">
      <c r="A7" s="98">
        <v>6</v>
      </c>
      <c r="B7" s="200" t="s">
        <v>1626</v>
      </c>
      <c r="C7" s="98">
        <v>200260</v>
      </c>
      <c r="D7" s="200" t="s">
        <v>556</v>
      </c>
      <c r="E7" s="98" t="s">
        <v>1643</v>
      </c>
      <c r="F7" s="98" t="s">
        <v>100</v>
      </c>
      <c r="G7" s="200" t="s">
        <v>1633</v>
      </c>
      <c r="H7" s="200" t="s">
        <v>1644</v>
      </c>
      <c r="I7" s="98">
        <v>2019.12</v>
      </c>
      <c r="J7" s="98" t="s">
        <v>636</v>
      </c>
      <c r="K7" s="98" t="s">
        <v>636</v>
      </c>
      <c r="L7" s="98" t="s">
        <v>636</v>
      </c>
      <c r="M7" s="98" t="s">
        <v>1635</v>
      </c>
    </row>
    <row r="8" spans="1:13" ht="16.5" customHeight="1">
      <c r="A8" s="98">
        <v>7</v>
      </c>
      <c r="B8" s="200" t="s">
        <v>1626</v>
      </c>
      <c r="C8" s="98">
        <v>200350</v>
      </c>
      <c r="D8" s="200" t="s">
        <v>556</v>
      </c>
      <c r="E8" s="98" t="s">
        <v>1645</v>
      </c>
      <c r="F8" s="98" t="s">
        <v>94</v>
      </c>
      <c r="G8" s="200" t="s">
        <v>1633</v>
      </c>
      <c r="H8" s="200" t="s">
        <v>1646</v>
      </c>
      <c r="I8" s="98">
        <v>2017.11</v>
      </c>
      <c r="J8" s="98" t="s">
        <v>636</v>
      </c>
      <c r="K8" s="98" t="s">
        <v>636</v>
      </c>
      <c r="L8" s="98" t="s">
        <v>636</v>
      </c>
      <c r="M8" s="98" t="s">
        <v>1635</v>
      </c>
    </row>
    <row r="9" spans="1:13" ht="16.5" customHeight="1">
      <c r="A9" s="98">
        <v>8</v>
      </c>
      <c r="B9" s="200" t="s">
        <v>1626</v>
      </c>
      <c r="C9" s="98">
        <v>200370</v>
      </c>
      <c r="D9" s="200" t="s">
        <v>556</v>
      </c>
      <c r="E9" s="98" t="s">
        <v>1647</v>
      </c>
      <c r="F9" s="98" t="s">
        <v>100</v>
      </c>
      <c r="G9" s="200" t="s">
        <v>1633</v>
      </c>
      <c r="H9" s="200" t="s">
        <v>1648</v>
      </c>
      <c r="I9" s="98">
        <v>2013.11</v>
      </c>
      <c r="J9" s="98" t="s">
        <v>636</v>
      </c>
      <c r="K9" s="98" t="s">
        <v>636</v>
      </c>
      <c r="L9" s="98" t="s">
        <v>636</v>
      </c>
      <c r="M9" s="98" t="s">
        <v>1635</v>
      </c>
    </row>
    <row r="10" spans="1:13" ht="16.5" customHeight="1">
      <c r="A10" s="98">
        <v>9</v>
      </c>
      <c r="B10" s="200" t="s">
        <v>1626</v>
      </c>
      <c r="C10" s="98">
        <v>200371</v>
      </c>
      <c r="D10" s="200" t="s">
        <v>556</v>
      </c>
      <c r="E10" s="98" t="s">
        <v>1649</v>
      </c>
      <c r="F10" s="98" t="s">
        <v>100</v>
      </c>
      <c r="G10" s="200" t="s">
        <v>1633</v>
      </c>
      <c r="H10" s="200" t="s">
        <v>1650</v>
      </c>
      <c r="I10" s="98">
        <v>2013.11</v>
      </c>
      <c r="J10" s="98" t="s">
        <v>636</v>
      </c>
      <c r="K10" s="98" t="s">
        <v>636</v>
      </c>
      <c r="L10" s="98" t="s">
        <v>636</v>
      </c>
      <c r="M10" s="98" t="s">
        <v>1635</v>
      </c>
    </row>
    <row r="11" spans="1:13" ht="16.5" customHeight="1">
      <c r="A11" s="98">
        <v>10</v>
      </c>
      <c r="B11" s="200" t="s">
        <v>1626</v>
      </c>
      <c r="C11" s="98">
        <v>200411</v>
      </c>
      <c r="D11" s="200" t="s">
        <v>556</v>
      </c>
      <c r="E11" s="98" t="s">
        <v>1651</v>
      </c>
      <c r="F11" s="98" t="s">
        <v>100</v>
      </c>
      <c r="G11" s="200" t="s">
        <v>1633</v>
      </c>
      <c r="H11" s="200" t="s">
        <v>1652</v>
      </c>
      <c r="I11" s="98">
        <v>2014.07</v>
      </c>
      <c r="J11" s="98" t="s">
        <v>636</v>
      </c>
      <c r="K11" s="98" t="s">
        <v>636</v>
      </c>
      <c r="L11" s="98" t="s">
        <v>636</v>
      </c>
      <c r="M11" s="98" t="s">
        <v>1635</v>
      </c>
    </row>
    <row r="12" spans="1:13" ht="16.5" customHeight="1">
      <c r="A12" s="98">
        <v>11</v>
      </c>
      <c r="B12" s="200" t="s">
        <v>1626</v>
      </c>
      <c r="C12" s="98" t="s">
        <v>1653</v>
      </c>
      <c r="D12" s="200" t="s">
        <v>556</v>
      </c>
      <c r="E12" s="98" t="s">
        <v>1654</v>
      </c>
      <c r="F12" s="98" t="s">
        <v>95</v>
      </c>
      <c r="G12" s="200" t="s">
        <v>1655</v>
      </c>
      <c r="H12" s="200" t="s">
        <v>1656</v>
      </c>
      <c r="I12" s="98">
        <v>2005.03</v>
      </c>
      <c r="J12" s="98">
        <v>2041.46</v>
      </c>
      <c r="K12" s="98">
        <v>20785494334</v>
      </c>
      <c r="L12" s="98">
        <v>17414221026</v>
      </c>
      <c r="M12" s="98" t="s">
        <v>1635</v>
      </c>
    </row>
    <row r="13" spans="1:13" ht="16.5" customHeight="1">
      <c r="A13" s="98">
        <v>12</v>
      </c>
      <c r="B13" s="200" t="s">
        <v>1626</v>
      </c>
      <c r="C13" s="98" t="s">
        <v>1657</v>
      </c>
      <c r="D13" s="200" t="s">
        <v>556</v>
      </c>
      <c r="E13" s="98" t="s">
        <v>1658</v>
      </c>
      <c r="F13" s="98" t="s">
        <v>94</v>
      </c>
      <c r="G13" s="200" t="s">
        <v>1655</v>
      </c>
      <c r="H13" s="200" t="s">
        <v>1659</v>
      </c>
      <c r="I13" s="98">
        <v>2007.02</v>
      </c>
      <c r="J13" s="98">
        <v>1679.11</v>
      </c>
      <c r="K13" s="98">
        <v>8972861676</v>
      </c>
      <c r="L13" s="98">
        <v>7393971340</v>
      </c>
      <c r="M13" s="98" t="s">
        <v>1635</v>
      </c>
    </row>
    <row r="14" spans="1:13" ht="16.5" customHeight="1">
      <c r="A14" s="98">
        <v>13</v>
      </c>
      <c r="B14" s="200" t="s">
        <v>1626</v>
      </c>
      <c r="C14" s="98" t="s">
        <v>1660</v>
      </c>
      <c r="D14" s="200" t="s">
        <v>556</v>
      </c>
      <c r="E14" s="98" t="s">
        <v>1661</v>
      </c>
      <c r="F14" s="98" t="s">
        <v>98</v>
      </c>
      <c r="G14" s="200" t="s">
        <v>1655</v>
      </c>
      <c r="H14" s="200" t="s">
        <v>1662</v>
      </c>
      <c r="I14" s="98">
        <v>2020.1</v>
      </c>
      <c r="J14" s="98">
        <v>1040.02</v>
      </c>
      <c r="K14" s="98">
        <v>3574615604</v>
      </c>
      <c r="L14" s="98">
        <v>3437103810</v>
      </c>
      <c r="M14" s="98" t="s">
        <v>1635</v>
      </c>
    </row>
    <row r="15" spans="1:13" ht="16.5" customHeight="1">
      <c r="A15" s="98">
        <v>14</v>
      </c>
      <c r="B15" s="200" t="s">
        <v>1626</v>
      </c>
      <c r="C15" s="98" t="s">
        <v>1663</v>
      </c>
      <c r="D15" s="200" t="s">
        <v>556</v>
      </c>
      <c r="E15" s="98" t="s">
        <v>1664</v>
      </c>
      <c r="F15" s="98" t="s">
        <v>98</v>
      </c>
      <c r="G15" s="200" t="s">
        <v>1655</v>
      </c>
      <c r="H15" s="200" t="s">
        <v>1665</v>
      </c>
      <c r="I15" s="98">
        <v>2020.1</v>
      </c>
      <c r="J15" s="98">
        <v>1023.48</v>
      </c>
      <c r="K15" s="98">
        <v>427364008</v>
      </c>
      <c r="L15" s="98">
        <v>419653020</v>
      </c>
      <c r="M15" s="98" t="s">
        <v>1635</v>
      </c>
    </row>
    <row r="16" spans="1:13" ht="16.5" customHeight="1">
      <c r="A16" s="98">
        <v>15</v>
      </c>
      <c r="B16" s="200" t="s">
        <v>1626</v>
      </c>
      <c r="C16" s="98" t="s">
        <v>1666</v>
      </c>
      <c r="D16" s="200" t="s">
        <v>556</v>
      </c>
      <c r="E16" s="98" t="s">
        <v>1667</v>
      </c>
      <c r="F16" s="98" t="s">
        <v>98</v>
      </c>
      <c r="G16" s="200" t="s">
        <v>1655</v>
      </c>
      <c r="H16" s="200" t="s">
        <v>1668</v>
      </c>
      <c r="I16" s="98">
        <v>2006.03</v>
      </c>
      <c r="J16" s="98">
        <v>1373.01</v>
      </c>
      <c r="K16" s="98">
        <v>25776148052</v>
      </c>
      <c r="L16" s="98">
        <v>23589088463</v>
      </c>
      <c r="M16" s="98" t="s">
        <v>1635</v>
      </c>
    </row>
    <row r="17" spans="1:13" ht="16.5" customHeight="1">
      <c r="A17" s="98">
        <v>16</v>
      </c>
      <c r="B17" s="200" t="s">
        <v>1626</v>
      </c>
      <c r="C17" s="98" t="s">
        <v>1669</v>
      </c>
      <c r="D17" s="200" t="s">
        <v>556</v>
      </c>
      <c r="E17" s="98" t="s">
        <v>1670</v>
      </c>
      <c r="F17" s="98" t="s">
        <v>98</v>
      </c>
      <c r="G17" s="200" t="s">
        <v>1655</v>
      </c>
      <c r="H17" s="200" t="s">
        <v>1671</v>
      </c>
      <c r="I17" s="98">
        <v>2020.1</v>
      </c>
      <c r="J17" s="98" t="s">
        <v>636</v>
      </c>
      <c r="K17" s="98" t="s">
        <v>636</v>
      </c>
      <c r="L17" s="98" t="s">
        <v>636</v>
      </c>
      <c r="M17" s="98" t="s">
        <v>1635</v>
      </c>
    </row>
    <row r="18" spans="1:13" ht="16.5" customHeight="1">
      <c r="A18" s="98">
        <v>17</v>
      </c>
      <c r="B18" s="200" t="s">
        <v>1626</v>
      </c>
      <c r="C18" s="98">
        <v>169241</v>
      </c>
      <c r="D18" s="200" t="s">
        <v>556</v>
      </c>
      <c r="E18" s="98" t="s">
        <v>1672</v>
      </c>
      <c r="F18" s="98" t="s">
        <v>98</v>
      </c>
      <c r="G18" s="200" t="s">
        <v>1673</v>
      </c>
      <c r="H18" s="200" t="s">
        <v>1674</v>
      </c>
      <c r="I18" s="98">
        <v>2019.12</v>
      </c>
      <c r="J18" s="98" t="s">
        <v>636</v>
      </c>
      <c r="K18" s="98" t="s">
        <v>636</v>
      </c>
      <c r="L18" s="98" t="s">
        <v>636</v>
      </c>
      <c r="M18" s="98" t="s">
        <v>1635</v>
      </c>
    </row>
    <row r="19" spans="1:13" ht="16.5" customHeight="1">
      <c r="A19" s="98">
        <v>18</v>
      </c>
      <c r="B19" s="200" t="s">
        <v>1626</v>
      </c>
      <c r="C19" s="98">
        <v>169280</v>
      </c>
      <c r="D19" s="200" t="s">
        <v>556</v>
      </c>
      <c r="E19" s="98" t="s">
        <v>1675</v>
      </c>
      <c r="F19" s="98" t="s">
        <v>98</v>
      </c>
      <c r="G19" s="200" t="s">
        <v>1673</v>
      </c>
      <c r="H19" s="200" t="s">
        <v>1676</v>
      </c>
      <c r="I19" s="98">
        <v>2019.12</v>
      </c>
      <c r="J19" s="98" t="s">
        <v>636</v>
      </c>
      <c r="K19" s="98" t="s">
        <v>636</v>
      </c>
      <c r="L19" s="98" t="s">
        <v>636</v>
      </c>
      <c r="M19" s="98" t="s">
        <v>1635</v>
      </c>
    </row>
    <row r="20" spans="1:13" ht="16.5" customHeight="1">
      <c r="A20" s="98">
        <v>19</v>
      </c>
      <c r="B20" s="200" t="s">
        <v>1626</v>
      </c>
      <c r="C20" s="98">
        <v>169240</v>
      </c>
      <c r="D20" s="200" t="s">
        <v>556</v>
      </c>
      <c r="E20" s="98" t="s">
        <v>1677</v>
      </c>
      <c r="F20" s="98" t="s">
        <v>98</v>
      </c>
      <c r="G20" s="200" t="s">
        <v>1673</v>
      </c>
      <c r="H20" s="200" t="s">
        <v>1678</v>
      </c>
      <c r="J20" s="98" t="s">
        <v>636</v>
      </c>
      <c r="K20" s="98" t="s">
        <v>636</v>
      </c>
      <c r="L20" s="98" t="s">
        <v>636</v>
      </c>
      <c r="M20" s="98" t="s">
        <v>1635</v>
      </c>
    </row>
    <row r="21" spans="1:13" ht="16.5" customHeight="1">
      <c r="A21" s="98">
        <v>20</v>
      </c>
      <c r="B21" s="200" t="s">
        <v>1626</v>
      </c>
      <c r="C21" s="98">
        <v>169260</v>
      </c>
      <c r="D21" s="200" t="s">
        <v>556</v>
      </c>
      <c r="E21" s="98" t="s">
        <v>1679</v>
      </c>
      <c r="F21" s="98" t="s">
        <v>98</v>
      </c>
      <c r="G21" s="200" t="s">
        <v>1673</v>
      </c>
      <c r="H21" s="200" t="s">
        <v>1680</v>
      </c>
      <c r="J21" s="98" t="s">
        <v>636</v>
      </c>
      <c r="K21" s="98" t="s">
        <v>636</v>
      </c>
      <c r="L21" s="98" t="s">
        <v>636</v>
      </c>
      <c r="M21" s="98" t="s">
        <v>1635</v>
      </c>
    </row>
    <row r="22" spans="1:13" ht="16.5" customHeight="1">
      <c r="A22" s="98">
        <v>21</v>
      </c>
      <c r="B22" s="200" t="s">
        <v>1626</v>
      </c>
      <c r="C22" s="98">
        <v>112021</v>
      </c>
      <c r="D22" s="200" t="s">
        <v>579</v>
      </c>
      <c r="E22" s="98" t="s">
        <v>1681</v>
      </c>
      <c r="F22" s="98" t="s">
        <v>96</v>
      </c>
      <c r="G22" s="200" t="s">
        <v>1637</v>
      </c>
      <c r="H22" s="200" t="s">
        <v>1682</v>
      </c>
      <c r="I22" s="98">
        <v>2021.04</v>
      </c>
      <c r="J22" s="98">
        <v>1043.73</v>
      </c>
      <c r="K22" s="98">
        <v>248774039626</v>
      </c>
      <c r="L22" s="98">
        <v>238350391910</v>
      </c>
      <c r="M22" s="98" t="s">
        <v>1635</v>
      </c>
    </row>
    <row r="23" spans="1:13" ht="16.5" customHeight="1">
      <c r="A23" s="98">
        <v>22</v>
      </c>
      <c r="B23" s="200" t="s">
        <v>1626</v>
      </c>
      <c r="C23" s="98" t="s">
        <v>1683</v>
      </c>
      <c r="D23" s="200" t="s">
        <v>566</v>
      </c>
      <c r="E23" s="98" t="s">
        <v>1684</v>
      </c>
      <c r="F23" s="98" t="s">
        <v>100</v>
      </c>
      <c r="G23" s="200" t="s">
        <v>1685</v>
      </c>
      <c r="H23" s="200" t="s">
        <v>1686</v>
      </c>
      <c r="I23" s="98">
        <v>2021.04</v>
      </c>
      <c r="M23" s="98" t="s">
        <v>1635</v>
      </c>
    </row>
    <row r="24" spans="1:13" ht="16.5" customHeight="1">
      <c r="A24" s="98">
        <v>23</v>
      </c>
      <c r="B24" s="200" t="s">
        <v>1626</v>
      </c>
      <c r="C24" s="98">
        <v>162080</v>
      </c>
      <c r="D24" s="200" t="s">
        <v>556</v>
      </c>
      <c r="E24" s="98" t="s">
        <v>1687</v>
      </c>
      <c r="F24" s="98" t="s">
        <v>100</v>
      </c>
      <c r="G24" s="200" t="s">
        <v>1685</v>
      </c>
      <c r="H24" s="200" t="s">
        <v>1688</v>
      </c>
      <c r="M24" s="98" t="s">
        <v>1635</v>
      </c>
    </row>
    <row r="25" spans="1:13" ht="16.5" customHeight="1">
      <c r="A25" s="98">
        <v>24</v>
      </c>
      <c r="B25" s="200" t="s">
        <v>1626</v>
      </c>
      <c r="C25" s="98" t="s">
        <v>1689</v>
      </c>
      <c r="D25" s="200" t="s">
        <v>566</v>
      </c>
      <c r="E25" s="98" t="s">
        <v>1690</v>
      </c>
      <c r="F25" s="98" t="s">
        <v>100</v>
      </c>
      <c r="G25" s="200" t="s">
        <v>1685</v>
      </c>
      <c r="H25" s="200" t="s">
        <v>1686</v>
      </c>
      <c r="I25" s="98">
        <v>2021.04</v>
      </c>
      <c r="M25" s="98" t="s">
        <v>1635</v>
      </c>
    </row>
    <row r="26" spans="1:13" ht="16.5" customHeight="1">
      <c r="A26" s="98">
        <v>25</v>
      </c>
      <c r="B26" s="200" t="s">
        <v>1626</v>
      </c>
      <c r="C26" s="98" t="s">
        <v>1691</v>
      </c>
      <c r="D26" s="200" t="s">
        <v>566</v>
      </c>
      <c r="E26" s="98" t="s">
        <v>1692</v>
      </c>
      <c r="F26" s="98" t="s">
        <v>100</v>
      </c>
      <c r="G26" s="200" t="s">
        <v>1685</v>
      </c>
      <c r="H26" s="200" t="s">
        <v>1693</v>
      </c>
      <c r="I26" s="98">
        <v>2021.04</v>
      </c>
      <c r="M26" s="98" t="s">
        <v>1635</v>
      </c>
    </row>
    <row r="27" spans="1:13" ht="16.5" customHeight="1">
      <c r="A27" s="98">
        <v>26</v>
      </c>
      <c r="B27" s="200" t="s">
        <v>1626</v>
      </c>
      <c r="C27" s="98" t="s">
        <v>1694</v>
      </c>
      <c r="D27" s="200" t="s">
        <v>566</v>
      </c>
      <c r="E27" s="98" t="s">
        <v>1695</v>
      </c>
      <c r="F27" s="98" t="s">
        <v>100</v>
      </c>
      <c r="G27" s="200" t="s">
        <v>1685</v>
      </c>
      <c r="H27" s="200" t="s">
        <v>1696</v>
      </c>
      <c r="I27" s="98">
        <v>2021.07</v>
      </c>
      <c r="J27" s="98">
        <v>975.63</v>
      </c>
      <c r="K27" s="98">
        <v>11710000000</v>
      </c>
      <c r="L27" s="98">
        <v>12000000000</v>
      </c>
      <c r="M27" s="98" t="s">
        <v>1635</v>
      </c>
    </row>
    <row r="28" spans="1:13" ht="16.5" customHeight="1">
      <c r="A28" s="98">
        <v>27</v>
      </c>
      <c r="B28" s="200" t="s">
        <v>1626</v>
      </c>
      <c r="C28" s="98">
        <v>169447</v>
      </c>
      <c r="D28" s="200" t="s">
        <v>566</v>
      </c>
      <c r="E28" s="98" t="s">
        <v>1697</v>
      </c>
      <c r="F28" s="98" t="s">
        <v>98</v>
      </c>
      <c r="G28" s="200" t="s">
        <v>1685</v>
      </c>
      <c r="H28" s="200" t="s">
        <v>1698</v>
      </c>
      <c r="I28" s="98">
        <v>2021.07</v>
      </c>
      <c r="M28" s="98" t="s">
        <v>1635</v>
      </c>
    </row>
    <row r="29" spans="1:13" ht="16.5" customHeight="1">
      <c r="A29" s="98">
        <v>28</v>
      </c>
      <c r="B29" s="200" t="s">
        <v>1626</v>
      </c>
      <c r="C29" s="98" t="s">
        <v>1699</v>
      </c>
      <c r="D29" s="200" t="s">
        <v>1700</v>
      </c>
      <c r="E29" s="98" t="s">
        <v>1701</v>
      </c>
      <c r="F29" s="98" t="s">
        <v>95</v>
      </c>
      <c r="G29" s="200" t="s">
        <v>1702</v>
      </c>
      <c r="H29" s="200" t="s">
        <v>1703</v>
      </c>
      <c r="I29" s="98">
        <v>2012.08</v>
      </c>
      <c r="J29" s="98">
        <v>1387.76</v>
      </c>
      <c r="K29" s="98">
        <v>8009000000</v>
      </c>
      <c r="L29" s="98">
        <v>5771000000</v>
      </c>
      <c r="M29" s="98" t="s">
        <v>1635</v>
      </c>
    </row>
    <row r="30" spans="1:13" ht="16.5" customHeight="1">
      <c r="A30" s="98">
        <v>29</v>
      </c>
      <c r="B30" s="200" t="s">
        <v>1626</v>
      </c>
      <c r="C30" s="98" t="s">
        <v>1704</v>
      </c>
      <c r="D30" s="200" t="s">
        <v>1700</v>
      </c>
      <c r="E30" s="98" t="s">
        <v>1705</v>
      </c>
      <c r="F30" s="98" t="s">
        <v>98</v>
      </c>
      <c r="G30" s="200" t="s">
        <v>1702</v>
      </c>
      <c r="H30" s="200" t="s">
        <v>1706</v>
      </c>
      <c r="I30" s="98">
        <v>2009.1</v>
      </c>
      <c r="J30" s="98">
        <v>1631.22</v>
      </c>
      <c r="K30" s="98">
        <v>15440000000</v>
      </c>
      <c r="L30" s="98">
        <v>9465000000</v>
      </c>
      <c r="M30" s="98" t="s">
        <v>1635</v>
      </c>
    </row>
    <row r="31" spans="1:13" ht="16.5" customHeight="1">
      <c r="A31" s="98">
        <v>30</v>
      </c>
      <c r="B31" s="200" t="s">
        <v>1626</v>
      </c>
      <c r="C31" s="98">
        <v>162120</v>
      </c>
      <c r="D31" s="200" t="s">
        <v>579</v>
      </c>
      <c r="E31" s="98" t="s">
        <v>1707</v>
      </c>
      <c r="F31" s="98" t="s">
        <v>100</v>
      </c>
      <c r="G31" s="200" t="s">
        <v>1708</v>
      </c>
      <c r="H31" s="200" t="s">
        <v>1709</v>
      </c>
      <c r="I31" s="98">
        <v>2021.12</v>
      </c>
      <c r="K31" s="98">
        <v>39809997952</v>
      </c>
      <c r="M31" s="98" t="s">
        <v>1635</v>
      </c>
    </row>
    <row r="32" spans="1:13" ht="16.5" customHeight="1">
      <c r="A32" s="98">
        <v>31</v>
      </c>
      <c r="B32" s="200" t="s">
        <v>1626</v>
      </c>
      <c r="C32" s="98" t="s">
        <v>1710</v>
      </c>
      <c r="D32" s="200" t="s">
        <v>579</v>
      </c>
      <c r="E32" s="98" t="s">
        <v>1711</v>
      </c>
      <c r="F32" s="98" t="s">
        <v>100</v>
      </c>
      <c r="G32" s="200" t="s">
        <v>1637</v>
      </c>
      <c r="H32" s="200" t="s">
        <v>1712</v>
      </c>
      <c r="I32" s="98">
        <v>2021.07</v>
      </c>
      <c r="M32" s="98" t="s">
        <v>1635</v>
      </c>
    </row>
    <row r="33" spans="1:13" ht="16.5" customHeight="1">
      <c r="A33" s="98">
        <v>32</v>
      </c>
      <c r="B33" s="200" t="s">
        <v>1626</v>
      </c>
      <c r="C33" s="98">
        <v>169446</v>
      </c>
      <c r="D33" s="200" t="s">
        <v>579</v>
      </c>
      <c r="E33" s="98" t="s">
        <v>1713</v>
      </c>
      <c r="F33" s="98" t="s">
        <v>98</v>
      </c>
      <c r="G33" s="200" t="s">
        <v>1637</v>
      </c>
      <c r="H33" s="200" t="s">
        <v>1714</v>
      </c>
      <c r="I33" s="98">
        <v>2021.07</v>
      </c>
      <c r="M33" s="98" t="s">
        <v>1635</v>
      </c>
    </row>
    <row r="34" spans="1:13" ht="16.5" customHeight="1">
      <c r="A34" s="98">
        <v>33</v>
      </c>
      <c r="B34" s="200" t="s">
        <v>1626</v>
      </c>
      <c r="C34" s="98">
        <v>157800</v>
      </c>
      <c r="D34" s="200" t="s">
        <v>556</v>
      </c>
      <c r="E34" s="98" t="s">
        <v>1715</v>
      </c>
      <c r="F34" s="98" t="s">
        <v>100</v>
      </c>
      <c r="G34" s="200" t="s">
        <v>1716</v>
      </c>
      <c r="H34" s="200" t="s">
        <v>1717</v>
      </c>
      <c r="I34" s="98" t="s">
        <v>1718</v>
      </c>
      <c r="J34" s="98">
        <v>1000</v>
      </c>
      <c r="L34" s="98">
        <v>4000000000</v>
      </c>
      <c r="M34" s="98" t="s">
        <v>1635</v>
      </c>
    </row>
    <row r="35" spans="1:13" ht="16.5" customHeight="1">
      <c r="A35" s="98">
        <v>34</v>
      </c>
      <c r="B35" s="200" t="s">
        <v>1626</v>
      </c>
      <c r="C35" s="98" t="s">
        <v>1719</v>
      </c>
      <c r="D35" s="200" t="s">
        <v>566</v>
      </c>
      <c r="E35" s="98" t="s">
        <v>1720</v>
      </c>
      <c r="F35" s="98" t="s">
        <v>98</v>
      </c>
      <c r="G35" s="200" t="s">
        <v>1721</v>
      </c>
      <c r="H35" s="200" t="s">
        <v>1722</v>
      </c>
      <c r="I35" s="98">
        <v>2024.07</v>
      </c>
    </row>
    <row r="36" spans="1:13" ht="16.5" customHeight="1">
      <c r="A36" s="98">
        <v>35</v>
      </c>
      <c r="B36" s="200" t="s">
        <v>1626</v>
      </c>
      <c r="C36" s="98" t="s">
        <v>1723</v>
      </c>
      <c r="D36" s="200" t="s">
        <v>566</v>
      </c>
      <c r="E36" s="98" t="s">
        <v>1724</v>
      </c>
      <c r="F36" s="98" t="s">
        <v>102</v>
      </c>
      <c r="G36" s="200" t="s">
        <v>1725</v>
      </c>
      <c r="H36" s="200" t="s">
        <v>1726</v>
      </c>
      <c r="I36" s="98" t="s">
        <v>1727</v>
      </c>
      <c r="J36" s="98">
        <v>1000</v>
      </c>
    </row>
    <row r="37" spans="1:13" ht="16.5" customHeight="1">
      <c r="A37" s="98">
        <v>36</v>
      </c>
      <c r="B37" s="200" t="s">
        <v>1626</v>
      </c>
      <c r="C37" s="98" t="s">
        <v>1728</v>
      </c>
      <c r="D37" s="200" t="s">
        <v>566</v>
      </c>
      <c r="E37" s="98" t="s">
        <v>1729</v>
      </c>
      <c r="F37" s="98" t="s">
        <v>94</v>
      </c>
      <c r="G37" s="200" t="s">
        <v>1730</v>
      </c>
      <c r="H37" s="200" t="s">
        <v>1731</v>
      </c>
      <c r="I37" s="98" t="s">
        <v>1732</v>
      </c>
      <c r="J37" s="98">
        <v>1000</v>
      </c>
    </row>
    <row r="38" spans="1:13" ht="16.5" customHeight="1">
      <c r="A38" s="98">
        <v>37</v>
      </c>
      <c r="B38" s="200" t="s">
        <v>1626</v>
      </c>
      <c r="C38" s="98" t="s">
        <v>1733</v>
      </c>
      <c r="D38" s="200" t="s">
        <v>566</v>
      </c>
      <c r="E38" s="98" t="s">
        <v>1734</v>
      </c>
      <c r="F38" s="98" t="s">
        <v>98</v>
      </c>
      <c r="G38" s="200" t="s">
        <v>1730</v>
      </c>
      <c r="H38" s="200" t="s">
        <v>1735</v>
      </c>
      <c r="I38" s="98">
        <v>2025.06</v>
      </c>
      <c r="J38" s="98">
        <v>1000</v>
      </c>
    </row>
    <row r="39" spans="1:13" ht="16.5" customHeight="1">
      <c r="A39" s="98">
        <v>38</v>
      </c>
      <c r="B39" s="200" t="s">
        <v>1626</v>
      </c>
      <c r="C39" s="98" t="s">
        <v>1736</v>
      </c>
      <c r="D39" s="200" t="s">
        <v>566</v>
      </c>
      <c r="E39" s="98" t="s">
        <v>1737</v>
      </c>
      <c r="F39" s="98" t="s">
        <v>98</v>
      </c>
      <c r="G39" s="200" t="s">
        <v>1730</v>
      </c>
      <c r="H39" s="200" t="s">
        <v>1738</v>
      </c>
      <c r="I39" s="98">
        <v>2025.11</v>
      </c>
      <c r="J39" s="98">
        <v>1000</v>
      </c>
    </row>
    <row r="40" spans="1:13" ht="16.5" customHeight="1">
      <c r="A40" s="98">
        <v>39</v>
      </c>
      <c r="B40" s="200" t="s">
        <v>1626</v>
      </c>
      <c r="C40" s="98" t="s">
        <v>1739</v>
      </c>
      <c r="D40" s="200" t="s">
        <v>566</v>
      </c>
      <c r="E40" s="98" t="s">
        <v>1740</v>
      </c>
      <c r="F40" s="98" t="s">
        <v>98</v>
      </c>
      <c r="G40" s="200" t="s">
        <v>1730</v>
      </c>
      <c r="H40" s="200" t="s">
        <v>1741</v>
      </c>
      <c r="I40" s="98">
        <v>2025.11</v>
      </c>
      <c r="J40" s="98">
        <v>1000</v>
      </c>
    </row>
    <row r="41" spans="1:13" ht="16.5" customHeight="1">
      <c r="A41" s="98">
        <v>40</v>
      </c>
      <c r="B41" s="200" t="s">
        <v>1626</v>
      </c>
      <c r="C41" s="98">
        <v>111984</v>
      </c>
      <c r="D41" s="200" t="s">
        <v>566</v>
      </c>
      <c r="E41" s="98" t="s">
        <v>1742</v>
      </c>
      <c r="F41" s="98" t="s">
        <v>96</v>
      </c>
      <c r="G41" s="200" t="s">
        <v>1730</v>
      </c>
      <c r="H41" s="200" t="s">
        <v>1743</v>
      </c>
      <c r="I41" s="98">
        <v>2025.11</v>
      </c>
      <c r="J41" s="98">
        <v>1000</v>
      </c>
    </row>
    <row r="42" spans="1:13" ht="16.5" customHeight="1">
      <c r="A42" s="98">
        <v>41</v>
      </c>
      <c r="B42" s="200" t="s">
        <v>1626</v>
      </c>
      <c r="C42" s="98" t="s">
        <v>1744</v>
      </c>
      <c r="D42" s="200" t="s">
        <v>566</v>
      </c>
      <c r="E42" s="98" t="s">
        <v>1745</v>
      </c>
      <c r="F42" s="98" t="s">
        <v>102</v>
      </c>
      <c r="G42" s="200" t="s">
        <v>1746</v>
      </c>
      <c r="H42" s="200" t="s">
        <v>1747</v>
      </c>
      <c r="I42" s="98">
        <v>2026.01</v>
      </c>
    </row>
    <row r="43" spans="1:13" ht="16.5" customHeight="1">
      <c r="A43" s="98">
        <v>42</v>
      </c>
      <c r="B43" s="200" t="s">
        <v>1626</v>
      </c>
      <c r="C43" s="98" t="s">
        <v>1748</v>
      </c>
      <c r="D43" s="200" t="s">
        <v>566</v>
      </c>
      <c r="E43" s="98" t="s">
        <v>1749</v>
      </c>
      <c r="F43" s="98" t="s">
        <v>96</v>
      </c>
      <c r="G43" s="200" t="s">
        <v>1750</v>
      </c>
      <c r="H43" s="200" t="s">
        <v>1751</v>
      </c>
      <c r="I43" s="98">
        <v>2026.03</v>
      </c>
      <c r="J43" s="98">
        <v>1000</v>
      </c>
    </row>
    <row r="44" spans="1:13" ht="16.5" customHeight="1">
      <c r="A44" s="98">
        <v>43</v>
      </c>
      <c r="B44" s="200" t="s">
        <v>1626</v>
      </c>
      <c r="C44" s="98" t="s">
        <v>1752</v>
      </c>
      <c r="D44" s="200" t="s">
        <v>566</v>
      </c>
      <c r="E44" s="98" t="s">
        <v>1753</v>
      </c>
      <c r="F44" s="98" t="s">
        <v>102</v>
      </c>
      <c r="G44" s="200" t="s">
        <v>1754</v>
      </c>
      <c r="H44" s="200" t="s">
        <v>1755</v>
      </c>
      <c r="I44" s="98">
        <v>2026.03</v>
      </c>
    </row>
    <row r="46" spans="1:13" ht="15" customHeight="1">
      <c r="B46" s="98" t="s">
        <v>1756</v>
      </c>
    </row>
    <row r="47" spans="1:13" ht="16.5" customHeight="1">
      <c r="A47" s="98">
        <v>1</v>
      </c>
      <c r="B47" s="200" t="s">
        <v>1626</v>
      </c>
      <c r="C47" s="98">
        <v>2883</v>
      </c>
      <c r="D47" s="200" t="s">
        <v>566</v>
      </c>
      <c r="F47" s="98" t="s">
        <v>95</v>
      </c>
      <c r="G47" s="200" t="s">
        <v>1633</v>
      </c>
      <c r="H47" s="200" t="s">
        <v>1757</v>
      </c>
      <c r="I47" s="98">
        <v>2020.06</v>
      </c>
      <c r="J47" s="98">
        <v>1033.26</v>
      </c>
      <c r="K47" s="98">
        <v>516.63</v>
      </c>
      <c r="L47" s="98">
        <v>500</v>
      </c>
      <c r="M47" s="98" t="s">
        <v>1635</v>
      </c>
    </row>
    <row r="48" spans="1:13" ht="16.5" customHeight="1">
      <c r="A48" s="98">
        <v>2</v>
      </c>
      <c r="B48" s="200" t="s">
        <v>1626</v>
      </c>
      <c r="C48" s="98">
        <v>2884</v>
      </c>
      <c r="D48" s="200" t="s">
        <v>566</v>
      </c>
      <c r="F48" s="98" t="s">
        <v>95</v>
      </c>
      <c r="G48" s="200" t="s">
        <v>1633</v>
      </c>
      <c r="H48" s="200" t="s">
        <v>1758</v>
      </c>
      <c r="I48" s="98">
        <v>2020.06</v>
      </c>
      <c r="J48" s="98">
        <v>1028.24</v>
      </c>
      <c r="K48" s="98">
        <v>819.79</v>
      </c>
      <c r="L48" s="98">
        <v>797.21</v>
      </c>
      <c r="M48" s="98" t="s">
        <v>1635</v>
      </c>
    </row>
    <row r="49" spans="1:13" ht="16.5" customHeight="1">
      <c r="A49" s="98">
        <v>3</v>
      </c>
      <c r="B49" s="200" t="s">
        <v>1626</v>
      </c>
      <c r="C49" s="98">
        <v>2885</v>
      </c>
      <c r="D49" s="200" t="s">
        <v>566</v>
      </c>
      <c r="F49" s="98" t="s">
        <v>94</v>
      </c>
      <c r="G49" s="200" t="s">
        <v>1633</v>
      </c>
      <c r="H49" s="200" t="s">
        <v>1758</v>
      </c>
      <c r="I49" s="98">
        <v>2020.06</v>
      </c>
      <c r="J49" s="98">
        <v>1010.45</v>
      </c>
      <c r="K49" s="98">
        <v>1009.24</v>
      </c>
      <c r="L49" s="98">
        <v>998.8</v>
      </c>
      <c r="M49" s="98" t="s">
        <v>1635</v>
      </c>
    </row>
    <row r="50" spans="1:13" ht="16.5" customHeight="1">
      <c r="A50" s="98">
        <v>4</v>
      </c>
      <c r="B50" s="200" t="s">
        <v>1626</v>
      </c>
      <c r="C50" s="98">
        <v>2900</v>
      </c>
      <c r="D50" s="200" t="s">
        <v>566</v>
      </c>
      <c r="F50" s="98" t="s">
        <v>93</v>
      </c>
      <c r="G50" s="200" t="s">
        <v>1633</v>
      </c>
      <c r="H50" s="200" t="s">
        <v>1759</v>
      </c>
      <c r="I50" s="98">
        <v>2020.06</v>
      </c>
      <c r="J50" s="98">
        <v>1105.6300000000001</v>
      </c>
      <c r="K50" s="98">
        <v>221.13</v>
      </c>
      <c r="L50" s="98">
        <v>200</v>
      </c>
      <c r="M50" s="98" t="s">
        <v>1635</v>
      </c>
    </row>
    <row r="51" spans="1:13" ht="16.5" customHeight="1">
      <c r="A51" s="98">
        <v>5</v>
      </c>
      <c r="B51" s="200" t="s">
        <v>1626</v>
      </c>
      <c r="C51" s="98">
        <v>200020</v>
      </c>
      <c r="D51" s="200" t="s">
        <v>556</v>
      </c>
      <c r="F51" s="98" t="s">
        <v>100</v>
      </c>
      <c r="G51" s="200" t="s">
        <v>1633</v>
      </c>
      <c r="H51" s="200" t="s">
        <v>1760</v>
      </c>
      <c r="I51" s="98">
        <v>2015.03</v>
      </c>
      <c r="J51" s="98">
        <v>1391.37</v>
      </c>
      <c r="K51" s="98">
        <v>20.14</v>
      </c>
      <c r="L51" s="98">
        <v>14.47</v>
      </c>
      <c r="M51" s="98" t="s">
        <v>1635</v>
      </c>
    </row>
    <row r="52" spans="1:13" ht="16.5" customHeight="1">
      <c r="A52" s="98">
        <v>6</v>
      </c>
      <c r="B52" s="200" t="s">
        <v>1626</v>
      </c>
      <c r="C52" s="98">
        <v>200130</v>
      </c>
      <c r="D52" s="200" t="s">
        <v>556</v>
      </c>
      <c r="F52" s="98" t="s">
        <v>94</v>
      </c>
      <c r="G52" s="200" t="s">
        <v>1633</v>
      </c>
      <c r="H52" s="200" t="s">
        <v>1761</v>
      </c>
      <c r="I52" s="98">
        <v>2007.09</v>
      </c>
      <c r="J52" s="98" t="s">
        <v>636</v>
      </c>
      <c r="K52" s="98" t="s">
        <v>636</v>
      </c>
      <c r="L52" s="98" t="s">
        <v>636</v>
      </c>
      <c r="M52" s="98" t="s">
        <v>1635</v>
      </c>
    </row>
    <row r="53" spans="1:13" ht="16.5" customHeight="1">
      <c r="A53" s="98">
        <v>7</v>
      </c>
      <c r="B53" s="200" t="s">
        <v>1626</v>
      </c>
      <c r="C53" s="98">
        <v>200290</v>
      </c>
      <c r="D53" s="200" t="s">
        <v>556</v>
      </c>
      <c r="F53" s="98" t="s">
        <v>94</v>
      </c>
      <c r="G53" s="200" t="s">
        <v>1633</v>
      </c>
      <c r="H53" s="200" t="s">
        <v>1762</v>
      </c>
      <c r="I53" s="98">
        <v>2007.09</v>
      </c>
      <c r="J53" s="98" t="s">
        <v>636</v>
      </c>
      <c r="K53" s="98" t="s">
        <v>636</v>
      </c>
      <c r="L53" s="98" t="s">
        <v>636</v>
      </c>
      <c r="M53" s="98" t="s">
        <v>1635</v>
      </c>
    </row>
    <row r="54" spans="1:13" ht="16.5" customHeight="1">
      <c r="A54" s="98">
        <v>8</v>
      </c>
      <c r="B54" s="200" t="s">
        <v>1626</v>
      </c>
      <c r="C54" s="98">
        <v>165109</v>
      </c>
      <c r="D54" s="200" t="s">
        <v>556</v>
      </c>
      <c r="F54" s="98" t="s">
        <v>98</v>
      </c>
      <c r="G54" s="200" t="s">
        <v>1655</v>
      </c>
      <c r="H54" s="200" t="s">
        <v>1763</v>
      </c>
      <c r="I54" s="98">
        <v>2017.12</v>
      </c>
      <c r="J54" s="98">
        <v>1097.21</v>
      </c>
      <c r="K54" s="98">
        <v>12823944857</v>
      </c>
      <c r="L54" s="98">
        <v>12708085125</v>
      </c>
      <c r="M54" s="98" t="s">
        <v>1635</v>
      </c>
    </row>
    <row r="55" spans="1:13" ht="16.5" customHeight="1">
      <c r="A55" s="98">
        <v>9</v>
      </c>
      <c r="B55" s="200" t="s">
        <v>1626</v>
      </c>
      <c r="C55" s="98">
        <v>2835</v>
      </c>
      <c r="F55" s="98" t="s">
        <v>97</v>
      </c>
      <c r="G55" s="200" t="s">
        <v>1673</v>
      </c>
      <c r="H55" s="200" t="s">
        <v>1764</v>
      </c>
      <c r="I55" s="98">
        <v>2020.1</v>
      </c>
      <c r="J55" s="98" t="s">
        <v>636</v>
      </c>
      <c r="K55" s="98" t="s">
        <v>636</v>
      </c>
      <c r="L55" s="98" t="s">
        <v>636</v>
      </c>
      <c r="M55" s="98" t="s">
        <v>1635</v>
      </c>
    </row>
    <row r="56" spans="1:13" ht="16.5" customHeight="1">
      <c r="A56" s="98">
        <v>10</v>
      </c>
      <c r="B56" s="200" t="s">
        <v>1626</v>
      </c>
      <c r="C56" s="98">
        <v>2834</v>
      </c>
      <c r="F56" s="98" t="s">
        <v>97</v>
      </c>
      <c r="G56" s="200" t="s">
        <v>1673</v>
      </c>
      <c r="H56" s="200" t="s">
        <v>1765</v>
      </c>
      <c r="I56" s="98">
        <v>2019.1</v>
      </c>
      <c r="J56" s="98" t="s">
        <v>636</v>
      </c>
      <c r="K56" s="98" t="s">
        <v>636</v>
      </c>
      <c r="L56" s="98" t="s">
        <v>636</v>
      </c>
      <c r="M56" s="98" t="s">
        <v>1635</v>
      </c>
    </row>
    <row r="57" spans="1:13" ht="16.5" customHeight="1">
      <c r="A57" s="98">
        <v>11</v>
      </c>
      <c r="B57" s="200" t="s">
        <v>1626</v>
      </c>
      <c r="C57" s="98">
        <v>2882</v>
      </c>
      <c r="F57" s="98" t="s">
        <v>94</v>
      </c>
      <c r="G57" s="200" t="s">
        <v>1673</v>
      </c>
      <c r="H57" s="200" t="s">
        <v>1766</v>
      </c>
      <c r="I57" s="98">
        <v>2019.11</v>
      </c>
      <c r="J57" s="98" t="s">
        <v>636</v>
      </c>
      <c r="K57" s="98" t="s">
        <v>636</v>
      </c>
      <c r="L57" s="98" t="s">
        <v>636</v>
      </c>
      <c r="M57" s="98" t="s">
        <v>1635</v>
      </c>
    </row>
    <row r="58" spans="1:13" ht="16.5" customHeight="1">
      <c r="A58" s="98">
        <v>12</v>
      </c>
      <c r="B58" s="200" t="s">
        <v>1626</v>
      </c>
      <c r="C58" s="98">
        <v>169445</v>
      </c>
      <c r="D58" s="200" t="s">
        <v>566</v>
      </c>
      <c r="F58" s="98" t="s">
        <v>98</v>
      </c>
      <c r="G58" s="200" t="s">
        <v>1685</v>
      </c>
      <c r="H58" s="200" t="s">
        <v>1767</v>
      </c>
      <c r="I58" s="98">
        <v>2021.04</v>
      </c>
      <c r="M58" s="98" t="s">
        <v>1635</v>
      </c>
    </row>
    <row r="59" spans="1:13" ht="16.5" customHeight="1">
      <c r="A59" s="98">
        <v>13</v>
      </c>
      <c r="B59" s="200" t="s">
        <v>1626</v>
      </c>
      <c r="C59" s="98">
        <v>111981</v>
      </c>
      <c r="D59" s="200" t="s">
        <v>579</v>
      </c>
      <c r="F59" s="98" t="s">
        <v>96</v>
      </c>
      <c r="G59" s="200" t="s">
        <v>1768</v>
      </c>
      <c r="H59" s="200" t="s">
        <v>1769</v>
      </c>
      <c r="I59" s="98">
        <v>2021.05</v>
      </c>
      <c r="M59" s="98" t="s">
        <v>1635</v>
      </c>
    </row>
    <row r="60" spans="1:13" ht="16.5" customHeight="1">
      <c r="A60" s="98">
        <v>14</v>
      </c>
      <c r="B60" s="200" t="s">
        <v>1626</v>
      </c>
      <c r="C60" s="98">
        <v>116810</v>
      </c>
      <c r="D60" s="200" t="s">
        <v>566</v>
      </c>
      <c r="F60" s="98" t="s">
        <v>95</v>
      </c>
      <c r="G60" s="200" t="s">
        <v>1770</v>
      </c>
      <c r="H60" s="200" t="s">
        <v>1771</v>
      </c>
      <c r="I60" s="98">
        <v>2011.04</v>
      </c>
      <c r="M60" s="98" t="s">
        <v>1635</v>
      </c>
    </row>
    <row r="61" spans="1:13" ht="16.5" customHeight="1">
      <c r="A61" s="98">
        <v>15</v>
      </c>
      <c r="B61" s="200" t="s">
        <v>1626</v>
      </c>
      <c r="C61" s="98">
        <v>112221</v>
      </c>
      <c r="D61" s="200" t="s">
        <v>566</v>
      </c>
      <c r="E61" s="98" t="s">
        <v>8</v>
      </c>
      <c r="F61" s="98" t="s">
        <v>96</v>
      </c>
      <c r="G61" s="200" t="s">
        <v>1685</v>
      </c>
      <c r="H61" s="200" t="s">
        <v>1772</v>
      </c>
      <c r="I61" s="98">
        <v>2021.03</v>
      </c>
      <c r="M61" s="98" t="s">
        <v>1635</v>
      </c>
    </row>
    <row r="62" spans="1:13" ht="16.5" customHeight="1">
      <c r="A62" s="98">
        <v>16</v>
      </c>
      <c r="C62" s="98">
        <v>162121</v>
      </c>
      <c r="D62" s="200" t="s">
        <v>579</v>
      </c>
      <c r="E62" s="98" t="s">
        <v>8</v>
      </c>
      <c r="F62" s="98" t="s">
        <v>100</v>
      </c>
      <c r="G62" s="200" t="s">
        <v>1637</v>
      </c>
      <c r="H62" s="200" t="s">
        <v>1773</v>
      </c>
      <c r="I62" s="98">
        <v>2022.04</v>
      </c>
      <c r="M62" s="98" t="s">
        <v>1774</v>
      </c>
    </row>
    <row r="63" spans="1:13" ht="16.5" customHeight="1">
      <c r="A63" s="98">
        <v>17</v>
      </c>
      <c r="C63" s="98">
        <v>113304</v>
      </c>
      <c r="D63" s="200" t="s">
        <v>579</v>
      </c>
      <c r="E63" s="98" t="s">
        <v>8</v>
      </c>
      <c r="F63" s="98" t="s">
        <v>96</v>
      </c>
      <c r="G63" s="200" t="s">
        <v>1708</v>
      </c>
      <c r="H63" s="200" t="s">
        <v>1775</v>
      </c>
      <c r="I63" s="98">
        <v>2022.06</v>
      </c>
    </row>
    <row r="64" spans="1:13" ht="16.5" customHeight="1">
      <c r="A64" s="98">
        <v>18</v>
      </c>
      <c r="B64" s="200" t="s">
        <v>1626</v>
      </c>
      <c r="C64" s="98">
        <v>168130</v>
      </c>
      <c r="E64" s="98" t="s">
        <v>8</v>
      </c>
      <c r="F64" s="98" t="s">
        <v>95</v>
      </c>
      <c r="G64" s="200" t="s">
        <v>1673</v>
      </c>
      <c r="H64" s="200" t="s">
        <v>1776</v>
      </c>
      <c r="J64" s="98" t="s">
        <v>636</v>
      </c>
      <c r="K64" s="98" t="s">
        <v>636</v>
      </c>
      <c r="L64" s="98" t="s">
        <v>636</v>
      </c>
      <c r="M6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A1:J7"/>
  <sheetViews>
    <sheetView zoomScaleNormal="100" workbookViewId="0">
      <selection activeCell="B7" sqref="B7:B8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98" t="s">
        <v>1777</v>
      </c>
      <c r="B2" s="98" t="s">
        <v>1778</v>
      </c>
      <c r="C2" s="200" t="s">
        <v>556</v>
      </c>
      <c r="D2" s="98" t="s">
        <v>1779</v>
      </c>
      <c r="E2" s="98" t="s">
        <v>100</v>
      </c>
      <c r="F2" s="98" t="s">
        <v>1780</v>
      </c>
      <c r="G2" s="201">
        <v>39709</v>
      </c>
    </row>
    <row r="3" spans="1:10" ht="16.5" customHeight="1">
      <c r="A3" s="98" t="s">
        <v>1777</v>
      </c>
      <c r="B3" s="98" t="s">
        <v>1781</v>
      </c>
      <c r="C3" s="200" t="s">
        <v>556</v>
      </c>
      <c r="D3" s="98" t="s">
        <v>1782</v>
      </c>
      <c r="E3" s="98" t="s">
        <v>100</v>
      </c>
      <c r="F3" s="98" t="s">
        <v>1783</v>
      </c>
      <c r="G3" s="201">
        <v>39709</v>
      </c>
    </row>
    <row r="4" spans="1:10" ht="16.5" customHeight="1">
      <c r="A4" s="98" t="s">
        <v>1777</v>
      </c>
      <c r="B4" s="98" t="s">
        <v>1784</v>
      </c>
      <c r="C4" s="200" t="s">
        <v>556</v>
      </c>
      <c r="D4" s="98" t="s">
        <v>1785</v>
      </c>
      <c r="E4" s="98" t="s">
        <v>100</v>
      </c>
      <c r="F4" s="98" t="s">
        <v>1786</v>
      </c>
      <c r="G4" s="201">
        <v>40050</v>
      </c>
    </row>
    <row r="5" spans="1:10" ht="16.5" customHeight="1">
      <c r="A5" s="98" t="s">
        <v>1777</v>
      </c>
      <c r="B5" s="98" t="s">
        <v>1787</v>
      </c>
      <c r="C5" s="200" t="s">
        <v>556</v>
      </c>
      <c r="D5" s="98" t="s">
        <v>1788</v>
      </c>
      <c r="E5" s="98" t="s">
        <v>100</v>
      </c>
      <c r="F5" s="98" t="s">
        <v>1789</v>
      </c>
      <c r="G5" s="201">
        <v>42184</v>
      </c>
    </row>
    <row r="6" spans="1:10" ht="16.5" customHeight="1">
      <c r="A6" s="98" t="s">
        <v>1790</v>
      </c>
      <c r="B6" s="98">
        <v>216012</v>
      </c>
      <c r="C6" s="200" t="s">
        <v>566</v>
      </c>
      <c r="D6" s="98" t="s">
        <v>1791</v>
      </c>
      <c r="E6" s="98" t="s">
        <v>98</v>
      </c>
      <c r="F6" s="98" t="s">
        <v>1792</v>
      </c>
      <c r="G6" s="201">
        <v>45597</v>
      </c>
      <c r="H6" s="98">
        <v>1000.85</v>
      </c>
    </row>
    <row r="7" spans="1:10">
      <c r="E7" s="98" t="s">
        <v>100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/>
  <dimension ref="A1:L13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200" t="s">
        <v>1793</v>
      </c>
      <c r="C2" s="98">
        <v>71100</v>
      </c>
      <c r="D2" s="200" t="s">
        <v>556</v>
      </c>
      <c r="E2" s="98" t="s">
        <v>1794</v>
      </c>
      <c r="F2" s="98" t="s">
        <v>100</v>
      </c>
      <c r="G2" s="200" t="s">
        <v>1795</v>
      </c>
      <c r="H2" s="98">
        <v>2015.04</v>
      </c>
      <c r="I2" s="98">
        <v>1157.17</v>
      </c>
      <c r="J2" s="98">
        <v>1482576870</v>
      </c>
      <c r="K2" s="98">
        <v>1281203900</v>
      </c>
      <c r="L2" s="98" t="s">
        <v>562</v>
      </c>
    </row>
    <row r="3" spans="1:12" ht="16.5" customHeight="1">
      <c r="A3" s="98">
        <v>2</v>
      </c>
      <c r="B3" s="200" t="s">
        <v>1793</v>
      </c>
      <c r="C3" s="98">
        <v>62201</v>
      </c>
      <c r="D3" s="200" t="s">
        <v>556</v>
      </c>
      <c r="E3" s="98" t="s">
        <v>1796</v>
      </c>
      <c r="F3" s="98" t="s">
        <v>100</v>
      </c>
      <c r="G3" s="200" t="s">
        <v>1797</v>
      </c>
      <c r="H3" s="98">
        <v>2007.02</v>
      </c>
      <c r="I3" s="98">
        <v>1166.53</v>
      </c>
      <c r="J3" s="98">
        <v>67388338</v>
      </c>
      <c r="K3" s="98">
        <v>57768427</v>
      </c>
      <c r="L3" s="98" t="s">
        <v>562</v>
      </c>
    </row>
    <row r="4" spans="1:12" ht="16.5" customHeight="1">
      <c r="A4" s="98">
        <v>3</v>
      </c>
      <c r="B4" s="200" t="s">
        <v>1793</v>
      </c>
      <c r="C4" s="98">
        <v>71000</v>
      </c>
      <c r="D4" s="200" t="s">
        <v>556</v>
      </c>
      <c r="E4" s="98" t="s">
        <v>1794</v>
      </c>
      <c r="F4" s="98" t="s">
        <v>100</v>
      </c>
      <c r="G4" s="200" t="s">
        <v>1798</v>
      </c>
      <c r="H4" s="98">
        <v>2015.02</v>
      </c>
    </row>
    <row r="8" spans="1:12" ht="15" customHeight="1">
      <c r="B8" s="200" t="s">
        <v>1799</v>
      </c>
    </row>
    <row r="9" spans="1:12" ht="16.5" customHeight="1">
      <c r="A9" s="200" t="s">
        <v>1246</v>
      </c>
      <c r="B9" s="200" t="s">
        <v>506</v>
      </c>
      <c r="C9" s="200" t="s">
        <v>38</v>
      </c>
      <c r="D9" s="200" t="s">
        <v>546</v>
      </c>
      <c r="E9" s="200" t="s">
        <v>671</v>
      </c>
      <c r="F9" s="200" t="s">
        <v>42</v>
      </c>
      <c r="G9" s="200" t="s">
        <v>673</v>
      </c>
      <c r="H9" s="200" t="s">
        <v>704</v>
      </c>
      <c r="I9" s="200" t="s">
        <v>23</v>
      </c>
      <c r="J9" s="200" t="s">
        <v>552</v>
      </c>
      <c r="K9" s="200" t="s">
        <v>553</v>
      </c>
      <c r="L9" s="98" t="s">
        <v>705</v>
      </c>
    </row>
    <row r="10" spans="1:12" ht="16.5" customHeight="1">
      <c r="A10" s="98">
        <v>1</v>
      </c>
      <c r="B10" s="200" t="s">
        <v>1793</v>
      </c>
      <c r="C10" s="98">
        <v>71300</v>
      </c>
      <c r="D10" s="200" t="s">
        <v>556</v>
      </c>
      <c r="F10" s="98" t="s">
        <v>100</v>
      </c>
      <c r="G10" s="200" t="s">
        <v>1800</v>
      </c>
      <c r="H10" s="98">
        <v>2015.04</v>
      </c>
    </row>
    <row r="12" spans="1:12" ht="15" customHeight="1">
      <c r="A12" s="200" t="s">
        <v>1801</v>
      </c>
    </row>
    <row r="13" spans="1:12" ht="16.5" customHeight="1">
      <c r="A13" s="98">
        <v>3</v>
      </c>
      <c r="B13" s="200" t="s">
        <v>1793</v>
      </c>
      <c r="C13" s="98">
        <v>63110</v>
      </c>
      <c r="D13" s="200" t="s">
        <v>556</v>
      </c>
      <c r="E13" s="98" t="s">
        <v>1802</v>
      </c>
      <c r="F13" s="98" t="s">
        <v>98</v>
      </c>
      <c r="G13" s="200" t="s">
        <v>1803</v>
      </c>
      <c r="H13" s="98">
        <v>2011.01</v>
      </c>
      <c r="I13" s="98">
        <v>273.67</v>
      </c>
      <c r="J13" s="98">
        <v>905000000</v>
      </c>
      <c r="K13" s="98">
        <v>33069000000</v>
      </c>
      <c r="L13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/>
  <dimension ref="A1:O11"/>
  <sheetViews>
    <sheetView zoomScaleNormal="100" workbookViewId="0">
      <selection activeCell="C11" sqref="C11"/>
    </sheetView>
  </sheetViews>
  <sheetFormatPr defaultColWidth="8.5546875" defaultRowHeight="13.5"/>
  <sheetData>
    <row r="1" spans="1:15" ht="16.5" customHeight="1">
      <c r="A1" s="200" t="s">
        <v>1246</v>
      </c>
      <c r="B1" s="200" t="s">
        <v>41</v>
      </c>
      <c r="C1" s="200" t="s">
        <v>506</v>
      </c>
      <c r="D1" s="200" t="s">
        <v>38</v>
      </c>
      <c r="E1" s="200" t="s">
        <v>546</v>
      </c>
      <c r="F1" s="200" t="s">
        <v>547</v>
      </c>
      <c r="G1" s="200" t="s">
        <v>42</v>
      </c>
      <c r="H1" s="200" t="s">
        <v>548</v>
      </c>
      <c r="I1" s="200" t="s">
        <v>549</v>
      </c>
      <c r="J1" s="200" t="s">
        <v>550</v>
      </c>
      <c r="K1" s="200" t="s">
        <v>551</v>
      </c>
      <c r="L1" s="200" t="s">
        <v>23</v>
      </c>
      <c r="M1" s="200" t="s">
        <v>552</v>
      </c>
      <c r="N1" s="200" t="s">
        <v>553</v>
      </c>
      <c r="O1" s="200" t="s">
        <v>554</v>
      </c>
    </row>
    <row r="2" spans="1:15" ht="16.5" customHeight="1">
      <c r="B2" s="98" t="s">
        <v>7</v>
      </c>
      <c r="C2" s="98" t="s">
        <v>1804</v>
      </c>
      <c r="D2" s="98">
        <v>80062</v>
      </c>
      <c r="E2" s="200" t="s">
        <v>566</v>
      </c>
      <c r="G2" s="98" t="s">
        <v>96</v>
      </c>
      <c r="H2" s="200" t="s">
        <v>1805</v>
      </c>
      <c r="I2" s="200" t="s">
        <v>1806</v>
      </c>
      <c r="J2" s="98" t="s">
        <v>1807</v>
      </c>
      <c r="L2" s="98">
        <v>1070</v>
      </c>
    </row>
    <row r="3" spans="1:15" ht="16.5" customHeight="1">
      <c r="B3" s="98" t="s">
        <v>7</v>
      </c>
      <c r="C3" s="98" t="s">
        <v>1804</v>
      </c>
      <c r="D3" s="98">
        <v>83647</v>
      </c>
      <c r="E3" s="200" t="s">
        <v>566</v>
      </c>
      <c r="G3" s="98" t="s">
        <v>95</v>
      </c>
      <c r="H3" s="200" t="s">
        <v>1805</v>
      </c>
      <c r="I3" s="200" t="s">
        <v>1806</v>
      </c>
      <c r="J3" s="200" t="s">
        <v>1808</v>
      </c>
    </row>
    <row r="4" spans="1:15" ht="16.5" customHeight="1">
      <c r="B4" s="98" t="s">
        <v>7</v>
      </c>
      <c r="C4" s="98" t="s">
        <v>1804</v>
      </c>
      <c r="D4" s="98">
        <v>83659</v>
      </c>
      <c r="E4" s="200" t="s">
        <v>566</v>
      </c>
      <c r="G4" s="98" t="s">
        <v>96</v>
      </c>
      <c r="I4" s="200" t="s">
        <v>1809</v>
      </c>
      <c r="J4" s="200" t="s">
        <v>1810</v>
      </c>
    </row>
    <row r="5" spans="1:15" ht="16.5" customHeight="1">
      <c r="B5" s="98" t="s">
        <v>7</v>
      </c>
      <c r="C5" s="98" t="s">
        <v>1804</v>
      </c>
      <c r="D5" s="98">
        <v>83662</v>
      </c>
      <c r="E5" s="200" t="s">
        <v>566</v>
      </c>
      <c r="G5" s="98" t="s">
        <v>96</v>
      </c>
      <c r="I5" s="200" t="s">
        <v>1809</v>
      </c>
      <c r="J5" s="98" t="s">
        <v>1811</v>
      </c>
    </row>
    <row r="6" spans="1:15" ht="16.5" customHeight="1">
      <c r="A6" s="98">
        <v>4</v>
      </c>
      <c r="B6" s="98" t="s">
        <v>8</v>
      </c>
      <c r="C6" s="98" t="s">
        <v>1804</v>
      </c>
      <c r="D6" s="98">
        <v>79832</v>
      </c>
      <c r="E6" s="200" t="s">
        <v>566</v>
      </c>
      <c r="F6" s="98" t="s">
        <v>1812</v>
      </c>
      <c r="G6" s="98" t="s">
        <v>94</v>
      </c>
      <c r="H6" s="200" t="s">
        <v>1805</v>
      </c>
      <c r="I6" s="200" t="s">
        <v>1806</v>
      </c>
      <c r="J6" s="98" t="s">
        <v>1813</v>
      </c>
      <c r="K6" s="98">
        <v>2021.04</v>
      </c>
    </row>
    <row r="7" spans="1:15" ht="16.5" customHeight="1">
      <c r="A7" s="98">
        <v>5</v>
      </c>
      <c r="B7" s="98" t="s">
        <v>8</v>
      </c>
      <c r="C7" s="98" t="s">
        <v>1804</v>
      </c>
      <c r="D7" s="98">
        <v>79831</v>
      </c>
      <c r="E7" s="200" t="s">
        <v>566</v>
      </c>
      <c r="F7" s="98" t="s">
        <v>1814</v>
      </c>
      <c r="G7" s="98" t="s">
        <v>94</v>
      </c>
      <c r="H7" s="200" t="s">
        <v>1805</v>
      </c>
      <c r="I7" s="200" t="s">
        <v>1806</v>
      </c>
      <c r="J7" s="98" t="s">
        <v>1815</v>
      </c>
      <c r="K7" s="98">
        <v>2021.04</v>
      </c>
    </row>
    <row r="8" spans="1:15" ht="16.5" customHeight="1">
      <c r="A8" s="98">
        <v>6</v>
      </c>
      <c r="B8" s="98" t="s">
        <v>8</v>
      </c>
      <c r="C8" s="98" t="s">
        <v>1804</v>
      </c>
      <c r="D8" s="98">
        <v>83652</v>
      </c>
      <c r="E8" s="200" t="s">
        <v>566</v>
      </c>
      <c r="F8" s="98" t="s">
        <v>1816</v>
      </c>
      <c r="G8" s="98" t="s">
        <v>98</v>
      </c>
      <c r="H8" s="200" t="s">
        <v>1805</v>
      </c>
      <c r="I8" s="200" t="s">
        <v>1806</v>
      </c>
      <c r="J8" s="98" t="s">
        <v>1817</v>
      </c>
      <c r="K8" s="98">
        <v>2025.09</v>
      </c>
    </row>
    <row r="9" spans="1:15" ht="16.5" customHeight="1">
      <c r="A9" s="98">
        <v>7</v>
      </c>
      <c r="B9" s="98" t="s">
        <v>8</v>
      </c>
      <c r="C9" s="98" t="s">
        <v>1804</v>
      </c>
      <c r="D9" s="98">
        <v>79480</v>
      </c>
      <c r="E9" s="200" t="s">
        <v>556</v>
      </c>
      <c r="F9" s="98" t="s">
        <v>1818</v>
      </c>
      <c r="G9" s="98" t="s">
        <v>100</v>
      </c>
      <c r="H9" s="200" t="s">
        <v>1805</v>
      </c>
      <c r="I9" s="200" t="s">
        <v>1806</v>
      </c>
      <c r="J9" s="98" t="s">
        <v>1819</v>
      </c>
      <c r="K9" s="98">
        <v>2019.01</v>
      </c>
    </row>
    <row r="10" spans="1:15" ht="16.5" customHeight="1">
      <c r="A10" s="98">
        <v>8</v>
      </c>
      <c r="B10" s="98" t="s">
        <v>8</v>
      </c>
      <c r="C10" s="98" t="s">
        <v>1804</v>
      </c>
      <c r="D10" s="98">
        <v>82940</v>
      </c>
      <c r="E10" s="200" t="s">
        <v>556</v>
      </c>
      <c r="G10" s="98" t="s">
        <v>98</v>
      </c>
      <c r="H10" s="200" t="s">
        <v>1805</v>
      </c>
      <c r="I10" s="200" t="s">
        <v>1809</v>
      </c>
      <c r="J10" s="98" t="s">
        <v>1820</v>
      </c>
    </row>
    <row r="11" spans="1:15" ht="14.25">
      <c r="C11" s="98" t="s">
        <v>1804</v>
      </c>
      <c r="D11" s="98">
        <v>83217</v>
      </c>
      <c r="G11" s="98" t="s">
        <v>100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9"/>
  <dimension ref="B1:L26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1821</v>
      </c>
      <c r="H1" s="200" t="s">
        <v>1822</v>
      </c>
      <c r="I1" s="200" t="s">
        <v>704</v>
      </c>
      <c r="J1" s="200" t="s">
        <v>23</v>
      </c>
      <c r="K1" s="98" t="s">
        <v>1823</v>
      </c>
      <c r="L1" s="200" t="s">
        <v>553</v>
      </c>
    </row>
    <row r="2" spans="2:12" ht="16.5" customHeight="1">
      <c r="B2" s="200" t="s">
        <v>1824</v>
      </c>
      <c r="C2" s="98">
        <v>402012</v>
      </c>
      <c r="D2" s="200" t="s">
        <v>566</v>
      </c>
      <c r="E2" s="98" t="s">
        <v>1825</v>
      </c>
      <c r="F2" s="98" t="s">
        <v>93</v>
      </c>
      <c r="G2" s="200" t="s">
        <v>1826</v>
      </c>
      <c r="H2" s="200" t="s">
        <v>1827</v>
      </c>
      <c r="I2" s="201">
        <v>41547</v>
      </c>
      <c r="J2" s="98">
        <v>1001.81</v>
      </c>
      <c r="K2" s="98">
        <v>61261351841</v>
      </c>
      <c r="L2" s="98">
        <v>61150500595</v>
      </c>
    </row>
    <row r="3" spans="2:12" ht="16.5" customHeight="1">
      <c r="B3" s="200" t="s">
        <v>1824</v>
      </c>
      <c r="C3" s="98">
        <v>402023</v>
      </c>
      <c r="D3" s="200" t="s">
        <v>566</v>
      </c>
      <c r="E3" s="98" t="s">
        <v>1828</v>
      </c>
      <c r="F3" s="98" t="s">
        <v>102</v>
      </c>
      <c r="G3" s="200" t="s">
        <v>1829</v>
      </c>
      <c r="H3" s="200" t="s">
        <v>1830</v>
      </c>
      <c r="I3" s="201">
        <v>42391</v>
      </c>
      <c r="J3" s="98">
        <v>945.85</v>
      </c>
      <c r="K3" s="98">
        <v>19929777304</v>
      </c>
      <c r="L3" s="98">
        <v>21070684472</v>
      </c>
    </row>
    <row r="4" spans="2:12" ht="16.5" customHeight="1">
      <c r="B4" s="200" t="s">
        <v>1824</v>
      </c>
      <c r="C4" s="98">
        <v>402036</v>
      </c>
      <c r="D4" s="200" t="s">
        <v>566</v>
      </c>
      <c r="E4" s="98" t="s">
        <v>1831</v>
      </c>
      <c r="F4" s="98" t="s">
        <v>102</v>
      </c>
      <c r="G4" s="200" t="s">
        <v>1832</v>
      </c>
      <c r="H4" s="200" t="s">
        <v>1833</v>
      </c>
      <c r="I4" s="201">
        <v>43073</v>
      </c>
      <c r="J4" s="98">
        <v>1029.83</v>
      </c>
      <c r="K4" s="98">
        <v>38803706567</v>
      </c>
      <c r="L4" s="98">
        <v>33600000000</v>
      </c>
    </row>
    <row r="5" spans="2:12" ht="16.5" customHeight="1">
      <c r="B5" s="200" t="s">
        <v>1824</v>
      </c>
      <c r="C5" s="98">
        <v>402037</v>
      </c>
      <c r="D5" s="200" t="s">
        <v>566</v>
      </c>
      <c r="E5" s="98" t="s">
        <v>1834</v>
      </c>
      <c r="F5" s="98" t="s">
        <v>102</v>
      </c>
      <c r="G5" s="200" t="s">
        <v>1832</v>
      </c>
      <c r="H5" s="200" t="s">
        <v>1835</v>
      </c>
      <c r="I5" s="201">
        <v>43073</v>
      </c>
      <c r="J5" s="98">
        <v>974.08</v>
      </c>
      <c r="K5" s="98">
        <v>7407511985</v>
      </c>
      <c r="L5" s="98">
        <v>6000000000</v>
      </c>
    </row>
    <row r="6" spans="2:12" ht="16.5" customHeight="1">
      <c r="B6" s="200" t="s">
        <v>1824</v>
      </c>
      <c r="C6" s="98">
        <v>402054</v>
      </c>
      <c r="D6" s="200" t="s">
        <v>566</v>
      </c>
      <c r="E6" s="98" t="s">
        <v>1836</v>
      </c>
      <c r="F6" s="98" t="s">
        <v>102</v>
      </c>
      <c r="G6" s="200" t="s">
        <v>1837</v>
      </c>
      <c r="H6" s="200" t="s">
        <v>1838</v>
      </c>
      <c r="I6" s="98">
        <v>2019.01</v>
      </c>
      <c r="J6" s="98" t="s">
        <v>636</v>
      </c>
      <c r="K6" s="98" t="s">
        <v>636</v>
      </c>
      <c r="L6" s="98" t="s">
        <v>636</v>
      </c>
    </row>
    <row r="7" spans="2:12" ht="16.5" customHeight="1">
      <c r="B7" s="200" t="s">
        <v>1824</v>
      </c>
      <c r="C7" s="98">
        <v>402033</v>
      </c>
      <c r="D7" s="200" t="s">
        <v>566</v>
      </c>
      <c r="E7" s="98" t="s">
        <v>1839</v>
      </c>
      <c r="F7" s="98" t="s">
        <v>101</v>
      </c>
      <c r="G7" s="200" t="s">
        <v>1837</v>
      </c>
      <c r="H7" s="200" t="s">
        <v>1840</v>
      </c>
      <c r="I7" s="98" t="s">
        <v>1841</v>
      </c>
      <c r="J7" s="98">
        <v>790.55</v>
      </c>
      <c r="K7" s="98">
        <v>15152637033</v>
      </c>
      <c r="L7" s="98">
        <v>20300000000</v>
      </c>
    </row>
    <row r="8" spans="2:12" ht="16.5" customHeight="1">
      <c r="B8" s="200" t="s">
        <v>1824</v>
      </c>
      <c r="C8" s="98">
        <v>161130</v>
      </c>
      <c r="D8" s="200" t="s">
        <v>1700</v>
      </c>
      <c r="E8" s="98" t="s">
        <v>1842</v>
      </c>
      <c r="F8" s="98" t="s">
        <v>96</v>
      </c>
      <c r="H8" s="200" t="s">
        <v>1843</v>
      </c>
      <c r="I8" s="98">
        <v>2020.09</v>
      </c>
      <c r="J8" s="98">
        <v>1174.93</v>
      </c>
      <c r="K8" s="98">
        <v>3572000000</v>
      </c>
      <c r="L8" s="98">
        <v>3111000000</v>
      </c>
    </row>
    <row r="9" spans="2:12" ht="16.5" customHeight="1">
      <c r="B9" s="200" t="s">
        <v>1824</v>
      </c>
      <c r="C9" s="98">
        <v>402021</v>
      </c>
      <c r="D9" s="200" t="s">
        <v>566</v>
      </c>
      <c r="E9" s="98" t="s">
        <v>1844</v>
      </c>
      <c r="F9" s="98" t="s">
        <v>101</v>
      </c>
      <c r="G9" s="200" t="s">
        <v>1832</v>
      </c>
      <c r="H9" s="200" t="s">
        <v>1845</v>
      </c>
      <c r="I9" s="201">
        <v>42244</v>
      </c>
      <c r="J9" s="98">
        <v>938.34</v>
      </c>
      <c r="K9" s="98">
        <v>32051195969</v>
      </c>
      <c r="L9" s="98">
        <v>102200000000</v>
      </c>
    </row>
    <row r="10" spans="2:12" ht="16.5" customHeight="1">
      <c r="B10" s="200" t="s">
        <v>1824</v>
      </c>
      <c r="C10" s="98">
        <v>302033</v>
      </c>
      <c r="D10" s="200" t="s">
        <v>566</v>
      </c>
      <c r="E10" s="98" t="s">
        <v>1846</v>
      </c>
      <c r="F10" s="98" t="s">
        <v>102</v>
      </c>
      <c r="G10" s="200" t="s">
        <v>1829</v>
      </c>
      <c r="H10" s="200" t="s">
        <v>1847</v>
      </c>
      <c r="I10" s="201">
        <v>42535</v>
      </c>
      <c r="J10" s="98">
        <v>949.46</v>
      </c>
      <c r="K10" s="98">
        <v>66893207958</v>
      </c>
      <c r="L10" s="98">
        <v>70453590194</v>
      </c>
    </row>
    <row r="11" spans="2:12" ht="16.5" customHeight="1">
      <c r="B11" s="200" t="s">
        <v>1824</v>
      </c>
      <c r="C11" s="98">
        <v>162017</v>
      </c>
      <c r="D11" s="200" t="s">
        <v>566</v>
      </c>
      <c r="E11" s="98" t="s">
        <v>1848</v>
      </c>
      <c r="F11" s="98" t="s">
        <v>93</v>
      </c>
      <c r="G11" s="200" t="s">
        <v>1849</v>
      </c>
      <c r="H11" s="200" t="s">
        <v>1850</v>
      </c>
      <c r="I11" s="201">
        <v>40470</v>
      </c>
      <c r="J11" s="98">
        <v>876.95</v>
      </c>
      <c r="K11" s="98">
        <v>43659015</v>
      </c>
      <c r="L11" s="98">
        <v>307288523</v>
      </c>
    </row>
    <row r="12" spans="2:12" ht="16.5" customHeight="1">
      <c r="B12" s="200" t="s">
        <v>1824</v>
      </c>
      <c r="C12" s="98">
        <v>162023</v>
      </c>
      <c r="D12" s="200" t="s">
        <v>566</v>
      </c>
      <c r="E12" s="98" t="s">
        <v>1851</v>
      </c>
      <c r="F12" s="98" t="s">
        <v>96</v>
      </c>
      <c r="G12" s="200" t="s">
        <v>1849</v>
      </c>
      <c r="H12" s="200" t="s">
        <v>1852</v>
      </c>
      <c r="I12" s="201">
        <v>40519</v>
      </c>
      <c r="J12" s="98">
        <v>681.58</v>
      </c>
      <c r="K12" s="98">
        <v>163102602</v>
      </c>
      <c r="L12" s="98">
        <v>24496205779</v>
      </c>
    </row>
    <row r="17" spans="2:12" ht="16.5" customHeight="1">
      <c r="B17" s="200" t="s">
        <v>1824</v>
      </c>
      <c r="C17" s="98">
        <v>162013</v>
      </c>
      <c r="D17" s="200" t="s">
        <v>566</v>
      </c>
      <c r="E17" s="98" t="s">
        <v>697</v>
      </c>
      <c r="F17" s="98" t="s">
        <v>93</v>
      </c>
      <c r="G17" s="200" t="s">
        <v>1849</v>
      </c>
      <c r="H17" s="200" t="s">
        <v>1853</v>
      </c>
      <c r="I17" s="201">
        <v>40451</v>
      </c>
      <c r="J17" s="98">
        <v>1472.69</v>
      </c>
      <c r="K17" s="98">
        <v>173886920</v>
      </c>
      <c r="L17" s="98">
        <v>118073978</v>
      </c>
    </row>
    <row r="18" spans="2:12" ht="16.5" customHeight="1">
      <c r="B18" s="200" t="s">
        <v>1824</v>
      </c>
      <c r="C18" s="98">
        <v>162014</v>
      </c>
      <c r="D18" s="200" t="s">
        <v>566</v>
      </c>
      <c r="E18" s="98" t="s">
        <v>697</v>
      </c>
      <c r="F18" s="98" t="s">
        <v>93</v>
      </c>
      <c r="G18" s="200" t="s">
        <v>1849</v>
      </c>
      <c r="H18" s="200" t="s">
        <v>1854</v>
      </c>
      <c r="I18" s="201">
        <v>40458</v>
      </c>
      <c r="J18" s="98">
        <v>1391.61</v>
      </c>
      <c r="K18" s="98">
        <v>47409571</v>
      </c>
      <c r="L18" s="98">
        <v>34068064</v>
      </c>
    </row>
    <row r="19" spans="2:12" ht="16.5" customHeight="1">
      <c r="B19" s="200" t="s">
        <v>1824</v>
      </c>
      <c r="C19" s="98">
        <v>162021</v>
      </c>
      <c r="D19" s="200" t="s">
        <v>566</v>
      </c>
      <c r="E19" s="98" t="s">
        <v>697</v>
      </c>
      <c r="F19" s="98" t="s">
        <v>93</v>
      </c>
      <c r="G19" s="200" t="s">
        <v>1849</v>
      </c>
      <c r="H19" s="200" t="s">
        <v>1855</v>
      </c>
      <c r="I19" s="201">
        <v>40493</v>
      </c>
      <c r="J19" s="98">
        <v>1347.13</v>
      </c>
      <c r="K19" s="98">
        <v>391488368</v>
      </c>
      <c r="L19" s="98">
        <v>290609790</v>
      </c>
    </row>
    <row r="20" spans="2:12" ht="16.5" customHeight="1">
      <c r="B20" s="200" t="s">
        <v>1824</v>
      </c>
      <c r="C20" s="98">
        <v>162026</v>
      </c>
      <c r="D20" s="200" t="s">
        <v>566</v>
      </c>
      <c r="E20" s="98" t="s">
        <v>697</v>
      </c>
      <c r="F20" s="98" t="s">
        <v>96</v>
      </c>
      <c r="G20" s="200" t="s">
        <v>1849</v>
      </c>
      <c r="H20" s="200" t="s">
        <v>1856</v>
      </c>
      <c r="I20" s="201">
        <v>40624</v>
      </c>
      <c r="J20" s="98">
        <v>1216.51</v>
      </c>
      <c r="K20" s="98">
        <v>307977451</v>
      </c>
      <c r="L20" s="98">
        <v>253165440</v>
      </c>
    </row>
    <row r="21" spans="2:12" ht="16.5" customHeight="1">
      <c r="B21" s="200" t="s">
        <v>1824</v>
      </c>
      <c r="C21" s="98">
        <v>302012</v>
      </c>
      <c r="D21" s="200" t="s">
        <v>566</v>
      </c>
      <c r="E21" s="98" t="s">
        <v>697</v>
      </c>
      <c r="F21" s="98" t="s">
        <v>93</v>
      </c>
      <c r="G21" s="200" t="s">
        <v>1857</v>
      </c>
      <c r="H21" s="200" t="s">
        <v>1858</v>
      </c>
      <c r="I21" s="201">
        <v>41260</v>
      </c>
      <c r="J21" s="98">
        <v>963.02</v>
      </c>
      <c r="K21" s="98">
        <v>5706</v>
      </c>
      <c r="L21" s="98">
        <v>5925</v>
      </c>
    </row>
    <row r="22" spans="2:12" ht="16.5" customHeight="1">
      <c r="B22" s="200" t="s">
        <v>1824</v>
      </c>
      <c r="C22" s="98">
        <v>402029</v>
      </c>
      <c r="D22" s="200" t="s">
        <v>566</v>
      </c>
      <c r="E22" s="98" t="s">
        <v>697</v>
      </c>
      <c r="F22" s="98" t="s">
        <v>102</v>
      </c>
      <c r="G22" s="200" t="s">
        <v>1837</v>
      </c>
      <c r="H22" s="200" t="s">
        <v>1859</v>
      </c>
      <c r="I22" s="201">
        <v>42811</v>
      </c>
      <c r="J22" s="98">
        <v>975.41</v>
      </c>
      <c r="K22" s="98">
        <v>1238000000</v>
      </c>
      <c r="L22" s="98">
        <v>1269000000</v>
      </c>
    </row>
    <row r="23" spans="2:12" ht="16.5" customHeight="1">
      <c r="B23" s="200" t="s">
        <v>1824</v>
      </c>
      <c r="C23" s="98">
        <v>402046</v>
      </c>
      <c r="D23" s="200" t="s">
        <v>566</v>
      </c>
      <c r="E23" s="98" t="s">
        <v>697</v>
      </c>
      <c r="F23" s="98" t="s">
        <v>102</v>
      </c>
      <c r="G23" s="200" t="s">
        <v>1837</v>
      </c>
      <c r="H23" s="200" t="s">
        <v>1860</v>
      </c>
      <c r="I23" s="201">
        <v>43278</v>
      </c>
      <c r="J23" s="98">
        <v>998.87</v>
      </c>
      <c r="K23" s="98">
        <v>21790972613</v>
      </c>
      <c r="L23" s="98">
        <v>21815590879</v>
      </c>
    </row>
    <row r="24" spans="2:12" ht="16.5" customHeight="1">
      <c r="B24" s="200" t="s">
        <v>1824</v>
      </c>
      <c r="C24" s="98">
        <v>402028</v>
      </c>
      <c r="D24" s="200" t="s">
        <v>566</v>
      </c>
      <c r="E24" s="98" t="s">
        <v>697</v>
      </c>
      <c r="F24" s="98" t="s">
        <v>102</v>
      </c>
      <c r="G24" s="200" t="s">
        <v>1837</v>
      </c>
      <c r="H24" s="98" t="s">
        <v>1861</v>
      </c>
      <c r="I24" s="98">
        <v>2017.03</v>
      </c>
      <c r="J24" s="98" t="s">
        <v>636</v>
      </c>
      <c r="K24" s="98" t="s">
        <v>636</v>
      </c>
      <c r="L24" s="98" t="s">
        <v>636</v>
      </c>
    </row>
    <row r="25" spans="2:12" ht="16.5" customHeight="1">
      <c r="B25" s="200" t="s">
        <v>1824</v>
      </c>
      <c r="C25" s="98">
        <v>402035</v>
      </c>
      <c r="D25" s="200" t="s">
        <v>566</v>
      </c>
      <c r="E25" s="98" t="s">
        <v>697</v>
      </c>
      <c r="F25" s="98" t="s">
        <v>102</v>
      </c>
      <c r="G25" s="200" t="s">
        <v>1837</v>
      </c>
      <c r="H25" s="200" t="s">
        <v>1862</v>
      </c>
      <c r="I25" s="98">
        <v>2017.11</v>
      </c>
      <c r="J25" s="98" t="s">
        <v>636</v>
      </c>
      <c r="K25" s="98" t="s">
        <v>636</v>
      </c>
      <c r="L25" s="98" t="s">
        <v>636</v>
      </c>
    </row>
    <row r="26" spans="2:12" ht="16.5" customHeight="1">
      <c r="B26" s="200" t="s">
        <v>1824</v>
      </c>
      <c r="C26" s="98">
        <v>402026</v>
      </c>
      <c r="D26" s="200" t="s">
        <v>566</v>
      </c>
      <c r="E26" s="98" t="s">
        <v>697</v>
      </c>
      <c r="F26" s="98" t="s">
        <v>102</v>
      </c>
      <c r="G26" s="200" t="s">
        <v>1863</v>
      </c>
      <c r="H26" s="200" t="s">
        <v>1864</v>
      </c>
      <c r="I26" s="201">
        <v>42703</v>
      </c>
      <c r="J26" s="98">
        <v>976.8</v>
      </c>
      <c r="K26" s="98">
        <v>54302557410</v>
      </c>
      <c r="L26" s="98">
        <v>72900000000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A1:L48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98" t="s">
        <v>1865</v>
      </c>
      <c r="C2" s="98">
        <v>66301</v>
      </c>
      <c r="D2" s="200" t="s">
        <v>566</v>
      </c>
      <c r="E2" s="98" t="s">
        <v>1866</v>
      </c>
      <c r="F2" s="98" t="s">
        <v>94</v>
      </c>
      <c r="G2" s="98" t="s">
        <v>1867</v>
      </c>
      <c r="H2" s="98">
        <v>2017.04</v>
      </c>
      <c r="I2" s="98">
        <v>1075.92</v>
      </c>
      <c r="J2" s="98">
        <v>152166576107</v>
      </c>
      <c r="K2" s="98">
        <v>141429299991</v>
      </c>
      <c r="L2" s="98" t="s">
        <v>562</v>
      </c>
    </row>
    <row r="3" spans="1:12" ht="16.5" customHeight="1">
      <c r="A3" s="98">
        <v>2</v>
      </c>
      <c r="B3" s="98" t="s">
        <v>1865</v>
      </c>
      <c r="C3" s="98">
        <v>66391</v>
      </c>
      <c r="D3" s="200" t="s">
        <v>566</v>
      </c>
      <c r="E3" s="98" t="s">
        <v>1868</v>
      </c>
      <c r="F3" s="98" t="s">
        <v>94</v>
      </c>
      <c r="G3" s="98" t="s">
        <v>1869</v>
      </c>
      <c r="H3" s="98">
        <v>2019.01</v>
      </c>
      <c r="I3" s="98">
        <v>914.54</v>
      </c>
      <c r="J3" s="98">
        <v>13693426039</v>
      </c>
      <c r="K3" s="98">
        <v>14973072743</v>
      </c>
      <c r="L3" s="98" t="s">
        <v>589</v>
      </c>
    </row>
    <row r="4" spans="1:12" ht="16.5" customHeight="1">
      <c r="A4" s="98">
        <v>3</v>
      </c>
      <c r="B4" s="98" t="s">
        <v>1865</v>
      </c>
      <c r="C4" s="98">
        <v>28033</v>
      </c>
      <c r="D4" s="200" t="s">
        <v>566</v>
      </c>
      <c r="E4" s="98" t="s">
        <v>1870</v>
      </c>
      <c r="F4" s="98" t="s">
        <v>94</v>
      </c>
      <c r="G4" s="98" t="s">
        <v>1871</v>
      </c>
      <c r="H4" s="98">
        <v>2018.09</v>
      </c>
      <c r="I4" s="98">
        <v>1061.06</v>
      </c>
      <c r="J4" s="98">
        <v>17975619818</v>
      </c>
      <c r="K4" s="98">
        <v>16941201076</v>
      </c>
      <c r="L4" s="98" t="s">
        <v>562</v>
      </c>
    </row>
    <row r="5" spans="1:12" ht="16.5" customHeight="1">
      <c r="A5" s="98">
        <v>4</v>
      </c>
      <c r="B5" s="98" t="s">
        <v>1865</v>
      </c>
      <c r="C5" s="98">
        <v>28024</v>
      </c>
      <c r="D5" s="200" t="s">
        <v>566</v>
      </c>
      <c r="E5" s="98" t="s">
        <v>1872</v>
      </c>
      <c r="F5" s="98" t="s">
        <v>94</v>
      </c>
      <c r="G5" s="98" t="s">
        <v>1873</v>
      </c>
      <c r="H5" s="98">
        <v>2017.02</v>
      </c>
      <c r="I5" s="98">
        <v>1002.99</v>
      </c>
      <c r="J5" s="98">
        <v>307398417877</v>
      </c>
      <c r="K5" s="98">
        <v>306483302921</v>
      </c>
      <c r="L5" s="98" t="s">
        <v>562</v>
      </c>
    </row>
    <row r="6" spans="1:12" ht="16.5" customHeight="1">
      <c r="A6" s="98">
        <v>5</v>
      </c>
      <c r="B6" s="98" t="s">
        <v>1865</v>
      </c>
      <c r="C6" s="98">
        <v>28025</v>
      </c>
      <c r="D6" s="200" t="s">
        <v>566</v>
      </c>
      <c r="E6" s="98" t="s">
        <v>1874</v>
      </c>
      <c r="F6" s="98" t="s">
        <v>94</v>
      </c>
      <c r="G6" s="98" t="s">
        <v>1875</v>
      </c>
      <c r="H6" s="98">
        <v>2016.11</v>
      </c>
      <c r="I6" s="98">
        <v>972.17</v>
      </c>
      <c r="J6" s="98">
        <v>98428000000</v>
      </c>
      <c r="K6" s="98" t="s">
        <v>636</v>
      </c>
      <c r="L6" s="98" t="s">
        <v>589</v>
      </c>
    </row>
    <row r="7" spans="1:12" ht="16.5" customHeight="1">
      <c r="A7" s="98">
        <v>6</v>
      </c>
      <c r="B7" s="98" t="s">
        <v>1865</v>
      </c>
      <c r="C7" s="98">
        <v>67101</v>
      </c>
      <c r="D7" s="200" t="s">
        <v>566</v>
      </c>
      <c r="E7" s="98" t="s">
        <v>1876</v>
      </c>
      <c r="F7" s="98" t="s">
        <v>94</v>
      </c>
      <c r="G7" s="98" t="s">
        <v>1877</v>
      </c>
      <c r="H7" s="98">
        <v>2017.02</v>
      </c>
      <c r="I7" s="98">
        <v>961.6</v>
      </c>
      <c r="J7" s="98">
        <v>42320023926</v>
      </c>
      <c r="K7" s="98">
        <v>44010125387</v>
      </c>
      <c r="L7" s="98" t="s">
        <v>562</v>
      </c>
    </row>
    <row r="8" spans="1:12" ht="16.5" customHeight="1">
      <c r="A8" s="98">
        <v>7</v>
      </c>
      <c r="B8" s="98" t="s">
        <v>1865</v>
      </c>
      <c r="C8" s="98">
        <v>66431</v>
      </c>
      <c r="D8" s="200" t="s">
        <v>566</v>
      </c>
      <c r="E8" s="98" t="s">
        <v>1878</v>
      </c>
      <c r="F8" s="98" t="s">
        <v>94</v>
      </c>
      <c r="G8" s="98" t="s">
        <v>1879</v>
      </c>
      <c r="H8" s="98">
        <v>2019.09</v>
      </c>
      <c r="I8" s="98">
        <v>959.74</v>
      </c>
      <c r="J8" s="98">
        <v>134437170744</v>
      </c>
      <c r="K8" s="98">
        <v>140077346060</v>
      </c>
      <c r="L8" s="98" t="s">
        <v>562</v>
      </c>
    </row>
    <row r="9" spans="1:12" ht="16.5" customHeight="1">
      <c r="A9" s="98">
        <v>8</v>
      </c>
      <c r="B9" s="98" t="s">
        <v>1865</v>
      </c>
      <c r="C9" s="98">
        <v>28041</v>
      </c>
      <c r="D9" s="200" t="s">
        <v>566</v>
      </c>
      <c r="E9" s="98" t="s">
        <v>1880</v>
      </c>
      <c r="F9" s="98" t="s">
        <v>94</v>
      </c>
      <c r="G9" s="98" t="s">
        <v>1881</v>
      </c>
      <c r="H9" s="98">
        <v>2020.05</v>
      </c>
      <c r="I9" s="98">
        <v>1008.69</v>
      </c>
      <c r="J9" s="98">
        <v>24534023264</v>
      </c>
      <c r="K9" s="98">
        <v>24322774855</v>
      </c>
      <c r="L9" s="98" t="s">
        <v>589</v>
      </c>
    </row>
    <row r="10" spans="1:12" ht="16.5" customHeight="1">
      <c r="A10" s="98">
        <v>9</v>
      </c>
      <c r="B10" s="98" t="s">
        <v>1865</v>
      </c>
      <c r="C10" s="98">
        <v>66492</v>
      </c>
      <c r="D10" s="200" t="s">
        <v>566</v>
      </c>
      <c r="E10" s="98" t="s">
        <v>1882</v>
      </c>
      <c r="F10" s="98" t="s">
        <v>96</v>
      </c>
      <c r="G10" s="98" t="s">
        <v>1883</v>
      </c>
      <c r="H10" s="98">
        <v>2020.12</v>
      </c>
      <c r="I10" s="98">
        <v>880.15</v>
      </c>
      <c r="J10" s="98">
        <v>63774762356</v>
      </c>
      <c r="K10" s="98">
        <v>72459164350</v>
      </c>
      <c r="L10" s="98" t="s">
        <v>562</v>
      </c>
    </row>
    <row r="11" spans="1:12" ht="16.5" customHeight="1">
      <c r="A11" s="98">
        <v>10</v>
      </c>
      <c r="B11" s="98" t="s">
        <v>1865</v>
      </c>
      <c r="C11" s="98">
        <v>28019</v>
      </c>
      <c r="D11" s="200" t="s">
        <v>566</v>
      </c>
      <c r="E11" s="98" t="s">
        <v>1884</v>
      </c>
      <c r="F11" s="98" t="s">
        <v>93</v>
      </c>
      <c r="G11" s="98" t="s">
        <v>1885</v>
      </c>
      <c r="H11" s="98">
        <v>2015.09</v>
      </c>
      <c r="I11" s="98">
        <v>949.22</v>
      </c>
      <c r="J11" s="98">
        <v>212580735766</v>
      </c>
      <c r="K11" s="98">
        <v>223952560238</v>
      </c>
      <c r="L11" s="98" t="s">
        <v>562</v>
      </c>
    </row>
    <row r="12" spans="1:12" ht="16.5" customHeight="1">
      <c r="A12" s="98">
        <v>11</v>
      </c>
      <c r="B12" s="98" t="s">
        <v>1865</v>
      </c>
      <c r="C12" s="98">
        <v>66361</v>
      </c>
      <c r="D12" s="200" t="s">
        <v>566</v>
      </c>
      <c r="E12" s="98" t="s">
        <v>1886</v>
      </c>
      <c r="F12" s="98" t="s">
        <v>93</v>
      </c>
      <c r="G12" s="98" t="s">
        <v>1887</v>
      </c>
      <c r="H12" s="98">
        <v>2018.04</v>
      </c>
      <c r="I12" s="98">
        <v>777.99</v>
      </c>
      <c r="J12" s="98">
        <v>16291743229</v>
      </c>
      <c r="K12" s="98">
        <v>20940691126</v>
      </c>
      <c r="L12" s="98" t="s">
        <v>562</v>
      </c>
    </row>
    <row r="13" spans="1:12" ht="16.5" customHeight="1">
      <c r="A13" s="98">
        <v>12</v>
      </c>
      <c r="B13" s="98" t="s">
        <v>1865</v>
      </c>
      <c r="C13" s="98">
        <v>66441</v>
      </c>
      <c r="D13" s="200" t="s">
        <v>566</v>
      </c>
      <c r="E13" s="98" t="s">
        <v>1888</v>
      </c>
      <c r="F13" s="98" t="s">
        <v>94</v>
      </c>
      <c r="G13" s="98" t="s">
        <v>1889</v>
      </c>
      <c r="H13" s="98">
        <v>2020.01</v>
      </c>
      <c r="I13" s="98" t="s">
        <v>636</v>
      </c>
      <c r="J13" s="98" t="s">
        <v>636</v>
      </c>
      <c r="K13" s="98" t="s">
        <v>636</v>
      </c>
      <c r="L13" s="98" t="s">
        <v>589</v>
      </c>
    </row>
    <row r="14" spans="1:12" ht="16.5" customHeight="1">
      <c r="A14" s="98">
        <v>13</v>
      </c>
      <c r="B14" s="98" t="s">
        <v>1865</v>
      </c>
      <c r="C14" s="98">
        <v>66481</v>
      </c>
      <c r="D14" s="200" t="s">
        <v>566</v>
      </c>
      <c r="E14" s="98" t="s">
        <v>1890</v>
      </c>
      <c r="F14" s="98" t="s">
        <v>95</v>
      </c>
      <c r="G14" s="98" t="s">
        <v>1891</v>
      </c>
      <c r="H14" s="98">
        <v>2020.06</v>
      </c>
      <c r="I14" s="98" t="s">
        <v>636</v>
      </c>
      <c r="J14" s="98" t="s">
        <v>636</v>
      </c>
      <c r="K14" s="98" t="s">
        <v>636</v>
      </c>
      <c r="L14" s="98" t="s">
        <v>589</v>
      </c>
    </row>
    <row r="15" spans="1:12" ht="16.5" customHeight="1">
      <c r="A15" s="98">
        <v>14</v>
      </c>
      <c r="B15" s="98" t="s">
        <v>1865</v>
      </c>
      <c r="C15" s="98">
        <v>66482</v>
      </c>
      <c r="D15" s="200" t="s">
        <v>566</v>
      </c>
      <c r="E15" s="98" t="s">
        <v>1892</v>
      </c>
      <c r="F15" s="98" t="s">
        <v>95</v>
      </c>
      <c r="G15" s="98" t="s">
        <v>1893</v>
      </c>
      <c r="H15" s="98">
        <v>2020.06</v>
      </c>
      <c r="I15" s="98" t="s">
        <v>636</v>
      </c>
      <c r="J15" s="98" t="s">
        <v>636</v>
      </c>
      <c r="K15" s="98" t="s">
        <v>636</v>
      </c>
      <c r="L15" s="98" t="s">
        <v>589</v>
      </c>
    </row>
    <row r="16" spans="1:12" ht="16.5" customHeight="1">
      <c r="A16" s="98">
        <v>15</v>
      </c>
      <c r="B16" s="98" t="s">
        <v>1865</v>
      </c>
      <c r="C16" s="98">
        <v>66491</v>
      </c>
      <c r="D16" s="200" t="s">
        <v>566</v>
      </c>
      <c r="E16" s="98" t="s">
        <v>1894</v>
      </c>
      <c r="F16" s="98" t="s">
        <v>96</v>
      </c>
      <c r="G16" s="98" t="s">
        <v>1895</v>
      </c>
      <c r="H16" s="98">
        <v>2020.11</v>
      </c>
      <c r="I16" s="98" t="s">
        <v>636</v>
      </c>
      <c r="J16" s="98" t="s">
        <v>636</v>
      </c>
      <c r="K16" s="98" t="s">
        <v>636</v>
      </c>
      <c r="L16" s="98" t="s">
        <v>589</v>
      </c>
    </row>
    <row r="17" spans="1:12" ht="16.5" customHeight="1">
      <c r="A17" s="98">
        <v>16</v>
      </c>
      <c r="B17" s="98" t="s">
        <v>1865</v>
      </c>
      <c r="C17" s="98">
        <v>66451</v>
      </c>
      <c r="D17" s="200" t="s">
        <v>566</v>
      </c>
      <c r="E17" s="98" t="s">
        <v>1896</v>
      </c>
      <c r="F17" s="98" t="s">
        <v>94</v>
      </c>
      <c r="G17" s="98" t="s">
        <v>1897</v>
      </c>
      <c r="H17" s="98">
        <v>2020.02</v>
      </c>
      <c r="I17" s="98">
        <v>988.03</v>
      </c>
      <c r="J17" s="98">
        <v>12891968661</v>
      </c>
      <c r="K17" s="98">
        <v>13266419941</v>
      </c>
      <c r="L17" s="98" t="s">
        <v>589</v>
      </c>
    </row>
    <row r="18" spans="1:12" ht="16.5" customHeight="1">
      <c r="A18" s="98">
        <v>17</v>
      </c>
      <c r="B18" s="98" t="s">
        <v>1865</v>
      </c>
      <c r="C18" s="98">
        <v>67201</v>
      </c>
      <c r="D18" s="200" t="s">
        <v>566</v>
      </c>
      <c r="E18" s="98" t="s">
        <v>1898</v>
      </c>
      <c r="F18" s="98" t="s">
        <v>102</v>
      </c>
      <c r="G18" s="98" t="s">
        <v>1899</v>
      </c>
      <c r="H18" s="98">
        <v>2021.09</v>
      </c>
    </row>
    <row r="19" spans="1:12" ht="16.5" customHeight="1">
      <c r="A19" s="98">
        <v>18</v>
      </c>
      <c r="B19" s="98" t="s">
        <v>1865</v>
      </c>
      <c r="C19" s="98">
        <v>66501</v>
      </c>
      <c r="D19" s="200" t="s">
        <v>566</v>
      </c>
      <c r="E19" s="98" t="s">
        <v>1900</v>
      </c>
      <c r="F19" s="98" t="s">
        <v>102</v>
      </c>
      <c r="G19" s="98" t="s">
        <v>1901</v>
      </c>
      <c r="H19" s="98">
        <v>2023.03</v>
      </c>
      <c r="I19" s="98">
        <v>1000</v>
      </c>
      <c r="K19" s="98" t="s">
        <v>1902</v>
      </c>
    </row>
    <row r="20" spans="1:12" ht="16.5" customHeight="1">
      <c r="A20" s="98">
        <v>19</v>
      </c>
      <c r="B20" s="98" t="s">
        <v>1865</v>
      </c>
      <c r="C20" s="98">
        <v>66511</v>
      </c>
      <c r="D20" s="200" t="s">
        <v>566</v>
      </c>
      <c r="E20" s="98" t="s">
        <v>1903</v>
      </c>
      <c r="F20" s="98" t="s">
        <v>122</v>
      </c>
      <c r="G20" s="98" t="s">
        <v>1904</v>
      </c>
      <c r="H20" s="98">
        <v>2023.12</v>
      </c>
    </row>
    <row r="21" spans="1:12" ht="16.5" customHeight="1">
      <c r="A21" s="98">
        <v>20</v>
      </c>
      <c r="B21" s="98" t="s">
        <v>1865</v>
      </c>
      <c r="C21" s="98">
        <v>66422</v>
      </c>
      <c r="D21" s="200" t="s">
        <v>566</v>
      </c>
      <c r="E21" s="98" t="s">
        <v>1905</v>
      </c>
      <c r="F21" s="98" t="s">
        <v>102</v>
      </c>
      <c r="G21" s="98" t="s">
        <v>1906</v>
      </c>
      <c r="H21" s="98">
        <v>2024.08</v>
      </c>
      <c r="I21" s="98">
        <v>1000</v>
      </c>
    </row>
    <row r="22" spans="1:12" ht="16.5" customHeight="1">
      <c r="A22" s="98">
        <v>21</v>
      </c>
      <c r="B22" s="98" t="s">
        <v>1865</v>
      </c>
      <c r="C22" s="98">
        <v>66551</v>
      </c>
      <c r="D22" s="200" t="s">
        <v>566</v>
      </c>
      <c r="E22" s="98" t="s">
        <v>1907</v>
      </c>
      <c r="F22" s="98" t="s">
        <v>102</v>
      </c>
      <c r="G22" s="98" t="s">
        <v>1908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1865</v>
      </c>
      <c r="C23" s="98">
        <v>66591</v>
      </c>
      <c r="D23" s="200" t="s">
        <v>566</v>
      </c>
      <c r="E23" s="98" t="s">
        <v>1909</v>
      </c>
      <c r="F23" s="98" t="s">
        <v>102</v>
      </c>
      <c r="G23" s="98" t="s">
        <v>1910</v>
      </c>
      <c r="H23" s="98">
        <v>2025.01</v>
      </c>
    </row>
    <row r="24" spans="1:12" ht="16.5" customHeight="1">
      <c r="A24" s="98">
        <v>23</v>
      </c>
      <c r="B24" s="98" t="s">
        <v>1865</v>
      </c>
      <c r="C24" s="98">
        <v>66621</v>
      </c>
      <c r="D24" s="200" t="s">
        <v>566</v>
      </c>
      <c r="E24" s="98" t="s">
        <v>1911</v>
      </c>
      <c r="F24" s="98" t="s">
        <v>102</v>
      </c>
      <c r="G24" s="98" t="s">
        <v>1912</v>
      </c>
      <c r="H24" s="98">
        <v>2025.04</v>
      </c>
      <c r="I24" s="98">
        <v>995</v>
      </c>
    </row>
    <row r="25" spans="1:12" ht="16.5" customHeight="1">
      <c r="A25" s="98">
        <v>24</v>
      </c>
      <c r="B25" s="98" t="s">
        <v>1865</v>
      </c>
      <c r="C25" s="98">
        <v>66581</v>
      </c>
      <c r="D25" s="200" t="s">
        <v>566</v>
      </c>
      <c r="E25" s="98" t="s">
        <v>1913</v>
      </c>
      <c r="F25" s="98" t="s">
        <v>102</v>
      </c>
      <c r="G25" s="98" t="s">
        <v>1914</v>
      </c>
      <c r="H25" s="98">
        <v>2025.02</v>
      </c>
      <c r="I25" s="98">
        <v>1005</v>
      </c>
    </row>
    <row r="26" spans="1:12" ht="16.5" customHeight="1">
      <c r="A26" s="98">
        <v>25</v>
      </c>
      <c r="B26" s="98" t="s">
        <v>1865</v>
      </c>
      <c r="C26" s="98">
        <v>66622</v>
      </c>
      <c r="D26" s="200" t="s">
        <v>566</v>
      </c>
      <c r="E26" s="98" t="s">
        <v>1915</v>
      </c>
      <c r="F26" s="98" t="s">
        <v>102</v>
      </c>
      <c r="G26" s="98" t="s">
        <v>1916</v>
      </c>
      <c r="H26" s="98">
        <v>2025.11</v>
      </c>
      <c r="I26" s="98">
        <v>1000</v>
      </c>
    </row>
    <row r="27" spans="1:12" ht="16.5" customHeight="1">
      <c r="A27" s="98">
        <v>26</v>
      </c>
      <c r="B27" s="98" t="s">
        <v>1865</v>
      </c>
      <c r="C27" s="98">
        <v>66721</v>
      </c>
      <c r="D27" s="200" t="s">
        <v>566</v>
      </c>
      <c r="E27" s="98" t="s">
        <v>1917</v>
      </c>
      <c r="F27" s="98" t="s">
        <v>102</v>
      </c>
      <c r="G27" s="98" t="s">
        <v>1918</v>
      </c>
    </row>
    <row r="28" spans="1:12" ht="16.5" customHeight="1">
      <c r="A28" s="98">
        <v>27</v>
      </c>
      <c r="B28" s="98" t="s">
        <v>1865</v>
      </c>
      <c r="C28" s="98">
        <v>66712</v>
      </c>
      <c r="D28" s="200" t="s">
        <v>566</v>
      </c>
      <c r="E28" s="98" t="s">
        <v>1919</v>
      </c>
      <c r="F28" s="98" t="s">
        <v>102</v>
      </c>
      <c r="G28" s="98" t="s">
        <v>1920</v>
      </c>
    </row>
    <row r="40" spans="2:12" ht="16.5" customHeight="1">
      <c r="B40" s="98" t="s">
        <v>1865</v>
      </c>
      <c r="C40" s="98">
        <v>28032</v>
      </c>
      <c r="D40" s="200" t="s">
        <v>566</v>
      </c>
      <c r="E40" s="98" t="s">
        <v>697</v>
      </c>
      <c r="F40" s="98" t="s">
        <v>94</v>
      </c>
      <c r="G40" s="200" t="s">
        <v>1921</v>
      </c>
      <c r="H40" s="98">
        <v>2019.09</v>
      </c>
      <c r="I40" s="98" t="s">
        <v>636</v>
      </c>
      <c r="J40" s="98" t="s">
        <v>636</v>
      </c>
      <c r="K40" s="98" t="s">
        <v>636</v>
      </c>
      <c r="L40" s="98" t="s">
        <v>589</v>
      </c>
    </row>
    <row r="41" spans="2:12" ht="16.5" customHeight="1">
      <c r="B41" s="98" t="s">
        <v>1865</v>
      </c>
      <c r="C41" s="98">
        <v>30202</v>
      </c>
      <c r="D41" s="200" t="s">
        <v>566</v>
      </c>
      <c r="E41" s="98" t="s">
        <v>697</v>
      </c>
      <c r="F41" s="98" t="s">
        <v>94</v>
      </c>
      <c r="G41" s="98" t="s">
        <v>1922</v>
      </c>
      <c r="H41" s="98">
        <v>2019.1</v>
      </c>
      <c r="I41" s="98" t="s">
        <v>636</v>
      </c>
      <c r="J41" s="98" t="s">
        <v>636</v>
      </c>
      <c r="K41" s="98" t="s">
        <v>636</v>
      </c>
      <c r="L41" s="98" t="s">
        <v>589</v>
      </c>
    </row>
    <row r="42" spans="2:12" ht="16.5" customHeight="1">
      <c r="B42" s="98" t="s">
        <v>1865</v>
      </c>
      <c r="C42" s="98">
        <v>36601</v>
      </c>
      <c r="D42" s="200" t="s">
        <v>566</v>
      </c>
      <c r="E42" s="98" t="s">
        <v>697</v>
      </c>
      <c r="F42" s="98" t="s">
        <v>98</v>
      </c>
      <c r="G42" s="98" t="s">
        <v>1923</v>
      </c>
      <c r="H42" s="98">
        <v>2023.05</v>
      </c>
      <c r="I42" s="98">
        <v>1000</v>
      </c>
      <c r="J42" s="98" t="s">
        <v>1924</v>
      </c>
      <c r="K42" s="98" t="s">
        <v>1902</v>
      </c>
    </row>
    <row r="43" spans="2:12" ht="16.5" customHeight="1">
      <c r="B43" s="98" t="s">
        <v>1865</v>
      </c>
      <c r="C43" s="98">
        <v>66001</v>
      </c>
      <c r="D43" s="200" t="s">
        <v>566</v>
      </c>
      <c r="E43" s="98" t="s">
        <v>697</v>
      </c>
      <c r="F43" s="98" t="s">
        <v>94</v>
      </c>
      <c r="G43" s="98" t="s">
        <v>1925</v>
      </c>
      <c r="H43" s="98">
        <v>2019.1</v>
      </c>
      <c r="I43" s="98" t="s">
        <v>636</v>
      </c>
      <c r="J43" s="98" t="s">
        <v>636</v>
      </c>
      <c r="K43" s="98" t="s">
        <v>636</v>
      </c>
      <c r="L43" s="98" t="s">
        <v>589</v>
      </c>
    </row>
    <row r="44" spans="2:12" ht="16.5" customHeight="1">
      <c r="B44" s="98" t="s">
        <v>1865</v>
      </c>
      <c r="C44" s="98">
        <v>66311</v>
      </c>
      <c r="D44" s="200" t="s">
        <v>566</v>
      </c>
      <c r="E44" s="98" t="s">
        <v>697</v>
      </c>
      <c r="F44" s="98" t="s">
        <v>94</v>
      </c>
      <c r="G44" s="98" t="s">
        <v>1926</v>
      </c>
      <c r="H44" s="98">
        <v>2017.07</v>
      </c>
      <c r="I44" s="98" t="s">
        <v>636</v>
      </c>
      <c r="J44" s="98" t="s">
        <v>636</v>
      </c>
      <c r="K44" s="98" t="s">
        <v>636</v>
      </c>
      <c r="L44" s="98" t="s">
        <v>589</v>
      </c>
    </row>
    <row r="45" spans="2:12" ht="16.5" customHeight="1">
      <c r="B45" s="98" t="s">
        <v>1865</v>
      </c>
      <c r="C45" s="98">
        <v>66381</v>
      </c>
      <c r="D45" s="200" t="s">
        <v>566</v>
      </c>
      <c r="E45" s="98" t="s">
        <v>697</v>
      </c>
      <c r="F45" s="98" t="s">
        <v>94</v>
      </c>
      <c r="G45" s="98" t="s">
        <v>1927</v>
      </c>
      <c r="H45" s="98">
        <v>2019.1</v>
      </c>
      <c r="I45" s="98">
        <v>1004.25</v>
      </c>
      <c r="J45" s="98">
        <v>29690104607</v>
      </c>
      <c r="K45" s="98">
        <v>29564478308</v>
      </c>
      <c r="L45" s="98" t="s">
        <v>589</v>
      </c>
    </row>
    <row r="46" spans="2:12" ht="16.5" customHeight="1">
      <c r="B46" s="98" t="s">
        <v>1865</v>
      </c>
      <c r="C46" s="98">
        <v>66471</v>
      </c>
      <c r="D46" s="200" t="s">
        <v>566</v>
      </c>
      <c r="E46" s="98" t="s">
        <v>697</v>
      </c>
      <c r="F46" s="98" t="s">
        <v>95</v>
      </c>
      <c r="G46" s="98" t="s">
        <v>1928</v>
      </c>
      <c r="H46" s="98">
        <v>2019.1</v>
      </c>
      <c r="I46" s="98" t="s">
        <v>636</v>
      </c>
      <c r="J46" s="98" t="s">
        <v>636</v>
      </c>
      <c r="K46" s="98" t="s">
        <v>636</v>
      </c>
      <c r="L46" s="98" t="s">
        <v>589</v>
      </c>
    </row>
    <row r="47" spans="2:12" ht="16.5" customHeight="1">
      <c r="B47" s="98" t="s">
        <v>1865</v>
      </c>
      <c r="C47" s="98">
        <v>28036</v>
      </c>
      <c r="D47" s="200" t="s">
        <v>566</v>
      </c>
      <c r="E47" s="98" t="s">
        <v>1929</v>
      </c>
      <c r="F47" s="98" t="s">
        <v>94</v>
      </c>
      <c r="G47" s="98" t="s">
        <v>1930</v>
      </c>
      <c r="H47" s="98">
        <v>2019.1</v>
      </c>
      <c r="I47" s="98">
        <v>1006.75</v>
      </c>
      <c r="J47" s="98">
        <v>4766721307</v>
      </c>
      <c r="K47" s="98">
        <v>4734783238</v>
      </c>
      <c r="L47" s="98" t="s">
        <v>589</v>
      </c>
    </row>
    <row r="48" spans="2:12" ht="16.5" customHeight="1">
      <c r="B48" s="98" t="s">
        <v>1865</v>
      </c>
      <c r="C48" s="98">
        <v>28035</v>
      </c>
      <c r="D48" s="200" t="s">
        <v>566</v>
      </c>
      <c r="E48" s="98" t="s">
        <v>1931</v>
      </c>
      <c r="F48" s="98" t="s">
        <v>94</v>
      </c>
      <c r="G48" s="98" t="s">
        <v>1932</v>
      </c>
      <c r="H48" s="98">
        <v>2019.1</v>
      </c>
      <c r="I48" s="98" t="s">
        <v>636</v>
      </c>
      <c r="J48" s="98" t="s">
        <v>636</v>
      </c>
      <c r="K48" s="98" t="s">
        <v>636</v>
      </c>
      <c r="L48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1"/>
  <dimension ref="A1:M44"/>
  <sheetViews>
    <sheetView zoomScaleNormal="100" workbookViewId="0"/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200" t="s">
        <v>1933</v>
      </c>
      <c r="M1" s="98" t="s">
        <v>705</v>
      </c>
    </row>
    <row r="2" spans="1:13" ht="16.5" customHeight="1">
      <c r="A2" s="98">
        <v>1</v>
      </c>
      <c r="B2" s="98" t="s">
        <v>1934</v>
      </c>
      <c r="C2" s="98" t="s">
        <v>1935</v>
      </c>
      <c r="D2" s="200" t="s">
        <v>566</v>
      </c>
      <c r="E2" s="98" t="s">
        <v>1936</v>
      </c>
      <c r="F2" s="98" t="s">
        <v>95</v>
      </c>
      <c r="G2" s="98" t="s">
        <v>1937</v>
      </c>
      <c r="H2" s="98" t="s">
        <v>1938</v>
      </c>
      <c r="J2" s="98">
        <v>51892240365</v>
      </c>
    </row>
    <row r="3" spans="1:13" ht="16.5" customHeight="1">
      <c r="A3" s="98">
        <v>2</v>
      </c>
      <c r="B3" s="98" t="s">
        <v>1934</v>
      </c>
      <c r="C3" s="98" t="s">
        <v>1939</v>
      </c>
      <c r="D3" s="200" t="s">
        <v>566</v>
      </c>
      <c r="E3" s="98" t="s">
        <v>1940</v>
      </c>
      <c r="F3" s="98" t="s">
        <v>96</v>
      </c>
      <c r="G3" s="98" t="s">
        <v>1941</v>
      </c>
      <c r="H3" s="98" t="s">
        <v>1942</v>
      </c>
      <c r="J3" s="98">
        <v>28413957321</v>
      </c>
    </row>
    <row r="4" spans="1:13" ht="16.5" customHeight="1">
      <c r="A4" s="98">
        <v>3</v>
      </c>
      <c r="B4" s="98" t="s">
        <v>1934</v>
      </c>
      <c r="C4" s="98" t="s">
        <v>1943</v>
      </c>
      <c r="D4" s="200" t="s">
        <v>566</v>
      </c>
      <c r="E4" s="98" t="s">
        <v>1944</v>
      </c>
      <c r="F4" s="98" t="s">
        <v>95</v>
      </c>
      <c r="G4" s="98" t="s">
        <v>1945</v>
      </c>
      <c r="H4" s="98" t="s">
        <v>1946</v>
      </c>
      <c r="I4" s="98">
        <v>1085.78</v>
      </c>
      <c r="J4" s="98">
        <v>117187547681</v>
      </c>
      <c r="K4" s="98">
        <v>107929565849</v>
      </c>
      <c r="M4" s="98" t="s">
        <v>562</v>
      </c>
    </row>
    <row r="5" spans="1:13" ht="16.5" customHeight="1">
      <c r="A5" s="98">
        <v>4</v>
      </c>
      <c r="B5" s="98" t="s">
        <v>1934</v>
      </c>
      <c r="C5" s="98" t="s">
        <v>1947</v>
      </c>
      <c r="D5" s="200" t="s">
        <v>566</v>
      </c>
      <c r="E5" s="98" t="s">
        <v>1948</v>
      </c>
      <c r="F5" s="98" t="s">
        <v>95</v>
      </c>
      <c r="G5" s="98" t="s">
        <v>1949</v>
      </c>
      <c r="H5" s="98" t="s">
        <v>1946</v>
      </c>
      <c r="I5" s="98">
        <v>1181.3900000000001</v>
      </c>
      <c r="J5" s="98">
        <v>23732579034</v>
      </c>
      <c r="K5" s="98">
        <v>20088768543</v>
      </c>
      <c r="M5" s="98" t="s">
        <v>562</v>
      </c>
    </row>
    <row r="6" spans="1:13" ht="16.5" customHeight="1">
      <c r="A6" s="98">
        <v>5</v>
      </c>
      <c r="B6" s="98" t="s">
        <v>1934</v>
      </c>
      <c r="C6" s="98" t="s">
        <v>1950</v>
      </c>
      <c r="D6" s="200" t="s">
        <v>566</v>
      </c>
      <c r="E6" s="98" t="s">
        <v>1951</v>
      </c>
      <c r="F6" s="98" t="s">
        <v>95</v>
      </c>
      <c r="G6" s="98" t="s">
        <v>1952</v>
      </c>
      <c r="H6" s="98" t="s">
        <v>1953</v>
      </c>
      <c r="I6" s="98">
        <v>1051.57</v>
      </c>
      <c r="J6" s="98">
        <v>54628486001</v>
      </c>
      <c r="K6" s="98">
        <v>51949475884</v>
      </c>
      <c r="M6" s="98" t="s">
        <v>562</v>
      </c>
    </row>
    <row r="7" spans="1:13" ht="16.5" customHeight="1">
      <c r="A7" s="98">
        <v>6</v>
      </c>
      <c r="B7" s="98" t="s">
        <v>1934</v>
      </c>
      <c r="C7" s="98" t="s">
        <v>1954</v>
      </c>
      <c r="D7" s="200" t="s">
        <v>566</v>
      </c>
      <c r="E7" s="98" t="s">
        <v>1955</v>
      </c>
      <c r="F7" s="98" t="s">
        <v>98</v>
      </c>
      <c r="G7" s="98" t="s">
        <v>1956</v>
      </c>
      <c r="H7" s="98" t="s">
        <v>1957</v>
      </c>
      <c r="I7" s="98">
        <v>1011.08</v>
      </c>
      <c r="J7" s="98">
        <v>7736011644</v>
      </c>
      <c r="K7" s="98">
        <v>7651240442</v>
      </c>
      <c r="M7" s="98" t="s">
        <v>562</v>
      </c>
    </row>
    <row r="8" spans="1:13" ht="16.5" customHeight="1">
      <c r="A8" s="98">
        <v>7</v>
      </c>
      <c r="B8" s="98" t="s">
        <v>1934</v>
      </c>
      <c r="C8" s="98" t="s">
        <v>1958</v>
      </c>
      <c r="D8" s="200" t="s">
        <v>566</v>
      </c>
      <c r="E8" s="98" t="s">
        <v>1959</v>
      </c>
      <c r="F8" s="98" t="s">
        <v>102</v>
      </c>
      <c r="G8" s="98" t="s">
        <v>1960</v>
      </c>
      <c r="H8" s="98" t="s">
        <v>1961</v>
      </c>
      <c r="I8" s="98">
        <v>1000</v>
      </c>
    </row>
    <row r="9" spans="1:13" ht="16.5" customHeight="1">
      <c r="A9" s="98">
        <v>8</v>
      </c>
      <c r="B9" s="98" t="s">
        <v>1934</v>
      </c>
      <c r="C9" s="98" t="s">
        <v>1962</v>
      </c>
      <c r="D9" s="200" t="s">
        <v>566</v>
      </c>
      <c r="E9" s="98" t="s">
        <v>1963</v>
      </c>
      <c r="F9" s="98" t="s">
        <v>102</v>
      </c>
      <c r="G9" s="98" t="s">
        <v>1964</v>
      </c>
      <c r="H9" s="98" t="s">
        <v>1961</v>
      </c>
      <c r="I9" s="98">
        <v>1003.83</v>
      </c>
      <c r="J9" s="98">
        <v>37724737678</v>
      </c>
      <c r="K9" s="98">
        <v>37580987594</v>
      </c>
      <c r="M9" s="98" t="s">
        <v>562</v>
      </c>
    </row>
    <row r="10" spans="1:13" ht="16.5" customHeight="1">
      <c r="A10" s="98">
        <v>9</v>
      </c>
      <c r="B10" s="98" t="s">
        <v>1934</v>
      </c>
      <c r="C10" s="98" t="s">
        <v>1965</v>
      </c>
      <c r="D10" s="200" t="s">
        <v>566</v>
      </c>
      <c r="E10" s="98" t="s">
        <v>1966</v>
      </c>
      <c r="F10" s="98" t="s">
        <v>102</v>
      </c>
      <c r="G10" s="98" t="s">
        <v>1967</v>
      </c>
      <c r="H10" s="98" t="s">
        <v>1961</v>
      </c>
      <c r="I10" s="98">
        <v>1000</v>
      </c>
    </row>
    <row r="11" spans="1:13" ht="16.5" customHeight="1">
      <c r="A11" s="98">
        <v>10</v>
      </c>
      <c r="B11" s="98" t="s">
        <v>1934</v>
      </c>
      <c r="C11" s="98" t="s">
        <v>1968</v>
      </c>
      <c r="D11" s="200" t="s">
        <v>566</v>
      </c>
      <c r="E11" s="98" t="s">
        <v>1969</v>
      </c>
      <c r="F11" s="98" t="s">
        <v>98</v>
      </c>
      <c r="G11" s="98" t="s">
        <v>1970</v>
      </c>
      <c r="I11" s="98">
        <v>1000</v>
      </c>
      <c r="L11" s="200" t="s">
        <v>1971</v>
      </c>
    </row>
    <row r="12" spans="1:13" ht="16.5" customHeight="1">
      <c r="A12" s="98">
        <v>11</v>
      </c>
      <c r="B12" s="98" t="s">
        <v>1934</v>
      </c>
      <c r="C12" s="98" t="s">
        <v>1972</v>
      </c>
      <c r="D12" s="200" t="s">
        <v>566</v>
      </c>
      <c r="E12" s="98" t="s">
        <v>1973</v>
      </c>
      <c r="F12" s="98" t="s">
        <v>98</v>
      </c>
      <c r="G12" s="98" t="s">
        <v>1974</v>
      </c>
      <c r="I12" s="98">
        <v>1000</v>
      </c>
      <c r="L12" s="200" t="s">
        <v>1971</v>
      </c>
    </row>
    <row r="13" spans="1:13" ht="16.5" customHeight="1">
      <c r="A13" s="98">
        <v>12</v>
      </c>
      <c r="B13" s="98" t="s">
        <v>1934</v>
      </c>
      <c r="C13" s="98" t="s">
        <v>1975</v>
      </c>
      <c r="D13" s="200" t="s">
        <v>566</v>
      </c>
      <c r="E13" s="98" t="s">
        <v>1976</v>
      </c>
      <c r="F13" s="98" t="s">
        <v>98</v>
      </c>
      <c r="G13" s="98" t="s">
        <v>1977</v>
      </c>
      <c r="I13" s="98">
        <v>1000</v>
      </c>
      <c r="L13" s="200" t="s">
        <v>1971</v>
      </c>
    </row>
    <row r="14" spans="1:13" ht="16.5" customHeight="1">
      <c r="A14" s="98">
        <v>13</v>
      </c>
      <c r="B14" s="98" t="s">
        <v>1934</v>
      </c>
      <c r="C14" s="98" t="s">
        <v>1978</v>
      </c>
      <c r="D14" s="200" t="s">
        <v>566</v>
      </c>
      <c r="E14" s="98" t="s">
        <v>1979</v>
      </c>
      <c r="F14" s="98" t="s">
        <v>98</v>
      </c>
      <c r="G14" s="98" t="s">
        <v>1980</v>
      </c>
      <c r="H14" s="98" t="s">
        <v>1981</v>
      </c>
      <c r="I14" s="98">
        <v>1000</v>
      </c>
    </row>
    <row r="15" spans="1:13" ht="16.5" customHeight="1">
      <c r="A15" s="98">
        <v>14</v>
      </c>
      <c r="B15" s="98" t="s">
        <v>1934</v>
      </c>
      <c r="C15" s="98" t="s">
        <v>1982</v>
      </c>
      <c r="D15" s="200" t="s">
        <v>566</v>
      </c>
      <c r="E15" s="98" t="s">
        <v>1983</v>
      </c>
      <c r="F15" s="98" t="s">
        <v>98</v>
      </c>
      <c r="G15" s="98" t="s">
        <v>1984</v>
      </c>
      <c r="H15" s="98" t="s">
        <v>1981</v>
      </c>
      <c r="I15" s="98">
        <v>1000</v>
      </c>
      <c r="M15" s="98" t="s">
        <v>562</v>
      </c>
    </row>
    <row r="16" spans="1:13" ht="16.5" customHeight="1">
      <c r="A16" s="98">
        <v>15</v>
      </c>
      <c r="B16" s="98" t="s">
        <v>1934</v>
      </c>
      <c r="C16" s="98" t="s">
        <v>1985</v>
      </c>
      <c r="D16" s="200" t="s">
        <v>566</v>
      </c>
      <c r="E16" s="98" t="s">
        <v>1986</v>
      </c>
      <c r="F16" s="98" t="s">
        <v>98</v>
      </c>
      <c r="G16" s="98" t="s">
        <v>1987</v>
      </c>
      <c r="H16" s="98" t="s">
        <v>1981</v>
      </c>
      <c r="I16" s="98">
        <v>1000</v>
      </c>
    </row>
    <row r="17" spans="1:12" ht="16.5" customHeight="1">
      <c r="A17" s="98">
        <v>16</v>
      </c>
      <c r="B17" s="98" t="s">
        <v>1934</v>
      </c>
      <c r="C17" s="98" t="s">
        <v>1988</v>
      </c>
      <c r="D17" s="200" t="s">
        <v>566</v>
      </c>
      <c r="E17" s="98" t="s">
        <v>1989</v>
      </c>
      <c r="F17" s="98" t="s">
        <v>98</v>
      </c>
      <c r="G17" s="98" t="s">
        <v>1990</v>
      </c>
      <c r="H17" s="98" t="s">
        <v>1991</v>
      </c>
      <c r="I17" s="98">
        <v>1000</v>
      </c>
      <c r="L17" s="200" t="s">
        <v>1971</v>
      </c>
    </row>
    <row r="18" spans="1:12" ht="16.5" customHeight="1">
      <c r="A18" s="98">
        <v>17</v>
      </c>
      <c r="B18" s="98" t="s">
        <v>1934</v>
      </c>
      <c r="C18" s="98" t="s">
        <v>1992</v>
      </c>
      <c r="D18" s="200" t="s">
        <v>566</v>
      </c>
      <c r="E18" s="98" t="s">
        <v>1993</v>
      </c>
      <c r="F18" s="98" t="s">
        <v>98</v>
      </c>
      <c r="G18" s="98" t="s">
        <v>1994</v>
      </c>
      <c r="H18" s="98" t="s">
        <v>1995</v>
      </c>
      <c r="I18" s="98">
        <v>1000</v>
      </c>
    </row>
    <row r="19" spans="1:12" ht="16.5" customHeight="1">
      <c r="A19" s="98">
        <v>18</v>
      </c>
      <c r="B19" s="98" t="s">
        <v>1934</v>
      </c>
      <c r="C19" s="98" t="s">
        <v>1996</v>
      </c>
      <c r="D19" s="200" t="s">
        <v>566</v>
      </c>
      <c r="E19" s="98" t="s">
        <v>1997</v>
      </c>
      <c r="F19" s="98" t="s">
        <v>467</v>
      </c>
      <c r="G19" s="98" t="s">
        <v>1998</v>
      </c>
      <c r="I19" s="98">
        <v>1000</v>
      </c>
    </row>
    <row r="20" spans="1:12" ht="16.5" customHeight="1">
      <c r="A20" s="98">
        <v>19</v>
      </c>
      <c r="B20" s="98" t="s">
        <v>1934</v>
      </c>
      <c r="C20" s="98" t="s">
        <v>1999</v>
      </c>
      <c r="D20" s="200" t="s">
        <v>566</v>
      </c>
      <c r="E20" s="98" t="s">
        <v>2000</v>
      </c>
      <c r="F20" s="98" t="s">
        <v>98</v>
      </c>
      <c r="G20" s="98" t="s">
        <v>2001</v>
      </c>
      <c r="H20" s="98">
        <v>2024.05</v>
      </c>
      <c r="I20" s="98">
        <v>1000</v>
      </c>
    </row>
    <row r="21" spans="1:12" ht="16.5" customHeight="1">
      <c r="A21" s="98">
        <v>20</v>
      </c>
      <c r="B21" s="98" t="s">
        <v>1934</v>
      </c>
      <c r="C21" s="98" t="s">
        <v>2002</v>
      </c>
      <c r="D21" s="200" t="s">
        <v>566</v>
      </c>
      <c r="E21" s="98" t="s">
        <v>2003</v>
      </c>
      <c r="F21" s="98" t="s">
        <v>98</v>
      </c>
      <c r="G21" s="98" t="s">
        <v>2004</v>
      </c>
      <c r="I21" s="98">
        <v>1000</v>
      </c>
      <c r="L21" s="200" t="s">
        <v>1971</v>
      </c>
    </row>
    <row r="22" spans="1:12" ht="16.5" customHeight="1">
      <c r="A22" s="98">
        <v>21</v>
      </c>
      <c r="B22" s="98" t="s">
        <v>1934</v>
      </c>
      <c r="C22" s="98" t="s">
        <v>2005</v>
      </c>
      <c r="D22" s="200" t="s">
        <v>566</v>
      </c>
      <c r="E22" s="98" t="s">
        <v>2006</v>
      </c>
      <c r="F22" s="98" t="s">
        <v>467</v>
      </c>
      <c r="G22" s="98" t="s">
        <v>2007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1934</v>
      </c>
      <c r="C23" s="98" t="s">
        <v>2008</v>
      </c>
      <c r="D23" s="200" t="s">
        <v>566</v>
      </c>
      <c r="E23" s="98" t="s">
        <v>2009</v>
      </c>
      <c r="F23" s="98" t="s">
        <v>98</v>
      </c>
      <c r="G23" s="98" t="s">
        <v>2010</v>
      </c>
      <c r="H23" s="98">
        <v>2024.07</v>
      </c>
    </row>
    <row r="24" spans="1:12" ht="16.5" customHeight="1">
      <c r="A24" s="98">
        <v>23</v>
      </c>
      <c r="B24" s="98" t="s">
        <v>1934</v>
      </c>
      <c r="C24" s="98" t="s">
        <v>2011</v>
      </c>
      <c r="D24" s="200" t="s">
        <v>566</v>
      </c>
      <c r="E24" s="98" t="s">
        <v>2012</v>
      </c>
      <c r="F24" s="98" t="s">
        <v>467</v>
      </c>
      <c r="G24" s="98" t="s">
        <v>2013</v>
      </c>
      <c r="H24" s="98">
        <v>2024.08</v>
      </c>
    </row>
    <row r="25" spans="1:12" ht="16.5" customHeight="1">
      <c r="A25" s="98">
        <v>24</v>
      </c>
      <c r="B25" s="98" t="s">
        <v>1934</v>
      </c>
      <c r="C25" s="98" t="s">
        <v>2014</v>
      </c>
      <c r="D25" s="200" t="s">
        <v>566</v>
      </c>
      <c r="E25" s="98" t="s">
        <v>2015</v>
      </c>
      <c r="F25" s="98" t="s">
        <v>98</v>
      </c>
      <c r="G25" s="98" t="s">
        <v>2016</v>
      </c>
      <c r="H25" s="98" t="s">
        <v>2017</v>
      </c>
    </row>
    <row r="26" spans="1:12" ht="16.5" customHeight="1">
      <c r="A26" s="98">
        <v>25</v>
      </c>
      <c r="B26" s="98" t="s">
        <v>1934</v>
      </c>
      <c r="C26" s="98" t="s">
        <v>2018</v>
      </c>
      <c r="D26" s="200" t="s">
        <v>566</v>
      </c>
      <c r="E26" s="98" t="s">
        <v>2019</v>
      </c>
      <c r="F26" s="98" t="s">
        <v>98</v>
      </c>
      <c r="G26" s="98" t="s">
        <v>2020</v>
      </c>
      <c r="H26" s="98" t="s">
        <v>2021</v>
      </c>
    </row>
    <row r="27" spans="1:12" ht="16.5" customHeight="1">
      <c r="A27" s="98">
        <v>26</v>
      </c>
      <c r="B27" s="98" t="s">
        <v>1934</v>
      </c>
      <c r="C27" s="98" t="s">
        <v>2022</v>
      </c>
      <c r="D27" s="200" t="s">
        <v>566</v>
      </c>
      <c r="E27" s="98" t="s">
        <v>2023</v>
      </c>
      <c r="F27" s="98" t="s">
        <v>98</v>
      </c>
      <c r="G27" s="98" t="s">
        <v>2024</v>
      </c>
      <c r="H27" s="98" t="s">
        <v>2021</v>
      </c>
    </row>
    <row r="28" spans="1:12" ht="16.5" customHeight="1">
      <c r="A28" s="98">
        <v>27</v>
      </c>
      <c r="B28" s="98" t="s">
        <v>1934</v>
      </c>
      <c r="C28" s="98" t="s">
        <v>2025</v>
      </c>
      <c r="D28" s="200" t="s">
        <v>566</v>
      </c>
      <c r="E28" s="98" t="s">
        <v>2026</v>
      </c>
      <c r="F28" s="98" t="s">
        <v>98</v>
      </c>
      <c r="G28" s="98" t="s">
        <v>2027</v>
      </c>
      <c r="H28" s="98">
        <v>2024.08</v>
      </c>
    </row>
    <row r="29" spans="1:12" ht="16.5" customHeight="1">
      <c r="A29" s="98">
        <v>28</v>
      </c>
      <c r="B29" s="98" t="s">
        <v>1934</v>
      </c>
      <c r="C29" s="98" t="s">
        <v>2028</v>
      </c>
      <c r="D29" s="200" t="s">
        <v>566</v>
      </c>
      <c r="E29" s="98" t="s">
        <v>2029</v>
      </c>
      <c r="F29" s="98" t="s">
        <v>98</v>
      </c>
      <c r="G29" s="98" t="s">
        <v>2030</v>
      </c>
      <c r="H29" s="98">
        <v>2025.01</v>
      </c>
    </row>
    <row r="30" spans="1:12" ht="16.5" customHeight="1">
      <c r="A30" s="98">
        <v>29</v>
      </c>
      <c r="B30" s="98" t="s">
        <v>1934</v>
      </c>
      <c r="C30" s="98" t="s">
        <v>2031</v>
      </c>
      <c r="D30" s="200" t="s">
        <v>566</v>
      </c>
      <c r="E30" s="98" t="s">
        <v>2032</v>
      </c>
      <c r="F30" s="98" t="s">
        <v>98</v>
      </c>
      <c r="G30" s="98" t="s">
        <v>2033</v>
      </c>
      <c r="H30" s="98">
        <v>2025.03</v>
      </c>
    </row>
    <row r="31" spans="1:12" ht="16.5" customHeight="1">
      <c r="A31" s="98">
        <v>30</v>
      </c>
      <c r="B31" s="98" t="s">
        <v>1934</v>
      </c>
      <c r="C31" s="98" t="s">
        <v>2034</v>
      </c>
      <c r="D31" s="200" t="s">
        <v>566</v>
      </c>
      <c r="E31" s="98" t="s">
        <v>2035</v>
      </c>
      <c r="F31" s="98" t="s">
        <v>467</v>
      </c>
      <c r="G31" s="98" t="s">
        <v>2036</v>
      </c>
      <c r="H31" s="98">
        <v>2025.03</v>
      </c>
    </row>
    <row r="32" spans="1:12" ht="16.5" customHeight="1">
      <c r="A32" s="98">
        <v>31</v>
      </c>
      <c r="B32" s="98" t="s">
        <v>1934</v>
      </c>
      <c r="C32" s="98" t="s">
        <v>2037</v>
      </c>
      <c r="D32" s="200" t="s">
        <v>566</v>
      </c>
      <c r="E32" s="98" t="s">
        <v>2038</v>
      </c>
      <c r="F32" s="98" t="s">
        <v>98</v>
      </c>
      <c r="G32" s="98" t="s">
        <v>2039</v>
      </c>
      <c r="H32" s="98">
        <v>2025.04</v>
      </c>
    </row>
    <row r="33" spans="1:9" ht="16.5" customHeight="1">
      <c r="A33" s="98">
        <v>32</v>
      </c>
      <c r="B33" s="98" t="s">
        <v>1934</v>
      </c>
      <c r="C33" s="98" t="s">
        <v>2040</v>
      </c>
      <c r="D33" s="200" t="s">
        <v>566</v>
      </c>
      <c r="E33" s="98" t="s">
        <v>2041</v>
      </c>
      <c r="F33" s="98" t="s">
        <v>102</v>
      </c>
      <c r="G33" s="98" t="s">
        <v>2042</v>
      </c>
      <c r="H33" s="98">
        <v>2025.05</v>
      </c>
    </row>
    <row r="34" spans="1:9" ht="16.5" customHeight="1">
      <c r="A34" s="98">
        <v>33</v>
      </c>
      <c r="B34" s="98" t="s">
        <v>1934</v>
      </c>
      <c r="C34" s="98" t="s">
        <v>2043</v>
      </c>
      <c r="D34" s="200" t="s">
        <v>566</v>
      </c>
      <c r="E34" s="98" t="s">
        <v>2044</v>
      </c>
      <c r="F34" s="98" t="s">
        <v>98</v>
      </c>
      <c r="G34" s="98" t="s">
        <v>2045</v>
      </c>
      <c r="H34" s="98" t="s">
        <v>2046</v>
      </c>
    </row>
    <row r="35" spans="1:9" ht="16.5" customHeight="1">
      <c r="A35" s="98">
        <v>34</v>
      </c>
      <c r="B35" s="98" t="s">
        <v>1934</v>
      </c>
      <c r="C35" s="98" t="s">
        <v>2047</v>
      </c>
      <c r="D35" s="200" t="s">
        <v>566</v>
      </c>
      <c r="E35" s="98" t="s">
        <v>2048</v>
      </c>
      <c r="F35" s="98" t="s">
        <v>467</v>
      </c>
      <c r="G35" s="98" t="s">
        <v>2049</v>
      </c>
      <c r="H35" s="98" t="s">
        <v>2050</v>
      </c>
    </row>
    <row r="36" spans="1:9" ht="16.5" customHeight="1">
      <c r="A36" s="98">
        <v>35</v>
      </c>
      <c r="B36" s="98" t="s">
        <v>1934</v>
      </c>
      <c r="C36" s="98" t="s">
        <v>2051</v>
      </c>
      <c r="D36" s="200" t="s">
        <v>566</v>
      </c>
      <c r="E36" s="98" t="s">
        <v>2052</v>
      </c>
      <c r="F36" s="98" t="s">
        <v>98</v>
      </c>
      <c r="G36" s="98" t="s">
        <v>2053</v>
      </c>
      <c r="H36" s="98" t="s">
        <v>2054</v>
      </c>
    </row>
    <row r="37" spans="1:9" ht="16.5" customHeight="1">
      <c r="A37" s="98">
        <v>36</v>
      </c>
      <c r="B37" s="98" t="s">
        <v>1934</v>
      </c>
      <c r="C37" s="98" t="s">
        <v>2055</v>
      </c>
      <c r="D37" s="200" t="s">
        <v>566</v>
      </c>
      <c r="E37" s="98" t="s">
        <v>2056</v>
      </c>
      <c r="F37" s="98" t="s">
        <v>467</v>
      </c>
      <c r="G37" s="98" t="s">
        <v>2057</v>
      </c>
      <c r="H37" s="98" t="s">
        <v>2058</v>
      </c>
    </row>
    <row r="38" spans="1:9" ht="16.5" customHeight="1">
      <c r="A38" s="98">
        <v>37</v>
      </c>
      <c r="B38" s="98" t="s">
        <v>1934</v>
      </c>
      <c r="C38" s="98" t="s">
        <v>2059</v>
      </c>
      <c r="D38" s="200" t="s">
        <v>566</v>
      </c>
      <c r="E38" s="98" t="s">
        <v>2060</v>
      </c>
      <c r="F38" s="98" t="s">
        <v>98</v>
      </c>
      <c r="G38" s="98" t="s">
        <v>2061</v>
      </c>
      <c r="I38" s="98">
        <v>1000</v>
      </c>
    </row>
    <row r="39" spans="1:9" ht="16.5" customHeight="1">
      <c r="A39" s="98">
        <v>38</v>
      </c>
      <c r="B39" s="98" t="s">
        <v>1934</v>
      </c>
      <c r="C39" s="98" t="s">
        <v>2062</v>
      </c>
      <c r="D39" s="200" t="s">
        <v>566</v>
      </c>
      <c r="E39" s="98" t="s">
        <v>2063</v>
      </c>
      <c r="F39" s="98" t="s">
        <v>98</v>
      </c>
      <c r="G39" s="98" t="s">
        <v>2064</v>
      </c>
      <c r="I39" s="98">
        <v>1000</v>
      </c>
    </row>
    <row r="40" spans="1:9" ht="16.5" customHeight="1">
      <c r="A40" s="98">
        <v>39</v>
      </c>
      <c r="B40" s="98" t="s">
        <v>1934</v>
      </c>
      <c r="C40" s="98" t="s">
        <v>2065</v>
      </c>
      <c r="D40" s="200" t="s">
        <v>566</v>
      </c>
      <c r="E40" s="98" t="s">
        <v>2066</v>
      </c>
      <c r="F40" s="98" t="s">
        <v>98</v>
      </c>
      <c r="G40" s="98" t="s">
        <v>2067</v>
      </c>
      <c r="I40" s="98">
        <v>1000</v>
      </c>
    </row>
    <row r="41" spans="1:9" ht="16.5" customHeight="1">
      <c r="A41" s="98">
        <v>40</v>
      </c>
      <c r="B41" s="98" t="s">
        <v>1934</v>
      </c>
      <c r="C41" s="98" t="s">
        <v>2068</v>
      </c>
      <c r="D41" s="200" t="s">
        <v>566</v>
      </c>
      <c r="E41" s="98" t="s">
        <v>2069</v>
      </c>
      <c r="F41" s="98" t="s">
        <v>98</v>
      </c>
      <c r="G41" s="98" t="s">
        <v>2070</v>
      </c>
      <c r="H41" s="98">
        <v>2025.05</v>
      </c>
      <c r="I41" s="98">
        <v>1000</v>
      </c>
    </row>
    <row r="42" spans="1:9" ht="16.5" customHeight="1">
      <c r="A42" s="98">
        <v>41</v>
      </c>
      <c r="B42" s="98" t="s">
        <v>1934</v>
      </c>
      <c r="C42" s="98" t="s">
        <v>2071</v>
      </c>
      <c r="D42" s="200" t="s">
        <v>566</v>
      </c>
      <c r="F42" s="98" t="s">
        <v>102</v>
      </c>
      <c r="G42" s="98" t="s">
        <v>2072</v>
      </c>
      <c r="H42" s="98">
        <v>2026.04</v>
      </c>
      <c r="I42" s="98">
        <v>10</v>
      </c>
    </row>
    <row r="43" spans="1:9" ht="16.5" customHeight="1">
      <c r="A43" s="98">
        <v>42</v>
      </c>
      <c r="B43" s="98" t="s">
        <v>1934</v>
      </c>
      <c r="C43" s="98" t="s">
        <v>2073</v>
      </c>
      <c r="D43" s="200" t="s">
        <v>566</v>
      </c>
      <c r="F43" s="98" t="s">
        <v>102</v>
      </c>
      <c r="G43" s="98" t="s">
        <v>2074</v>
      </c>
      <c r="H43" s="98">
        <v>2026.05</v>
      </c>
      <c r="I43" s="98">
        <v>10</v>
      </c>
    </row>
    <row r="44" spans="1:9" ht="16.5" customHeight="1">
      <c r="A44" s="98">
        <v>42</v>
      </c>
      <c r="B44" s="98" t="s">
        <v>1934</v>
      </c>
      <c r="C44" s="98" t="s">
        <v>2075</v>
      </c>
      <c r="D44" s="200" t="s">
        <v>566</v>
      </c>
      <c r="F44" s="98" t="s">
        <v>98</v>
      </c>
      <c r="G44" s="98" t="s">
        <v>2076</v>
      </c>
      <c r="H44" s="98">
        <v>2026.05</v>
      </c>
      <c r="I44" s="98">
        <v>10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2"/>
  <dimension ref="A1:L80"/>
  <sheetViews>
    <sheetView topLeftCell="A62" zoomScaleNormal="100" workbookViewId="0">
      <selection activeCell="F75" sqref="F75"/>
    </sheetView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2077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674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2078</v>
      </c>
      <c r="C2" s="98">
        <v>107602</v>
      </c>
      <c r="D2" s="200" t="s">
        <v>579</v>
      </c>
      <c r="E2" s="98" t="s">
        <v>2079</v>
      </c>
      <c r="F2" s="98" t="s">
        <v>95</v>
      </c>
      <c r="G2" s="200" t="s">
        <v>2080</v>
      </c>
      <c r="H2" s="200" t="s">
        <v>2081</v>
      </c>
      <c r="I2" s="98">
        <v>2015.1</v>
      </c>
      <c r="J2" s="98">
        <v>998.96</v>
      </c>
    </row>
    <row r="3" spans="1:12" ht="16.5" customHeight="1">
      <c r="A3" s="98">
        <v>2</v>
      </c>
      <c r="B3" s="200" t="s">
        <v>2078</v>
      </c>
      <c r="C3" s="98">
        <v>107603</v>
      </c>
      <c r="D3" s="200" t="s">
        <v>579</v>
      </c>
      <c r="E3" s="98" t="s">
        <v>2082</v>
      </c>
      <c r="F3" s="98" t="s">
        <v>95</v>
      </c>
      <c r="G3" s="200" t="s">
        <v>2080</v>
      </c>
      <c r="H3" s="200" t="s">
        <v>2083</v>
      </c>
      <c r="I3" s="98">
        <v>2015.1</v>
      </c>
      <c r="J3" s="98">
        <v>989.25</v>
      </c>
    </row>
    <row r="4" spans="1:12" ht="16.5" customHeight="1">
      <c r="A4" s="98">
        <v>3</v>
      </c>
      <c r="B4" s="200" t="s">
        <v>2078</v>
      </c>
      <c r="C4" s="98">
        <v>109972</v>
      </c>
      <c r="D4" s="200" t="s">
        <v>579</v>
      </c>
      <c r="E4" s="98" t="s">
        <v>2084</v>
      </c>
      <c r="F4" s="98" t="s">
        <v>2085</v>
      </c>
      <c r="G4" s="98" t="s">
        <v>2086</v>
      </c>
      <c r="H4" s="200" t="s">
        <v>2087</v>
      </c>
      <c r="I4" s="98">
        <v>2015.08</v>
      </c>
      <c r="J4" s="98">
        <v>804.89</v>
      </c>
      <c r="K4" s="98">
        <v>175009617784</v>
      </c>
      <c r="L4" s="98">
        <v>217433361416</v>
      </c>
    </row>
    <row r="5" spans="1:12" ht="16.5" customHeight="1">
      <c r="A5" s="98">
        <v>4</v>
      </c>
      <c r="B5" s="200" t="s">
        <v>2078</v>
      </c>
      <c r="C5" s="98">
        <v>119956</v>
      </c>
      <c r="D5" s="200" t="s">
        <v>579</v>
      </c>
      <c r="E5" s="98" t="s">
        <v>2088</v>
      </c>
      <c r="F5" s="98" t="s">
        <v>95</v>
      </c>
      <c r="G5" s="200" t="s">
        <v>2080</v>
      </c>
      <c r="H5" s="98" t="s">
        <v>2089</v>
      </c>
      <c r="I5" s="98">
        <v>2019.08</v>
      </c>
      <c r="J5" s="98">
        <v>995.42</v>
      </c>
    </row>
    <row r="6" spans="1:12" ht="16.5" customHeight="1">
      <c r="A6" s="98">
        <v>5</v>
      </c>
      <c r="B6" s="200" t="s">
        <v>2078</v>
      </c>
      <c r="C6" s="98">
        <v>119962</v>
      </c>
      <c r="D6" s="200" t="s">
        <v>579</v>
      </c>
      <c r="E6" s="98" t="s">
        <v>2090</v>
      </c>
      <c r="F6" s="98" t="s">
        <v>2085</v>
      </c>
      <c r="H6" s="200" t="s">
        <v>2091</v>
      </c>
      <c r="I6" s="98">
        <v>2019.09</v>
      </c>
      <c r="J6" s="98">
        <v>975.49</v>
      </c>
      <c r="K6" s="98">
        <v>66518094985</v>
      </c>
      <c r="L6" s="98">
        <v>68189202339</v>
      </c>
    </row>
    <row r="7" spans="1:12" ht="16.5" customHeight="1">
      <c r="A7" s="98">
        <v>6</v>
      </c>
      <c r="B7" s="200" t="s">
        <v>2078</v>
      </c>
      <c r="C7" s="98">
        <v>203002</v>
      </c>
      <c r="D7" s="200" t="s">
        <v>556</v>
      </c>
      <c r="E7" s="98" t="s">
        <v>2092</v>
      </c>
      <c r="F7" s="200" t="s">
        <v>2093</v>
      </c>
      <c r="H7" s="200" t="s">
        <v>2094</v>
      </c>
      <c r="I7" s="98">
        <v>2009.02</v>
      </c>
      <c r="J7" s="98">
        <v>1474.9</v>
      </c>
      <c r="K7" s="98">
        <v>225489000000</v>
      </c>
      <c r="L7" s="98">
        <v>152885000000</v>
      </c>
    </row>
    <row r="8" spans="1:12" ht="16.5" customHeight="1">
      <c r="A8" s="98">
        <v>7</v>
      </c>
      <c r="B8" s="200" t="s">
        <v>2078</v>
      </c>
      <c r="C8" s="98">
        <v>209960</v>
      </c>
      <c r="D8" s="200" t="s">
        <v>556</v>
      </c>
      <c r="E8" s="98" t="s">
        <v>2095</v>
      </c>
      <c r="F8" s="200" t="s">
        <v>2093</v>
      </c>
      <c r="H8" s="200" t="s">
        <v>2096</v>
      </c>
      <c r="I8" s="98">
        <v>2013.03</v>
      </c>
      <c r="J8" s="98">
        <v>1340.5</v>
      </c>
      <c r="K8" s="98">
        <v>7326000000</v>
      </c>
      <c r="L8" s="98">
        <v>5465000000</v>
      </c>
    </row>
    <row r="9" spans="1:12" ht="16.5" customHeight="1">
      <c r="A9" s="98">
        <v>8</v>
      </c>
      <c r="B9" s="200" t="s">
        <v>2078</v>
      </c>
      <c r="C9" s="98">
        <v>219940</v>
      </c>
      <c r="D9" s="200" t="s">
        <v>579</v>
      </c>
      <c r="E9" s="98" t="s">
        <v>2097</v>
      </c>
      <c r="F9" s="98" t="s">
        <v>100</v>
      </c>
      <c r="H9" s="200" t="s">
        <v>2098</v>
      </c>
      <c r="I9" s="98">
        <v>2021.08</v>
      </c>
      <c r="J9" s="98">
        <v>950.07</v>
      </c>
      <c r="K9" s="98">
        <v>10510515962</v>
      </c>
      <c r="L9" s="98">
        <v>11062935557</v>
      </c>
    </row>
    <row r="10" spans="1:12" ht="16.5" customHeight="1">
      <c r="A10" s="98">
        <v>9</v>
      </c>
      <c r="B10" s="200" t="s">
        <v>2078</v>
      </c>
      <c r="C10" s="98">
        <v>230964</v>
      </c>
      <c r="D10" s="200" t="s">
        <v>556</v>
      </c>
      <c r="E10" s="98" t="s">
        <v>2099</v>
      </c>
      <c r="F10" s="200" t="s">
        <v>2093</v>
      </c>
      <c r="H10" s="200" t="s">
        <v>2100</v>
      </c>
      <c r="I10" s="98">
        <v>2015.06</v>
      </c>
      <c r="J10" s="98">
        <v>1688.68</v>
      </c>
      <c r="K10" s="98">
        <v>32292000000</v>
      </c>
      <c r="L10" s="98">
        <v>19122000000</v>
      </c>
    </row>
    <row r="11" spans="1:12" ht="16.5" customHeight="1">
      <c r="A11" s="98">
        <v>10</v>
      </c>
      <c r="B11" s="200" t="s">
        <v>2078</v>
      </c>
      <c r="C11" s="98">
        <v>231902</v>
      </c>
      <c r="D11" s="200" t="s">
        <v>579</v>
      </c>
      <c r="E11" s="98" t="s">
        <v>2101</v>
      </c>
      <c r="F11" s="98" t="s">
        <v>95</v>
      </c>
      <c r="G11" s="200" t="s">
        <v>2080</v>
      </c>
      <c r="H11" s="98" t="s">
        <v>2102</v>
      </c>
      <c r="I11" s="98">
        <v>2016.11</v>
      </c>
      <c r="J11" s="98">
        <v>1024.5999999999999</v>
      </c>
    </row>
    <row r="12" spans="1:12" ht="16.5" customHeight="1">
      <c r="A12" s="98">
        <v>11</v>
      </c>
      <c r="B12" s="200" t="s">
        <v>2078</v>
      </c>
      <c r="C12" s="98">
        <v>231904</v>
      </c>
      <c r="D12" s="200" t="s">
        <v>579</v>
      </c>
      <c r="E12" s="98" t="s">
        <v>2103</v>
      </c>
      <c r="F12" s="200" t="s">
        <v>10</v>
      </c>
      <c r="G12" s="200" t="s">
        <v>2104</v>
      </c>
      <c r="H12" s="200" t="s">
        <v>2105</v>
      </c>
      <c r="I12" s="98" t="s">
        <v>2106</v>
      </c>
      <c r="J12" s="98">
        <v>1055.5</v>
      </c>
      <c r="L12" s="98" t="s">
        <v>2107</v>
      </c>
    </row>
    <row r="13" spans="1:12" ht="16.5" customHeight="1">
      <c r="A13" s="98">
        <v>12</v>
      </c>
      <c r="B13" s="200" t="s">
        <v>2078</v>
      </c>
      <c r="C13" s="98">
        <v>231911</v>
      </c>
      <c r="D13" s="200" t="s">
        <v>579</v>
      </c>
      <c r="E13" s="98" t="s">
        <v>2108</v>
      </c>
      <c r="F13" s="98" t="s">
        <v>2109</v>
      </c>
      <c r="G13" s="200" t="s">
        <v>2080</v>
      </c>
      <c r="H13" s="200" t="s">
        <v>2110</v>
      </c>
      <c r="I13" s="98">
        <v>2017.04</v>
      </c>
      <c r="J13" s="98">
        <v>934.78</v>
      </c>
    </row>
    <row r="14" spans="1:12" ht="16.5" customHeight="1">
      <c r="A14" s="98">
        <v>13</v>
      </c>
      <c r="B14" s="200" t="s">
        <v>2078</v>
      </c>
      <c r="C14" s="98">
        <v>231912</v>
      </c>
      <c r="D14" s="200" t="s">
        <v>579</v>
      </c>
      <c r="E14" s="98" t="s">
        <v>2111</v>
      </c>
      <c r="F14" s="98" t="s">
        <v>95</v>
      </c>
      <c r="G14" s="200" t="s">
        <v>2080</v>
      </c>
      <c r="H14" s="98" t="s">
        <v>2112</v>
      </c>
      <c r="I14" s="98">
        <v>2017.03</v>
      </c>
      <c r="J14" s="98">
        <v>1023.19</v>
      </c>
    </row>
    <row r="15" spans="1:12" ht="16.5" customHeight="1">
      <c r="A15" s="98">
        <v>14</v>
      </c>
      <c r="B15" s="200" t="s">
        <v>2078</v>
      </c>
      <c r="C15" s="98">
        <v>231913</v>
      </c>
      <c r="D15" s="200" t="s">
        <v>579</v>
      </c>
      <c r="E15" s="98" t="s">
        <v>2113</v>
      </c>
      <c r="F15" s="98" t="s">
        <v>95</v>
      </c>
      <c r="G15" s="200" t="s">
        <v>2080</v>
      </c>
      <c r="H15" s="98" t="s">
        <v>2114</v>
      </c>
      <c r="I15" s="98">
        <v>2017.03</v>
      </c>
      <c r="J15" s="98">
        <v>1006.84</v>
      </c>
    </row>
    <row r="16" spans="1:12" ht="16.5" customHeight="1">
      <c r="A16" s="98">
        <v>15</v>
      </c>
      <c r="B16" s="200" t="s">
        <v>2078</v>
      </c>
      <c r="C16" s="98">
        <v>231914</v>
      </c>
      <c r="D16" s="200" t="s">
        <v>579</v>
      </c>
      <c r="E16" s="98" t="s">
        <v>2115</v>
      </c>
      <c r="F16" s="98" t="s">
        <v>95</v>
      </c>
      <c r="G16" s="200" t="s">
        <v>2080</v>
      </c>
      <c r="H16" s="200" t="s">
        <v>2116</v>
      </c>
      <c r="I16" s="98">
        <v>2017.04</v>
      </c>
      <c r="J16" s="98">
        <v>1736.23</v>
      </c>
    </row>
    <row r="17" spans="1:12" ht="16.5" customHeight="1">
      <c r="A17" s="98">
        <v>16</v>
      </c>
      <c r="B17" s="200" t="s">
        <v>2078</v>
      </c>
      <c r="C17" s="98">
        <v>231933</v>
      </c>
      <c r="D17" s="200" t="s">
        <v>579</v>
      </c>
      <c r="E17" s="98" t="s">
        <v>2117</v>
      </c>
      <c r="F17" s="98" t="s">
        <v>2109</v>
      </c>
      <c r="G17" s="200" t="s">
        <v>2080</v>
      </c>
      <c r="H17" s="200" t="s">
        <v>2118</v>
      </c>
      <c r="I17" s="98">
        <v>2017.11</v>
      </c>
      <c r="J17" s="98">
        <v>985.12</v>
      </c>
    </row>
    <row r="18" spans="1:12" ht="16.5" customHeight="1">
      <c r="A18" s="98">
        <v>17</v>
      </c>
      <c r="B18" s="200" t="s">
        <v>2078</v>
      </c>
      <c r="C18" s="98">
        <v>231934</v>
      </c>
      <c r="D18" s="200" t="s">
        <v>579</v>
      </c>
      <c r="E18" s="98" t="s">
        <v>2119</v>
      </c>
      <c r="F18" s="98" t="s">
        <v>2109</v>
      </c>
      <c r="G18" s="200" t="s">
        <v>2080</v>
      </c>
      <c r="H18" s="200" t="s">
        <v>2120</v>
      </c>
      <c r="I18" s="98">
        <v>2017.12</v>
      </c>
      <c r="J18" s="98">
        <v>1189.98</v>
      </c>
    </row>
    <row r="19" spans="1:12" ht="16.5" customHeight="1">
      <c r="A19" s="98">
        <v>18</v>
      </c>
      <c r="B19" s="200" t="s">
        <v>2078</v>
      </c>
      <c r="C19" s="98">
        <v>231935</v>
      </c>
      <c r="D19" s="200" t="s">
        <v>579</v>
      </c>
      <c r="E19" s="98" t="s">
        <v>2121</v>
      </c>
      <c r="F19" s="98" t="s">
        <v>2109</v>
      </c>
      <c r="G19" s="200" t="s">
        <v>2080</v>
      </c>
      <c r="H19" s="200" t="s">
        <v>2122</v>
      </c>
      <c r="I19" s="98">
        <v>2017.12</v>
      </c>
      <c r="J19" s="98">
        <v>1190.04</v>
      </c>
    </row>
    <row r="20" spans="1:12" ht="16.5" customHeight="1">
      <c r="A20" s="98">
        <v>19</v>
      </c>
      <c r="B20" s="200" t="s">
        <v>2078</v>
      </c>
      <c r="C20" s="98">
        <v>231937</v>
      </c>
      <c r="D20" s="200" t="s">
        <v>579</v>
      </c>
      <c r="E20" s="98" t="s">
        <v>2123</v>
      </c>
      <c r="F20" s="98" t="s">
        <v>2085</v>
      </c>
      <c r="H20" s="200" t="s">
        <v>2124</v>
      </c>
      <c r="I20" s="98">
        <v>2017.1</v>
      </c>
      <c r="J20" s="98">
        <v>1537.03</v>
      </c>
      <c r="K20" s="98">
        <v>24391236890</v>
      </c>
      <c r="L20" s="98">
        <v>15869095470</v>
      </c>
    </row>
    <row r="21" spans="1:12" ht="16.5" customHeight="1">
      <c r="A21" s="98">
        <v>20</v>
      </c>
      <c r="B21" s="200" t="s">
        <v>2078</v>
      </c>
      <c r="C21" s="98">
        <v>231939</v>
      </c>
      <c r="D21" s="200" t="s">
        <v>579</v>
      </c>
      <c r="E21" s="98" t="s">
        <v>2125</v>
      </c>
      <c r="F21" s="98" t="s">
        <v>2085</v>
      </c>
      <c r="H21" s="200" t="s">
        <v>2126</v>
      </c>
      <c r="I21" s="98">
        <v>2018.06</v>
      </c>
      <c r="J21" s="98">
        <v>1275.27</v>
      </c>
      <c r="K21" s="98">
        <v>49610000000</v>
      </c>
    </row>
    <row r="22" spans="1:12" ht="16.5" customHeight="1">
      <c r="A22" s="98">
        <v>21</v>
      </c>
      <c r="B22" s="200" t="s">
        <v>2078</v>
      </c>
      <c r="C22" s="98">
        <v>231941</v>
      </c>
      <c r="D22" s="200" t="s">
        <v>579</v>
      </c>
      <c r="E22" s="98" t="s">
        <v>2127</v>
      </c>
      <c r="F22" s="200" t="s">
        <v>2093</v>
      </c>
      <c r="H22" s="200" t="s">
        <v>2128</v>
      </c>
      <c r="I22" s="98">
        <v>2018.01</v>
      </c>
      <c r="J22" s="98">
        <v>908.6</v>
      </c>
      <c r="K22" s="98">
        <v>12142200852</v>
      </c>
      <c r="L22" s="98">
        <v>13363577219</v>
      </c>
    </row>
    <row r="23" spans="1:12" ht="16.5" customHeight="1">
      <c r="A23" s="98">
        <v>22</v>
      </c>
      <c r="B23" s="200" t="s">
        <v>2078</v>
      </c>
      <c r="C23" s="98">
        <v>231943</v>
      </c>
      <c r="D23" s="200" t="s">
        <v>579</v>
      </c>
      <c r="E23" s="98" t="s">
        <v>2129</v>
      </c>
      <c r="F23" s="98" t="s">
        <v>102</v>
      </c>
      <c r="G23" s="200" t="s">
        <v>2080</v>
      </c>
      <c r="H23" s="200" t="s">
        <v>2130</v>
      </c>
      <c r="I23" s="98">
        <v>2018.04</v>
      </c>
      <c r="J23" s="98">
        <v>890.49</v>
      </c>
    </row>
    <row r="24" spans="1:12" ht="16.5" customHeight="1">
      <c r="A24" s="98">
        <v>23</v>
      </c>
      <c r="B24" s="200" t="s">
        <v>2078</v>
      </c>
      <c r="C24" s="98">
        <v>231944</v>
      </c>
      <c r="D24" s="200" t="s">
        <v>579</v>
      </c>
      <c r="E24" s="98" t="s">
        <v>2131</v>
      </c>
      <c r="F24" s="98" t="s">
        <v>2085</v>
      </c>
      <c r="H24" s="200" t="s">
        <v>2132</v>
      </c>
      <c r="I24" s="98">
        <v>2017.12</v>
      </c>
      <c r="J24" s="98">
        <v>816.06</v>
      </c>
      <c r="K24" s="98">
        <v>1338648918</v>
      </c>
      <c r="L24" s="98">
        <v>1640386079</v>
      </c>
    </row>
    <row r="25" spans="1:12" ht="16.5" customHeight="1">
      <c r="A25" s="98">
        <v>24</v>
      </c>
      <c r="B25" s="200" t="s">
        <v>2078</v>
      </c>
      <c r="C25" s="98">
        <v>231946</v>
      </c>
      <c r="D25" s="200" t="s">
        <v>579</v>
      </c>
      <c r="E25" s="98" t="s">
        <v>2133</v>
      </c>
      <c r="F25" s="98" t="s">
        <v>2085</v>
      </c>
      <c r="H25" s="200" t="s">
        <v>2134</v>
      </c>
      <c r="I25" s="98">
        <v>2017.12</v>
      </c>
      <c r="J25" s="98">
        <v>597.54999999999995</v>
      </c>
      <c r="K25" s="98">
        <v>5280793494</v>
      </c>
      <c r="L25" s="98">
        <v>8837414570</v>
      </c>
    </row>
    <row r="26" spans="1:12" ht="16.5" customHeight="1">
      <c r="A26" s="98">
        <v>25</v>
      </c>
      <c r="B26" s="200" t="s">
        <v>2078</v>
      </c>
      <c r="C26" s="98">
        <v>231958</v>
      </c>
      <c r="D26" s="200" t="s">
        <v>579</v>
      </c>
      <c r="E26" s="98" t="s">
        <v>2135</v>
      </c>
      <c r="F26" s="200" t="s">
        <v>2093</v>
      </c>
      <c r="H26" s="200" t="s">
        <v>2136</v>
      </c>
      <c r="I26" s="98">
        <v>2020.01</v>
      </c>
      <c r="J26" s="98">
        <v>1274.96</v>
      </c>
      <c r="K26" s="98">
        <v>18840000000</v>
      </c>
    </row>
    <row r="27" spans="1:12" ht="16.5" customHeight="1">
      <c r="A27" s="98">
        <v>26</v>
      </c>
      <c r="B27" s="200" t="s">
        <v>2078</v>
      </c>
      <c r="C27" s="98">
        <v>231960</v>
      </c>
      <c r="D27" s="200" t="s">
        <v>579</v>
      </c>
      <c r="E27" s="98" t="s">
        <v>2137</v>
      </c>
      <c r="F27" s="200" t="s">
        <v>2093</v>
      </c>
      <c r="G27" s="200" t="s">
        <v>2138</v>
      </c>
      <c r="H27" s="200" t="s">
        <v>2139</v>
      </c>
      <c r="I27" s="98">
        <v>2018.12</v>
      </c>
      <c r="J27" s="98">
        <v>981.43</v>
      </c>
      <c r="K27" s="98">
        <v>105750000000</v>
      </c>
    </row>
    <row r="28" spans="1:12" ht="16.5" customHeight="1">
      <c r="A28" s="98">
        <v>27</v>
      </c>
      <c r="B28" s="200" t="s">
        <v>2078</v>
      </c>
      <c r="C28" s="98">
        <v>231980</v>
      </c>
      <c r="D28" s="200" t="s">
        <v>579</v>
      </c>
      <c r="E28" s="98" t="s">
        <v>2140</v>
      </c>
      <c r="F28" s="98" t="s">
        <v>2109</v>
      </c>
      <c r="G28" s="200" t="s">
        <v>2080</v>
      </c>
      <c r="H28" s="200" t="s">
        <v>2141</v>
      </c>
      <c r="I28" s="98">
        <v>2019.05</v>
      </c>
      <c r="J28" s="98">
        <v>1112.3599999999999</v>
      </c>
    </row>
    <row r="29" spans="1:12" ht="16.5" customHeight="1">
      <c r="A29" s="98">
        <v>28</v>
      </c>
      <c r="B29" s="200" t="s">
        <v>2078</v>
      </c>
      <c r="C29" s="98">
        <v>231983</v>
      </c>
      <c r="D29" s="200" t="s">
        <v>579</v>
      </c>
      <c r="E29" s="98" t="s">
        <v>2142</v>
      </c>
      <c r="F29" s="98" t="s">
        <v>95</v>
      </c>
      <c r="G29" s="200" t="s">
        <v>2080</v>
      </c>
      <c r="H29" s="98" t="s">
        <v>2143</v>
      </c>
      <c r="I29" s="98">
        <v>2019.05</v>
      </c>
      <c r="J29" s="98">
        <v>1275.49</v>
      </c>
    </row>
    <row r="30" spans="1:12" ht="16.5" customHeight="1">
      <c r="A30" s="98">
        <v>29</v>
      </c>
      <c r="B30" s="200" t="s">
        <v>2078</v>
      </c>
      <c r="C30" s="98">
        <v>232011</v>
      </c>
      <c r="D30" s="200" t="s">
        <v>579</v>
      </c>
      <c r="E30" s="98" t="s">
        <v>2144</v>
      </c>
      <c r="F30" s="98" t="s">
        <v>2145</v>
      </c>
      <c r="G30" s="200" t="s">
        <v>2080</v>
      </c>
      <c r="H30" s="200" t="s">
        <v>2146</v>
      </c>
      <c r="I30" s="98">
        <v>2021.07</v>
      </c>
      <c r="J30" s="98">
        <v>1045.23</v>
      </c>
    </row>
    <row r="31" spans="1:12" ht="16.5" customHeight="1">
      <c r="A31" s="98">
        <v>30</v>
      </c>
      <c r="B31" s="200" t="s">
        <v>2078</v>
      </c>
      <c r="C31" s="98">
        <v>232015</v>
      </c>
      <c r="D31" s="200" t="s">
        <v>579</v>
      </c>
      <c r="E31" s="98" t="s">
        <v>2147</v>
      </c>
      <c r="F31" s="200" t="s">
        <v>10</v>
      </c>
      <c r="H31" s="200" t="s">
        <v>2148</v>
      </c>
      <c r="I31" s="98">
        <v>2022.02</v>
      </c>
    </row>
    <row r="32" spans="1:12" ht="16.5" customHeight="1">
      <c r="A32" s="98">
        <v>31</v>
      </c>
      <c r="B32" s="200" t="s">
        <v>2078</v>
      </c>
      <c r="C32" s="98">
        <v>232902</v>
      </c>
      <c r="D32" s="200" t="s">
        <v>579</v>
      </c>
      <c r="E32" s="98" t="s">
        <v>2149</v>
      </c>
      <c r="F32" s="200" t="s">
        <v>10</v>
      </c>
      <c r="H32" s="200" t="s">
        <v>2150</v>
      </c>
      <c r="I32" s="98">
        <v>2016.11</v>
      </c>
      <c r="J32" s="98">
        <v>966.31</v>
      </c>
      <c r="K32" s="98">
        <v>35720455075</v>
      </c>
      <c r="L32" s="98">
        <v>36966015438</v>
      </c>
    </row>
    <row r="33" spans="1:12" ht="16.5" customHeight="1">
      <c r="A33" s="98">
        <v>32</v>
      </c>
      <c r="B33" s="200" t="s">
        <v>2078</v>
      </c>
      <c r="C33" s="98">
        <v>232916</v>
      </c>
      <c r="D33" s="200" t="s">
        <v>579</v>
      </c>
      <c r="E33" s="98" t="s">
        <v>2151</v>
      </c>
      <c r="F33" s="200" t="s">
        <v>10</v>
      </c>
      <c r="H33" s="200" t="s">
        <v>2152</v>
      </c>
      <c r="I33" s="98">
        <v>2020.12</v>
      </c>
      <c r="J33" s="98">
        <v>1045.23</v>
      </c>
      <c r="K33" s="98">
        <v>44741256559</v>
      </c>
      <c r="L33" s="98">
        <v>42805007390</v>
      </c>
    </row>
    <row r="34" spans="1:12" ht="16.5" customHeight="1">
      <c r="A34" s="98">
        <v>33</v>
      </c>
      <c r="B34" s="200" t="s">
        <v>2078</v>
      </c>
      <c r="C34" s="98">
        <v>232940</v>
      </c>
      <c r="D34" s="200" t="s">
        <v>579</v>
      </c>
      <c r="E34" s="98" t="s">
        <v>2153</v>
      </c>
      <c r="F34" s="98" t="s">
        <v>95</v>
      </c>
      <c r="G34" s="200" t="s">
        <v>2104</v>
      </c>
      <c r="H34" s="200" t="s">
        <v>2154</v>
      </c>
      <c r="I34" s="98">
        <v>2020.09</v>
      </c>
      <c r="J34" s="98">
        <v>1645.73</v>
      </c>
    </row>
    <row r="35" spans="1:12" ht="16.5" customHeight="1">
      <c r="A35" s="98">
        <v>34</v>
      </c>
      <c r="B35" s="200" t="s">
        <v>2078</v>
      </c>
      <c r="C35" s="98">
        <v>232942</v>
      </c>
      <c r="D35" s="200" t="s">
        <v>579</v>
      </c>
      <c r="E35" s="98" t="s">
        <v>2155</v>
      </c>
      <c r="F35" s="98" t="s">
        <v>95</v>
      </c>
      <c r="G35" s="200" t="s">
        <v>2080</v>
      </c>
      <c r="H35" s="200" t="s">
        <v>2156</v>
      </c>
      <c r="I35" s="98">
        <v>2023.05</v>
      </c>
      <c r="J35" s="98">
        <v>1438.85</v>
      </c>
    </row>
    <row r="36" spans="1:12" ht="16.5" customHeight="1">
      <c r="A36" s="98">
        <v>35</v>
      </c>
      <c r="B36" s="200" t="s">
        <v>2078</v>
      </c>
      <c r="C36" s="98">
        <v>232956</v>
      </c>
      <c r="D36" s="200" t="s">
        <v>579</v>
      </c>
      <c r="E36" s="98" t="s">
        <v>2157</v>
      </c>
      <c r="F36" s="200" t="s">
        <v>2158</v>
      </c>
      <c r="H36" s="200" t="s">
        <v>2159</v>
      </c>
      <c r="I36" s="98">
        <v>2021.05</v>
      </c>
      <c r="J36" s="98">
        <v>1021.65</v>
      </c>
      <c r="K36" s="98">
        <v>142094645509</v>
      </c>
      <c r="L36" s="98">
        <v>139083339469</v>
      </c>
    </row>
    <row r="37" spans="1:12" ht="16.5" customHeight="1">
      <c r="A37" s="98">
        <v>36</v>
      </c>
      <c r="B37" s="200" t="s">
        <v>2078</v>
      </c>
      <c r="C37" s="98">
        <v>232984</v>
      </c>
      <c r="D37" s="200" t="s">
        <v>579</v>
      </c>
      <c r="E37" s="98" t="s">
        <v>2160</v>
      </c>
      <c r="F37" s="98" t="s">
        <v>95</v>
      </c>
      <c r="G37" s="200" t="s">
        <v>2080</v>
      </c>
      <c r="H37" s="200" t="s">
        <v>2161</v>
      </c>
      <c r="I37" s="98">
        <v>2022.02</v>
      </c>
      <c r="J37" s="98">
        <v>1018.22</v>
      </c>
    </row>
    <row r="38" spans="1:12" ht="16.5" customHeight="1">
      <c r="A38" s="98">
        <v>37</v>
      </c>
      <c r="B38" s="200" t="s">
        <v>2078</v>
      </c>
      <c r="C38" s="98">
        <v>232987</v>
      </c>
      <c r="D38" s="200" t="s">
        <v>579</v>
      </c>
      <c r="E38" s="98" t="s">
        <v>2162</v>
      </c>
      <c r="F38" s="98" t="s">
        <v>93</v>
      </c>
      <c r="G38" s="200" t="s">
        <v>2080</v>
      </c>
      <c r="H38" s="200" t="s">
        <v>2163</v>
      </c>
      <c r="I38" s="98">
        <v>2022.01</v>
      </c>
      <c r="J38" s="98">
        <v>1149.27</v>
      </c>
    </row>
    <row r="39" spans="1:12" ht="16.5" customHeight="1">
      <c r="A39" s="98">
        <v>38</v>
      </c>
      <c r="B39" s="200" t="s">
        <v>2078</v>
      </c>
      <c r="C39" s="98">
        <v>233002</v>
      </c>
      <c r="D39" s="200" t="s">
        <v>579</v>
      </c>
      <c r="E39" s="98" t="s">
        <v>2164</v>
      </c>
      <c r="F39" s="98" t="s">
        <v>95</v>
      </c>
      <c r="G39" s="200" t="s">
        <v>2080</v>
      </c>
      <c r="H39" s="200" t="s">
        <v>2165</v>
      </c>
      <c r="I39" s="98">
        <v>2022.06</v>
      </c>
      <c r="J39" s="98">
        <v>1007.14</v>
      </c>
    </row>
    <row r="40" spans="1:12" ht="16.5" customHeight="1">
      <c r="A40" s="98">
        <v>39</v>
      </c>
      <c r="B40" s="200" t="s">
        <v>2078</v>
      </c>
      <c r="C40" s="98">
        <v>233910</v>
      </c>
      <c r="D40" s="200" t="s">
        <v>579</v>
      </c>
      <c r="E40" s="98" t="s">
        <v>2166</v>
      </c>
      <c r="F40" s="200" t="s">
        <v>10</v>
      </c>
      <c r="H40" s="200" t="s">
        <v>2167</v>
      </c>
      <c r="I40" s="98">
        <v>2022.07</v>
      </c>
    </row>
    <row r="41" spans="1:12" ht="16.5" customHeight="1">
      <c r="A41" s="98">
        <v>40</v>
      </c>
      <c r="B41" s="200" t="s">
        <v>2078</v>
      </c>
      <c r="C41" s="98">
        <v>233912</v>
      </c>
      <c r="D41" s="200" t="s">
        <v>579</v>
      </c>
      <c r="E41" s="98" t="s">
        <v>2168</v>
      </c>
      <c r="F41" s="98" t="s">
        <v>95</v>
      </c>
      <c r="G41" s="200" t="s">
        <v>2080</v>
      </c>
      <c r="H41" s="200" t="s">
        <v>2169</v>
      </c>
      <c r="I41" s="98">
        <v>2022.1</v>
      </c>
      <c r="J41" s="98">
        <v>945</v>
      </c>
    </row>
    <row r="42" spans="1:12" ht="16.5" customHeight="1">
      <c r="A42" s="98">
        <v>41</v>
      </c>
      <c r="B42" s="200" t="s">
        <v>2078</v>
      </c>
      <c r="C42" s="98">
        <v>233916</v>
      </c>
      <c r="D42" s="200" t="s">
        <v>579</v>
      </c>
      <c r="E42" s="98" t="s">
        <v>2170</v>
      </c>
      <c r="F42" s="98" t="s">
        <v>93</v>
      </c>
      <c r="G42" s="200" t="s">
        <v>2080</v>
      </c>
      <c r="H42" s="200" t="s">
        <v>2171</v>
      </c>
      <c r="I42" s="98">
        <v>2022.1</v>
      </c>
      <c r="J42" s="98">
        <v>1067.6500000000001</v>
      </c>
    </row>
    <row r="43" spans="1:12" ht="16.5" customHeight="1">
      <c r="A43" s="98">
        <v>42</v>
      </c>
      <c r="B43" s="200" t="s">
        <v>2078</v>
      </c>
      <c r="C43" s="98">
        <v>233917</v>
      </c>
      <c r="D43" s="200" t="s">
        <v>579</v>
      </c>
      <c r="E43" s="98" t="s">
        <v>2172</v>
      </c>
      <c r="F43" s="98" t="s">
        <v>2145</v>
      </c>
      <c r="G43" s="200" t="s">
        <v>2080</v>
      </c>
      <c r="H43" s="200" t="s">
        <v>2173</v>
      </c>
      <c r="I43" s="98">
        <v>2022.1</v>
      </c>
      <c r="J43" s="98" t="s">
        <v>636</v>
      </c>
    </row>
    <row r="44" spans="1:12" ht="16.5" customHeight="1">
      <c r="A44" s="98">
        <v>43</v>
      </c>
      <c r="B44" s="200" t="s">
        <v>2078</v>
      </c>
      <c r="C44" s="98">
        <v>233922</v>
      </c>
      <c r="D44" s="200" t="s">
        <v>579</v>
      </c>
      <c r="E44" s="98" t="s">
        <v>2174</v>
      </c>
      <c r="F44" s="200" t="s">
        <v>10</v>
      </c>
      <c r="H44" s="200" t="s">
        <v>2175</v>
      </c>
      <c r="I44" s="98">
        <v>2023.02</v>
      </c>
      <c r="J44" s="98">
        <v>983.61</v>
      </c>
      <c r="K44" s="98">
        <v>39528395882</v>
      </c>
      <c r="L44" s="98">
        <v>40187260958</v>
      </c>
    </row>
    <row r="45" spans="1:12" ht="16.5" customHeight="1">
      <c r="A45" s="98">
        <v>44</v>
      </c>
      <c r="B45" s="200" t="s">
        <v>2078</v>
      </c>
      <c r="C45" s="98">
        <v>233927</v>
      </c>
      <c r="D45" s="200" t="s">
        <v>579</v>
      </c>
      <c r="E45" s="98" t="s">
        <v>2176</v>
      </c>
      <c r="F45" s="98" t="s">
        <v>98</v>
      </c>
      <c r="H45" s="200" t="s">
        <v>2177</v>
      </c>
      <c r="I45" s="98">
        <v>2022.12</v>
      </c>
      <c r="J45" s="98">
        <v>989.84</v>
      </c>
      <c r="K45" s="98">
        <v>8487794677</v>
      </c>
      <c r="L45" s="98">
        <v>8574914282</v>
      </c>
    </row>
    <row r="46" spans="1:12" ht="16.5" customHeight="1">
      <c r="A46" s="98">
        <v>45</v>
      </c>
      <c r="B46" s="200" t="s">
        <v>2078</v>
      </c>
      <c r="C46" s="98">
        <v>233928</v>
      </c>
      <c r="D46" s="200" t="s">
        <v>579</v>
      </c>
      <c r="E46" s="98" t="s">
        <v>2178</v>
      </c>
      <c r="F46" s="98" t="s">
        <v>93</v>
      </c>
      <c r="G46" s="200" t="s">
        <v>2080</v>
      </c>
      <c r="H46" s="200" t="s">
        <v>2179</v>
      </c>
      <c r="I46" s="98">
        <v>2022.12</v>
      </c>
      <c r="J46" s="98">
        <v>998.64</v>
      </c>
    </row>
    <row r="47" spans="1:12" ht="16.5" customHeight="1">
      <c r="A47" s="98">
        <v>46</v>
      </c>
      <c r="B47" s="200" t="s">
        <v>2078</v>
      </c>
      <c r="C47" s="98">
        <v>233935</v>
      </c>
      <c r="D47" s="200" t="s">
        <v>579</v>
      </c>
      <c r="E47" s="98" t="s">
        <v>2180</v>
      </c>
      <c r="F47" s="98" t="s">
        <v>95</v>
      </c>
      <c r="G47" s="200" t="s">
        <v>2080</v>
      </c>
      <c r="H47" s="200" t="s">
        <v>2181</v>
      </c>
      <c r="I47" s="98">
        <v>2023.04</v>
      </c>
      <c r="J47" s="98">
        <v>1005.53</v>
      </c>
    </row>
    <row r="48" spans="1:12" ht="16.5" customHeight="1">
      <c r="A48" s="98">
        <v>47</v>
      </c>
      <c r="B48" s="200" t="s">
        <v>2078</v>
      </c>
      <c r="C48" s="98">
        <v>233940</v>
      </c>
      <c r="D48" s="200" t="s">
        <v>579</v>
      </c>
      <c r="E48" s="98" t="s">
        <v>2182</v>
      </c>
      <c r="F48" s="98" t="s">
        <v>93</v>
      </c>
      <c r="G48" s="200" t="s">
        <v>2080</v>
      </c>
      <c r="H48" s="200" t="s">
        <v>2183</v>
      </c>
      <c r="I48" s="98">
        <v>2023.05</v>
      </c>
      <c r="J48" s="98">
        <v>992.82</v>
      </c>
    </row>
    <row r="49" spans="1:12" ht="16.5" customHeight="1">
      <c r="A49" s="98">
        <v>48</v>
      </c>
      <c r="B49" s="200" t="s">
        <v>2078</v>
      </c>
      <c r="C49" s="98">
        <v>233941</v>
      </c>
      <c r="D49" s="200" t="s">
        <v>579</v>
      </c>
      <c r="E49" s="98" t="s">
        <v>2184</v>
      </c>
      <c r="F49" s="98" t="s">
        <v>2085</v>
      </c>
      <c r="G49" s="200" t="s">
        <v>2080</v>
      </c>
      <c r="H49" s="200" t="s">
        <v>2185</v>
      </c>
      <c r="I49" s="98">
        <v>2023.08</v>
      </c>
      <c r="J49" s="98">
        <v>931.26</v>
      </c>
      <c r="K49" s="98">
        <v>25796769694</v>
      </c>
      <c r="L49" s="98">
        <v>27700942973</v>
      </c>
    </row>
    <row r="50" spans="1:12" ht="16.5" customHeight="1">
      <c r="A50" s="98">
        <v>49</v>
      </c>
      <c r="B50" s="200" t="s">
        <v>2078</v>
      </c>
      <c r="C50" s="98">
        <v>233945</v>
      </c>
      <c r="D50" s="200" t="s">
        <v>579</v>
      </c>
      <c r="E50" s="98" t="s">
        <v>2186</v>
      </c>
      <c r="F50" s="98" t="s">
        <v>95</v>
      </c>
      <c r="G50" s="200" t="s">
        <v>2080</v>
      </c>
      <c r="H50" s="200" t="s">
        <v>2187</v>
      </c>
      <c r="I50" s="98">
        <v>2023.07</v>
      </c>
      <c r="J50" s="98">
        <v>1006.19</v>
      </c>
    </row>
    <row r="51" spans="1:12" ht="16.5" customHeight="1">
      <c r="A51" s="98">
        <v>50</v>
      </c>
      <c r="B51" s="200" t="s">
        <v>2078</v>
      </c>
      <c r="C51" s="98">
        <v>233946</v>
      </c>
      <c r="D51" s="200" t="s">
        <v>579</v>
      </c>
      <c r="E51" s="98" t="s">
        <v>2188</v>
      </c>
      <c r="F51" s="98" t="s">
        <v>98</v>
      </c>
      <c r="G51" s="200" t="s">
        <v>2080</v>
      </c>
      <c r="H51" s="200" t="s">
        <v>2189</v>
      </c>
      <c r="I51" s="98">
        <v>2023.09</v>
      </c>
    </row>
    <row r="52" spans="1:12" ht="16.5" customHeight="1">
      <c r="A52" s="98">
        <v>51</v>
      </c>
      <c r="B52" s="200" t="s">
        <v>2078</v>
      </c>
      <c r="C52" s="98">
        <v>233947</v>
      </c>
      <c r="D52" s="200" t="s">
        <v>579</v>
      </c>
      <c r="E52" s="98" t="s">
        <v>2190</v>
      </c>
      <c r="F52" s="98" t="s">
        <v>93</v>
      </c>
      <c r="G52" s="200" t="s">
        <v>2104</v>
      </c>
      <c r="H52" s="200" t="s">
        <v>2191</v>
      </c>
      <c r="I52" s="98" t="s">
        <v>2192</v>
      </c>
      <c r="L52" s="98" t="s">
        <v>2193</v>
      </c>
    </row>
    <row r="53" spans="1:12" ht="16.5" customHeight="1">
      <c r="A53" s="98">
        <v>52</v>
      </c>
      <c r="B53" s="200" t="s">
        <v>2078</v>
      </c>
      <c r="C53" s="98">
        <v>233948</v>
      </c>
      <c r="D53" s="200" t="s">
        <v>579</v>
      </c>
      <c r="E53" s="98" t="s">
        <v>2194</v>
      </c>
      <c r="F53" s="98" t="s">
        <v>93</v>
      </c>
      <c r="G53" s="200" t="s">
        <v>2080</v>
      </c>
      <c r="H53" s="200" t="s">
        <v>2195</v>
      </c>
      <c r="I53" s="98" t="s">
        <v>2196</v>
      </c>
      <c r="J53" s="98">
        <v>996.66</v>
      </c>
      <c r="K53" s="98">
        <v>9459896395</v>
      </c>
      <c r="L53" s="98">
        <v>9491614868</v>
      </c>
    </row>
    <row r="54" spans="1:12" ht="16.5" customHeight="1">
      <c r="A54" s="98">
        <v>53</v>
      </c>
      <c r="B54" s="200" t="s">
        <v>2078</v>
      </c>
      <c r="C54" s="98">
        <v>233949</v>
      </c>
      <c r="D54" s="200" t="s">
        <v>579</v>
      </c>
      <c r="E54" s="98" t="s">
        <v>2197</v>
      </c>
      <c r="F54" s="98" t="s">
        <v>95</v>
      </c>
      <c r="G54" s="200" t="s">
        <v>2080</v>
      </c>
      <c r="H54" s="200" t="s">
        <v>2198</v>
      </c>
      <c r="I54" s="98" t="s">
        <v>2199</v>
      </c>
      <c r="L54" s="98">
        <v>40000000</v>
      </c>
    </row>
    <row r="55" spans="1:12" ht="16.5" customHeight="1">
      <c r="A55" s="98">
        <v>54</v>
      </c>
      <c r="B55" s="200" t="s">
        <v>2078</v>
      </c>
      <c r="C55" s="98">
        <v>233955</v>
      </c>
      <c r="D55" s="200" t="s">
        <v>579</v>
      </c>
      <c r="E55" s="98" t="s">
        <v>2200</v>
      </c>
      <c r="F55" s="98" t="s">
        <v>98</v>
      </c>
      <c r="G55" s="200" t="s">
        <v>2080</v>
      </c>
      <c r="H55" s="200" t="s">
        <v>2201</v>
      </c>
      <c r="I55" s="98" t="s">
        <v>2202</v>
      </c>
      <c r="L55" s="98" t="s">
        <v>2203</v>
      </c>
    </row>
    <row r="56" spans="1:12" ht="16.5" customHeight="1">
      <c r="A56" s="98">
        <v>55</v>
      </c>
      <c r="B56" s="200" t="s">
        <v>2078</v>
      </c>
      <c r="C56" s="98" t="s">
        <v>321</v>
      </c>
      <c r="D56" s="200" t="s">
        <v>556</v>
      </c>
      <c r="E56" s="98" t="s">
        <v>2204</v>
      </c>
      <c r="F56" s="200" t="s">
        <v>2093</v>
      </c>
      <c r="H56" s="200" t="s">
        <v>2205</v>
      </c>
      <c r="I56" s="98">
        <v>2009.04</v>
      </c>
      <c r="J56" s="98">
        <v>1084.2</v>
      </c>
      <c r="K56" s="98">
        <v>40000000</v>
      </c>
      <c r="L56" s="98">
        <v>37000000</v>
      </c>
    </row>
    <row r="57" spans="1:12" ht="16.5" customHeight="1">
      <c r="A57" s="98">
        <v>56</v>
      </c>
      <c r="B57" s="200" t="s">
        <v>2078</v>
      </c>
      <c r="C57" s="98" t="s">
        <v>2206</v>
      </c>
      <c r="D57" s="200" t="s">
        <v>579</v>
      </c>
      <c r="E57" s="98" t="s">
        <v>2207</v>
      </c>
      <c r="F57" s="98" t="s">
        <v>95</v>
      </c>
      <c r="G57" s="200" t="s">
        <v>2080</v>
      </c>
      <c r="H57" s="200" t="s">
        <v>2208</v>
      </c>
      <c r="I57" s="98">
        <v>2020.03</v>
      </c>
      <c r="J57" s="98">
        <v>1438.85</v>
      </c>
    </row>
    <row r="58" spans="1:12" ht="16.5" customHeight="1">
      <c r="A58" s="98">
        <v>57</v>
      </c>
      <c r="B58" s="200" t="s">
        <v>2078</v>
      </c>
      <c r="C58" s="98" t="s">
        <v>2209</v>
      </c>
      <c r="D58" s="200" t="s">
        <v>2210</v>
      </c>
      <c r="E58" s="98" t="s">
        <v>2211</v>
      </c>
      <c r="F58" s="200" t="s">
        <v>2093</v>
      </c>
      <c r="G58" s="200" t="s">
        <v>2212</v>
      </c>
      <c r="H58" s="200" t="s">
        <v>2213</v>
      </c>
      <c r="I58" s="98">
        <v>2020.05</v>
      </c>
    </row>
    <row r="59" spans="1:12" ht="16.5" customHeight="1">
      <c r="A59" s="98">
        <v>58</v>
      </c>
      <c r="B59" s="200" t="s">
        <v>2078</v>
      </c>
      <c r="C59" s="98" t="s">
        <v>323</v>
      </c>
      <c r="D59" s="200" t="s">
        <v>556</v>
      </c>
      <c r="E59" s="98" t="s">
        <v>2214</v>
      </c>
      <c r="F59" s="200" t="s">
        <v>2093</v>
      </c>
      <c r="H59" s="200" t="s">
        <v>2215</v>
      </c>
      <c r="I59" s="98">
        <v>2013.03</v>
      </c>
      <c r="J59" s="98">
        <v>1391.27</v>
      </c>
      <c r="K59" s="98">
        <v>126115000000</v>
      </c>
      <c r="L59" s="98">
        <v>90648000000</v>
      </c>
    </row>
    <row r="60" spans="1:12" ht="16.5" customHeight="1">
      <c r="A60" s="98">
        <v>59</v>
      </c>
      <c r="B60" s="200" t="s">
        <v>2078</v>
      </c>
      <c r="C60" s="98" t="s">
        <v>324</v>
      </c>
      <c r="D60" s="200" t="s">
        <v>556</v>
      </c>
      <c r="E60" s="98" t="s">
        <v>2216</v>
      </c>
      <c r="F60" s="200" t="s">
        <v>2093</v>
      </c>
      <c r="H60" s="200" t="s">
        <v>2217</v>
      </c>
      <c r="I60" s="98">
        <v>2013.04</v>
      </c>
      <c r="J60" s="98">
        <v>1084.44</v>
      </c>
      <c r="K60" s="98">
        <v>80663000000</v>
      </c>
      <c r="L60" s="98">
        <v>74383000000</v>
      </c>
    </row>
    <row r="61" spans="1:12" ht="16.5" customHeight="1">
      <c r="A61" s="98">
        <v>60</v>
      </c>
      <c r="B61" s="200" t="s">
        <v>2078</v>
      </c>
      <c r="C61" s="98">
        <v>107606</v>
      </c>
      <c r="D61" s="200" t="s">
        <v>579</v>
      </c>
      <c r="E61" s="98" t="s">
        <v>2218</v>
      </c>
      <c r="F61" s="98" t="s">
        <v>95</v>
      </c>
      <c r="G61" s="200" t="s">
        <v>2080</v>
      </c>
      <c r="H61" s="98" t="s">
        <v>2219</v>
      </c>
      <c r="I61" s="98">
        <v>2016.01</v>
      </c>
      <c r="J61" s="98">
        <v>1018.29</v>
      </c>
    </row>
    <row r="62" spans="1:12" ht="16.5" customHeight="1">
      <c r="A62" s="98">
        <v>61</v>
      </c>
      <c r="B62" s="200" t="s">
        <v>2078</v>
      </c>
      <c r="C62" s="98">
        <v>119982</v>
      </c>
      <c r="D62" s="200" t="s">
        <v>579</v>
      </c>
      <c r="E62" s="98" t="s">
        <v>2220</v>
      </c>
      <c r="F62" s="98" t="s">
        <v>100</v>
      </c>
      <c r="H62" s="200" t="s">
        <v>2221</v>
      </c>
      <c r="I62" s="98">
        <v>2021.01</v>
      </c>
    </row>
    <row r="63" spans="1:12" ht="16.5" customHeight="1">
      <c r="A63" s="98">
        <v>62</v>
      </c>
      <c r="B63" s="200" t="s">
        <v>2078</v>
      </c>
      <c r="C63" s="98">
        <v>209990</v>
      </c>
      <c r="D63" s="200" t="s">
        <v>556</v>
      </c>
      <c r="E63" s="98" t="s">
        <v>2216</v>
      </c>
      <c r="F63" s="200" t="s">
        <v>2093</v>
      </c>
      <c r="H63" s="200" t="s">
        <v>2222</v>
      </c>
      <c r="I63" s="98">
        <v>2013.03</v>
      </c>
      <c r="J63" s="98">
        <v>1164.71</v>
      </c>
      <c r="K63" s="98">
        <v>94000000</v>
      </c>
      <c r="L63" s="98">
        <v>81000000</v>
      </c>
    </row>
    <row r="64" spans="1:12" ht="16.5" customHeight="1">
      <c r="A64" s="98">
        <v>63</v>
      </c>
      <c r="B64" s="200" t="s">
        <v>2078</v>
      </c>
      <c r="C64" s="98">
        <v>219913</v>
      </c>
      <c r="D64" s="200" t="s">
        <v>579</v>
      </c>
      <c r="E64" s="98" t="s">
        <v>2223</v>
      </c>
      <c r="F64" s="98" t="s">
        <v>2085</v>
      </c>
      <c r="H64" s="200" t="s">
        <v>2224</v>
      </c>
      <c r="I64" s="98">
        <v>2016.06</v>
      </c>
      <c r="J64" s="98">
        <v>1047.26</v>
      </c>
      <c r="K64" s="98">
        <v>57830189611</v>
      </c>
      <c r="L64" s="98">
        <v>55220589937</v>
      </c>
    </row>
    <row r="65" spans="1:12" ht="16.5" customHeight="1">
      <c r="A65" s="98">
        <v>64</v>
      </c>
      <c r="B65" s="200" t="s">
        <v>2078</v>
      </c>
      <c r="C65" s="98">
        <v>231903</v>
      </c>
      <c r="D65" s="200" t="s">
        <v>579</v>
      </c>
      <c r="E65" s="98" t="s">
        <v>2225</v>
      </c>
      <c r="F65" s="98" t="s">
        <v>2085</v>
      </c>
      <c r="H65" s="200" t="s">
        <v>2226</v>
      </c>
      <c r="I65" s="98">
        <v>2016.08</v>
      </c>
      <c r="J65" s="98">
        <v>1045.1400000000001</v>
      </c>
      <c r="K65" s="98">
        <v>49262114087</v>
      </c>
      <c r="L65" s="98">
        <v>47134341276</v>
      </c>
    </row>
    <row r="66" spans="1:12" ht="16.5" customHeight="1">
      <c r="A66" s="98">
        <v>65</v>
      </c>
      <c r="B66" s="200" t="s">
        <v>2078</v>
      </c>
      <c r="C66" s="98">
        <v>232976</v>
      </c>
      <c r="D66" s="200" t="s">
        <v>579</v>
      </c>
      <c r="E66" s="98" t="s">
        <v>2227</v>
      </c>
      <c r="F66" s="98" t="s">
        <v>93</v>
      </c>
      <c r="G66" s="200" t="s">
        <v>2080</v>
      </c>
      <c r="H66" s="200" t="s">
        <v>2228</v>
      </c>
      <c r="I66" s="98">
        <v>2021.11</v>
      </c>
      <c r="J66" s="98">
        <v>1086.43</v>
      </c>
    </row>
    <row r="67" spans="1:12" ht="16.5" customHeight="1">
      <c r="A67" s="98">
        <v>66</v>
      </c>
      <c r="B67" s="200" t="s">
        <v>2078</v>
      </c>
      <c r="C67" s="98">
        <v>232985</v>
      </c>
      <c r="D67" s="200" t="s">
        <v>579</v>
      </c>
      <c r="E67" s="98" t="s">
        <v>2229</v>
      </c>
      <c r="F67" s="98" t="s">
        <v>95</v>
      </c>
      <c r="G67" s="200" t="s">
        <v>2080</v>
      </c>
      <c r="H67" s="200" t="s">
        <v>2230</v>
      </c>
      <c r="I67" s="98">
        <v>2022.02</v>
      </c>
      <c r="J67" s="98">
        <v>1043.21</v>
      </c>
    </row>
    <row r="68" spans="1:12" ht="16.5" customHeight="1">
      <c r="A68" s="98">
        <v>67</v>
      </c>
      <c r="B68" s="200" t="s">
        <v>2078</v>
      </c>
      <c r="C68" s="98">
        <v>232992</v>
      </c>
      <c r="D68" s="200" t="s">
        <v>579</v>
      </c>
      <c r="E68" s="98" t="s">
        <v>2231</v>
      </c>
      <c r="F68" s="98" t="s">
        <v>93</v>
      </c>
      <c r="G68" s="200" t="s">
        <v>2080</v>
      </c>
      <c r="H68" s="200" t="s">
        <v>2232</v>
      </c>
      <c r="I68" s="98">
        <v>2022.03</v>
      </c>
      <c r="J68" s="98">
        <v>1111.53</v>
      </c>
    </row>
    <row r="69" spans="1:12" ht="16.5" customHeight="1">
      <c r="A69" s="98">
        <v>68</v>
      </c>
      <c r="B69" s="200" t="s">
        <v>2078</v>
      </c>
      <c r="C69" s="98">
        <v>233920</v>
      </c>
      <c r="D69" s="200" t="s">
        <v>579</v>
      </c>
      <c r="E69" s="98" t="s">
        <v>2233</v>
      </c>
      <c r="F69" s="98" t="s">
        <v>93</v>
      </c>
      <c r="G69" s="200" t="s">
        <v>2080</v>
      </c>
      <c r="H69" s="200" t="s">
        <v>2234</v>
      </c>
      <c r="I69" s="98">
        <v>2022.1</v>
      </c>
      <c r="J69" s="98">
        <v>1195.0999999999999</v>
      </c>
    </row>
    <row r="70" spans="1:12" ht="16.5" customHeight="1">
      <c r="A70" s="98">
        <v>69</v>
      </c>
      <c r="B70" s="200" t="s">
        <v>2078</v>
      </c>
      <c r="C70" s="98">
        <v>233936</v>
      </c>
      <c r="D70" s="200" t="s">
        <v>579</v>
      </c>
      <c r="E70" s="98" t="s">
        <v>2235</v>
      </c>
      <c r="F70" s="98" t="s">
        <v>2085</v>
      </c>
      <c r="G70" s="200" t="s">
        <v>2080</v>
      </c>
      <c r="H70" s="200" t="s">
        <v>2236</v>
      </c>
      <c r="I70" s="98">
        <v>2023.08</v>
      </c>
      <c r="J70" s="98">
        <v>1000</v>
      </c>
    </row>
    <row r="71" spans="1:12" ht="16.5" customHeight="1">
      <c r="A71" s="98">
        <v>70</v>
      </c>
      <c r="B71" s="200" t="s">
        <v>2078</v>
      </c>
      <c r="C71" s="98">
        <v>233939</v>
      </c>
      <c r="D71" s="200" t="s">
        <v>579</v>
      </c>
      <c r="E71" s="98" t="s">
        <v>2237</v>
      </c>
      <c r="F71" s="98" t="s">
        <v>95</v>
      </c>
      <c r="G71" s="200" t="s">
        <v>2080</v>
      </c>
      <c r="H71" s="200" t="s">
        <v>2238</v>
      </c>
      <c r="I71" s="98">
        <v>2020.09</v>
      </c>
      <c r="J71" s="98">
        <v>1438.85</v>
      </c>
    </row>
    <row r="72" spans="1:12" ht="16.5" customHeight="1">
      <c r="A72" s="98">
        <v>71</v>
      </c>
      <c r="B72" s="200" t="s">
        <v>2078</v>
      </c>
      <c r="C72" s="98">
        <v>233943</v>
      </c>
      <c r="D72" s="200" t="s">
        <v>579</v>
      </c>
      <c r="E72" s="98" t="s">
        <v>2239</v>
      </c>
      <c r="F72" s="200" t="s">
        <v>10</v>
      </c>
      <c r="G72" s="200" t="s">
        <v>2104</v>
      </c>
      <c r="H72" s="200" t="s">
        <v>2240</v>
      </c>
      <c r="I72" s="98">
        <v>2023.08</v>
      </c>
      <c r="J72" s="98">
        <v>1000</v>
      </c>
      <c r="L72" s="98" t="s">
        <v>2241</v>
      </c>
    </row>
    <row r="73" spans="1:12" ht="16.5" customHeight="1">
      <c r="A73" s="98">
        <v>72</v>
      </c>
      <c r="B73" s="200" t="s">
        <v>2078</v>
      </c>
      <c r="C73" s="98" t="s">
        <v>2242</v>
      </c>
      <c r="D73" s="200" t="s">
        <v>579</v>
      </c>
      <c r="E73" s="98" t="s">
        <v>2243</v>
      </c>
      <c r="F73" s="98" t="s">
        <v>98</v>
      </c>
      <c r="G73" s="200" t="s">
        <v>2104</v>
      </c>
      <c r="H73" s="200" t="s">
        <v>2244</v>
      </c>
      <c r="I73" s="98">
        <v>2025.03</v>
      </c>
      <c r="J73" s="98">
        <v>1000</v>
      </c>
      <c r="L73" s="98" t="s">
        <v>2241</v>
      </c>
    </row>
    <row r="74" spans="1:12" ht="16.5" customHeight="1">
      <c r="A74" s="98">
        <v>73</v>
      </c>
      <c r="B74" s="200" t="s">
        <v>2078</v>
      </c>
      <c r="C74" s="98">
        <v>234979</v>
      </c>
      <c r="D74" s="200" t="s">
        <v>579</v>
      </c>
      <c r="E74" s="98" t="s">
        <v>2245</v>
      </c>
      <c r="F74" s="98" t="s">
        <v>98</v>
      </c>
      <c r="G74" s="200" t="s">
        <v>2104</v>
      </c>
      <c r="H74" s="200" t="s">
        <v>2246</v>
      </c>
      <c r="I74" s="98">
        <v>2026.01</v>
      </c>
      <c r="J74" s="98">
        <v>1000</v>
      </c>
      <c r="L74" s="98" t="s">
        <v>2247</v>
      </c>
    </row>
    <row r="75" spans="1:12" ht="14.25">
      <c r="A75" s="98">
        <v>74</v>
      </c>
      <c r="B75" s="200" t="s">
        <v>2078</v>
      </c>
      <c r="C75">
        <v>232946</v>
      </c>
      <c r="F75" s="98" t="s">
        <v>95</v>
      </c>
    </row>
    <row r="78" spans="1:12" ht="16.5" customHeight="1">
      <c r="B78" s="200" t="s">
        <v>506</v>
      </c>
      <c r="C78" s="200" t="s">
        <v>38</v>
      </c>
      <c r="D78" s="200" t="s">
        <v>2077</v>
      </c>
      <c r="E78" s="200" t="s">
        <v>671</v>
      </c>
      <c r="F78" s="200" t="s">
        <v>42</v>
      </c>
      <c r="G78" s="200" t="s">
        <v>549</v>
      </c>
      <c r="H78" s="200" t="s">
        <v>673</v>
      </c>
      <c r="I78" s="200" t="s">
        <v>674</v>
      </c>
      <c r="J78" s="200" t="s">
        <v>23</v>
      </c>
      <c r="K78" s="200" t="s">
        <v>552</v>
      </c>
      <c r="L78" s="200" t="s">
        <v>553</v>
      </c>
    </row>
    <row r="79" spans="1:12" ht="16.5" customHeight="1">
      <c r="B79" s="200" t="s">
        <v>2078</v>
      </c>
      <c r="C79" s="98">
        <v>232007</v>
      </c>
      <c r="D79" s="200" t="s">
        <v>579</v>
      </c>
      <c r="H79" s="200" t="s">
        <v>2248</v>
      </c>
      <c r="I79" s="98">
        <v>2021.03</v>
      </c>
    </row>
    <row r="80" spans="1:12" ht="16.5" customHeight="1">
      <c r="B80" s="200" t="s">
        <v>2078</v>
      </c>
      <c r="C80" s="98">
        <v>232927</v>
      </c>
      <c r="D80" s="200" t="s">
        <v>2210</v>
      </c>
      <c r="F80" s="200" t="s">
        <v>2093</v>
      </c>
      <c r="G80" s="200" t="s">
        <v>2249</v>
      </c>
      <c r="H80" s="200" t="s">
        <v>2250</v>
      </c>
      <c r="I80" s="98">
        <v>2020.07</v>
      </c>
      <c r="J80" s="98">
        <v>965.65</v>
      </c>
      <c r="K80" s="98">
        <v>3576346944</v>
      </c>
      <c r="L80" s="98">
        <v>3703546583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3"/>
  <dimension ref="B1:L5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2:12" ht="16.5" customHeight="1">
      <c r="B2" s="200" t="s">
        <v>2251</v>
      </c>
      <c r="C2" s="98" t="s">
        <v>2252</v>
      </c>
      <c r="D2" s="200" t="s">
        <v>566</v>
      </c>
      <c r="E2" s="98" t="s">
        <v>2253</v>
      </c>
      <c r="F2" s="98" t="s">
        <v>98</v>
      </c>
      <c r="G2" s="200" t="s">
        <v>2254</v>
      </c>
      <c r="H2" s="201">
        <v>45378</v>
      </c>
      <c r="K2" s="98" t="s">
        <v>2255</v>
      </c>
    </row>
    <row r="3" spans="2:12" ht="16.5" customHeight="1">
      <c r="B3" s="200" t="s">
        <v>2251</v>
      </c>
      <c r="C3" s="98" t="s">
        <v>2256</v>
      </c>
      <c r="D3" s="200" t="s">
        <v>566</v>
      </c>
      <c r="E3" s="98" t="s">
        <v>2257</v>
      </c>
      <c r="F3" s="98" t="s">
        <v>98</v>
      </c>
      <c r="G3" s="200" t="s">
        <v>2258</v>
      </c>
      <c r="H3" s="201">
        <v>45714</v>
      </c>
      <c r="K3" s="98" t="s">
        <v>2255</v>
      </c>
    </row>
    <row r="4" spans="2:12" ht="16.5" customHeight="1">
      <c r="B4" s="200" t="s">
        <v>2251</v>
      </c>
      <c r="C4" s="98" t="s">
        <v>2259</v>
      </c>
      <c r="D4" s="200" t="s">
        <v>566</v>
      </c>
      <c r="E4" s="98" t="s">
        <v>2260</v>
      </c>
      <c r="F4" s="98" t="s">
        <v>97</v>
      </c>
      <c r="G4" s="200" t="s">
        <v>2261</v>
      </c>
      <c r="H4" s="201">
        <v>45747</v>
      </c>
      <c r="K4" s="98" t="s">
        <v>2255</v>
      </c>
    </row>
    <row r="5" spans="2:12" ht="16.5" customHeight="1">
      <c r="B5" s="200" t="s">
        <v>2251</v>
      </c>
      <c r="C5" s="98" t="s">
        <v>2262</v>
      </c>
      <c r="D5" s="200" t="s">
        <v>566</v>
      </c>
      <c r="E5" s="98" t="s">
        <v>2263</v>
      </c>
      <c r="F5" s="98" t="s">
        <v>98</v>
      </c>
      <c r="G5" s="200" t="s">
        <v>2264</v>
      </c>
      <c r="H5" s="98" t="s">
        <v>2265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4"/>
  <dimension ref="B1:M23"/>
  <sheetViews>
    <sheetView zoomScaleNormal="100" workbookViewId="0">
      <selection activeCell="C13" sqref="C13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671</v>
      </c>
      <c r="E1" s="200" t="s">
        <v>546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2266</v>
      </c>
      <c r="C2" s="98" t="s">
        <v>111</v>
      </c>
      <c r="D2" s="98" t="s">
        <v>2267</v>
      </c>
      <c r="F2" s="98" t="s">
        <v>94</v>
      </c>
      <c r="G2" s="200" t="s">
        <v>2268</v>
      </c>
      <c r="H2" s="200" t="s">
        <v>2269</v>
      </c>
      <c r="I2" s="98" t="s">
        <v>2270</v>
      </c>
      <c r="J2" s="98">
        <v>966.49</v>
      </c>
      <c r="K2" s="98">
        <v>61855000000</v>
      </c>
      <c r="L2" s="98">
        <v>64000000000</v>
      </c>
      <c r="M2" s="98" t="s">
        <v>589</v>
      </c>
    </row>
    <row r="3" spans="2:13" ht="16.5" customHeight="1">
      <c r="B3" s="200" t="s">
        <v>2266</v>
      </c>
      <c r="C3" s="98" t="s">
        <v>112</v>
      </c>
      <c r="D3" s="98" t="s">
        <v>2271</v>
      </c>
      <c r="F3" s="98" t="s">
        <v>100</v>
      </c>
      <c r="G3" s="200" t="s">
        <v>2272</v>
      </c>
      <c r="H3" s="200" t="s">
        <v>2273</v>
      </c>
      <c r="I3" s="98" t="s">
        <v>2274</v>
      </c>
      <c r="J3" s="98" t="s">
        <v>636</v>
      </c>
      <c r="K3" s="98" t="s">
        <v>636</v>
      </c>
      <c r="L3" s="98" t="s">
        <v>636</v>
      </c>
      <c r="M3" s="98" t="s">
        <v>589</v>
      </c>
    </row>
    <row r="4" spans="2:13" ht="16.5" customHeight="1">
      <c r="B4" s="200" t="s">
        <v>2266</v>
      </c>
      <c r="C4" s="98" t="s">
        <v>113</v>
      </c>
      <c r="D4" s="98" t="s">
        <v>2275</v>
      </c>
      <c r="E4" s="200" t="s">
        <v>556</v>
      </c>
      <c r="F4" s="98" t="s">
        <v>100</v>
      </c>
      <c r="G4" s="200" t="s">
        <v>2276</v>
      </c>
      <c r="H4" s="200" t="s">
        <v>2277</v>
      </c>
      <c r="I4" s="98" t="s">
        <v>2274</v>
      </c>
      <c r="J4" s="98">
        <v>1055.95</v>
      </c>
      <c r="K4" s="98">
        <v>4120558280</v>
      </c>
      <c r="L4" s="98">
        <v>3902241438</v>
      </c>
      <c r="M4" s="98" t="s">
        <v>562</v>
      </c>
    </row>
    <row r="5" spans="2:13" ht="16.5" customHeight="1">
      <c r="B5" s="200" t="s">
        <v>2266</v>
      </c>
      <c r="C5" s="98" t="s">
        <v>114</v>
      </c>
      <c r="D5" s="98" t="s">
        <v>2278</v>
      </c>
      <c r="F5" s="98" t="s">
        <v>100</v>
      </c>
      <c r="G5" s="200" t="s">
        <v>2272</v>
      </c>
      <c r="H5" s="200" t="s">
        <v>2279</v>
      </c>
      <c r="I5" s="98" t="s">
        <v>2274</v>
      </c>
      <c r="J5" s="98" t="s">
        <v>636</v>
      </c>
      <c r="K5" s="98" t="s">
        <v>636</v>
      </c>
      <c r="L5" s="98" t="s">
        <v>636</v>
      </c>
      <c r="M5" s="98" t="s">
        <v>589</v>
      </c>
    </row>
    <row r="6" spans="2:13" ht="16.5" customHeight="1">
      <c r="B6" s="200" t="s">
        <v>2266</v>
      </c>
      <c r="C6" s="98" t="s">
        <v>2280</v>
      </c>
      <c r="D6" s="98" t="s">
        <v>2281</v>
      </c>
      <c r="F6" s="98" t="s">
        <v>96</v>
      </c>
      <c r="G6" s="200" t="s">
        <v>2282</v>
      </c>
      <c r="H6" s="200" t="s">
        <v>2283</v>
      </c>
      <c r="I6" s="98" t="s">
        <v>2284</v>
      </c>
      <c r="J6" s="98" t="s">
        <v>636</v>
      </c>
      <c r="K6" s="98" t="s">
        <v>636</v>
      </c>
      <c r="L6" s="98" t="s">
        <v>636</v>
      </c>
      <c r="M6" s="98" t="s">
        <v>1635</v>
      </c>
    </row>
    <row r="7" spans="2:13" ht="16.5" customHeight="1">
      <c r="B7" s="200" t="s">
        <v>2266</v>
      </c>
      <c r="C7" s="98" t="s">
        <v>117</v>
      </c>
      <c r="D7" s="98" t="s">
        <v>2285</v>
      </c>
      <c r="E7" s="200" t="s">
        <v>556</v>
      </c>
      <c r="F7" s="98" t="s">
        <v>96</v>
      </c>
      <c r="G7" s="200" t="s">
        <v>2286</v>
      </c>
      <c r="H7" s="200" t="s">
        <v>2287</v>
      </c>
      <c r="I7" s="98" t="s">
        <v>2284</v>
      </c>
      <c r="J7" s="98">
        <v>1060.56</v>
      </c>
      <c r="K7" s="98">
        <v>5544721836</v>
      </c>
      <c r="L7" s="98">
        <v>5228105700</v>
      </c>
      <c r="M7" s="98" t="s">
        <v>562</v>
      </c>
    </row>
    <row r="8" spans="2:13" ht="16.5" customHeight="1">
      <c r="B8" s="200" t="s">
        <v>2266</v>
      </c>
      <c r="C8" s="98" t="s">
        <v>420</v>
      </c>
      <c r="D8" s="98" t="s">
        <v>2288</v>
      </c>
      <c r="F8" s="98" t="s">
        <v>94</v>
      </c>
      <c r="G8" s="200" t="s">
        <v>2289</v>
      </c>
      <c r="H8" s="200" t="s">
        <v>2290</v>
      </c>
      <c r="I8" s="98" t="s">
        <v>2291</v>
      </c>
      <c r="J8" s="98">
        <v>385.85</v>
      </c>
      <c r="K8" s="98">
        <v>3181000000</v>
      </c>
      <c r="L8" s="98">
        <v>8243000000</v>
      </c>
      <c r="M8" s="98" t="s">
        <v>1635</v>
      </c>
    </row>
    <row r="9" spans="2:13" ht="16.5" customHeight="1">
      <c r="B9" s="200" t="s">
        <v>2266</v>
      </c>
      <c r="C9" s="98" t="s">
        <v>2292</v>
      </c>
      <c r="D9" s="98" t="s">
        <v>2293</v>
      </c>
      <c r="E9" s="200" t="s">
        <v>556</v>
      </c>
      <c r="F9" s="98" t="s">
        <v>94</v>
      </c>
      <c r="G9" s="200" t="s">
        <v>2294</v>
      </c>
      <c r="H9" s="200" t="s">
        <v>2295</v>
      </c>
      <c r="I9" s="98" t="s">
        <v>2296</v>
      </c>
      <c r="J9" s="98">
        <v>960.49</v>
      </c>
      <c r="K9" s="98">
        <v>377454004</v>
      </c>
      <c r="L9" s="98">
        <v>392980766</v>
      </c>
      <c r="M9" s="98" t="s">
        <v>562</v>
      </c>
    </row>
    <row r="10" spans="2:13" ht="16.5" customHeight="1">
      <c r="B10" s="200" t="s">
        <v>2266</v>
      </c>
      <c r="C10" s="98" t="s">
        <v>120</v>
      </c>
      <c r="D10" s="98" t="s">
        <v>2297</v>
      </c>
      <c r="E10" s="200" t="s">
        <v>566</v>
      </c>
      <c r="F10" s="98" t="s">
        <v>94</v>
      </c>
      <c r="G10" s="200" t="s">
        <v>2294</v>
      </c>
      <c r="H10" s="200" t="s">
        <v>2298</v>
      </c>
      <c r="I10" s="98" t="s">
        <v>2299</v>
      </c>
      <c r="J10" s="98">
        <v>935.67</v>
      </c>
      <c r="K10" s="98">
        <v>727482928</v>
      </c>
      <c r="L10" s="98">
        <v>777495520</v>
      </c>
      <c r="M10" s="98" t="s">
        <v>562</v>
      </c>
    </row>
    <row r="11" spans="2:13" ht="16.5" customHeight="1">
      <c r="B11" s="200" t="s">
        <v>2266</v>
      </c>
      <c r="C11" s="98" t="s">
        <v>2300</v>
      </c>
      <c r="D11" s="98" t="s">
        <v>2301</v>
      </c>
      <c r="F11" s="98" t="s">
        <v>95</v>
      </c>
      <c r="G11" s="200" t="s">
        <v>2302</v>
      </c>
      <c r="H11" s="200" t="s">
        <v>2303</v>
      </c>
      <c r="I11" s="98">
        <v>2016.1</v>
      </c>
      <c r="J11" s="98">
        <v>1636.72</v>
      </c>
      <c r="K11" s="98">
        <v>599590924</v>
      </c>
      <c r="L11" s="98">
        <v>366336634</v>
      </c>
    </row>
    <row r="12" spans="2:13" ht="16.5" customHeight="1">
      <c r="B12" s="200" t="s">
        <v>2266</v>
      </c>
      <c r="C12" s="98" t="s">
        <v>455</v>
      </c>
      <c r="D12" s="98" t="s">
        <v>2304</v>
      </c>
      <c r="E12" s="200" t="s">
        <v>556</v>
      </c>
      <c r="F12" s="98" t="s">
        <v>98</v>
      </c>
      <c r="G12" s="200" t="s">
        <v>2294</v>
      </c>
      <c r="H12" s="200" t="s">
        <v>2305</v>
      </c>
      <c r="J12" s="98">
        <v>1040</v>
      </c>
    </row>
    <row r="13" spans="2:13" ht="16.5" customHeight="1">
      <c r="B13" s="200" t="s">
        <v>2266</v>
      </c>
      <c r="C13" s="98" t="s">
        <v>2306</v>
      </c>
      <c r="D13" s="98" t="s">
        <v>2307</v>
      </c>
      <c r="E13" s="200" t="s">
        <v>556</v>
      </c>
      <c r="F13" s="98" t="s">
        <v>98</v>
      </c>
      <c r="G13" s="200" t="s">
        <v>2294</v>
      </c>
      <c r="H13" s="200" t="s">
        <v>2308</v>
      </c>
      <c r="J13" s="98">
        <v>1049</v>
      </c>
    </row>
    <row r="14" spans="2:13" ht="16.5" customHeight="1">
      <c r="B14" s="200" t="s">
        <v>2266</v>
      </c>
      <c r="C14" s="98" t="s">
        <v>2309</v>
      </c>
      <c r="D14" s="98" t="s">
        <v>2310</v>
      </c>
      <c r="E14" s="200" t="s">
        <v>556</v>
      </c>
      <c r="F14" s="98" t="s">
        <v>98</v>
      </c>
      <c r="G14" s="200" t="s">
        <v>2294</v>
      </c>
      <c r="H14" s="200" t="s">
        <v>2311</v>
      </c>
      <c r="I14" s="98" t="s">
        <v>2312</v>
      </c>
    </row>
    <row r="15" spans="2:13" ht="16.5" customHeight="1">
      <c r="B15" s="200" t="s">
        <v>2266</v>
      </c>
      <c r="C15" s="98" t="s">
        <v>2313</v>
      </c>
      <c r="D15" s="98" t="s">
        <v>2314</v>
      </c>
      <c r="E15" s="200" t="s">
        <v>556</v>
      </c>
      <c r="F15" s="98" t="s">
        <v>98</v>
      </c>
      <c r="G15" s="200" t="s">
        <v>2294</v>
      </c>
      <c r="H15" s="200" t="s">
        <v>2315</v>
      </c>
      <c r="I15" s="98" t="s">
        <v>2312</v>
      </c>
    </row>
    <row r="16" spans="2:13" ht="16.5" customHeight="1">
      <c r="B16" s="200" t="s">
        <v>2266</v>
      </c>
      <c r="C16" s="98" t="s">
        <v>2316</v>
      </c>
      <c r="D16" s="98" t="s">
        <v>2317</v>
      </c>
      <c r="E16" s="200" t="s">
        <v>556</v>
      </c>
      <c r="F16" s="98" t="s">
        <v>98</v>
      </c>
      <c r="G16" s="200" t="s">
        <v>2294</v>
      </c>
      <c r="H16" s="200" t="s">
        <v>2318</v>
      </c>
      <c r="I16" s="98" t="s">
        <v>2312</v>
      </c>
    </row>
    <row r="17" spans="2:13" ht="16.5" customHeight="1">
      <c r="B17" s="200" t="s">
        <v>2266</v>
      </c>
      <c r="C17" s="98">
        <v>1021</v>
      </c>
      <c r="D17" s="98" t="s">
        <v>2319</v>
      </c>
      <c r="E17" s="200" t="s">
        <v>566</v>
      </c>
      <c r="F17" s="98" t="s">
        <v>96</v>
      </c>
      <c r="G17" s="200" t="s">
        <v>2320</v>
      </c>
      <c r="H17" s="200" t="s">
        <v>2321</v>
      </c>
      <c r="I17" s="98">
        <v>2026.01</v>
      </c>
    </row>
    <row r="18" spans="2:13" ht="16.5" customHeight="1">
      <c r="B18" s="200" t="s">
        <v>2266</v>
      </c>
      <c r="C18" s="98">
        <v>1022</v>
      </c>
      <c r="D18" s="98" t="s">
        <v>2322</v>
      </c>
      <c r="E18" s="200" t="s">
        <v>556</v>
      </c>
      <c r="F18" s="98" t="s">
        <v>96</v>
      </c>
      <c r="G18" s="200" t="s">
        <v>2320</v>
      </c>
      <c r="H18" s="200" t="s">
        <v>2323</v>
      </c>
      <c r="I18" s="98">
        <v>2026.05</v>
      </c>
    </row>
    <row r="19" spans="2:13" ht="14.25">
      <c r="B19" s="200"/>
      <c r="C19" s="98"/>
      <c r="F19" s="98" t="s">
        <v>3182</v>
      </c>
    </row>
    <row r="20" spans="2:13" ht="15" customHeight="1">
      <c r="B20" s="200" t="s">
        <v>2324</v>
      </c>
    </row>
    <row r="21" spans="2:13" ht="16.5" customHeight="1">
      <c r="B21" s="200" t="s">
        <v>2266</v>
      </c>
      <c r="C21" s="98" t="s">
        <v>119</v>
      </c>
      <c r="D21" s="98" t="s">
        <v>2325</v>
      </c>
      <c r="E21" s="200" t="s">
        <v>566</v>
      </c>
      <c r="F21" s="98" t="s">
        <v>94</v>
      </c>
      <c r="G21" s="200" t="s">
        <v>2294</v>
      </c>
      <c r="H21" s="200" t="s">
        <v>2326</v>
      </c>
      <c r="I21" s="98" t="s">
        <v>2327</v>
      </c>
      <c r="J21" s="98">
        <v>941.51</v>
      </c>
      <c r="K21" s="98">
        <v>893587230</v>
      </c>
      <c r="L21" s="98">
        <v>949098554</v>
      </c>
      <c r="M21" s="98" t="s">
        <v>562</v>
      </c>
    </row>
    <row r="22" spans="2:13" ht="16.5" customHeight="1">
      <c r="B22" s="200" t="s">
        <v>2266</v>
      </c>
      <c r="C22" s="98" t="s">
        <v>109</v>
      </c>
      <c r="F22" s="98" t="s">
        <v>96</v>
      </c>
      <c r="G22" s="200" t="s">
        <v>2282</v>
      </c>
      <c r="H22" s="200" t="s">
        <v>2328</v>
      </c>
      <c r="I22" s="98" t="s">
        <v>2329</v>
      </c>
      <c r="J22" s="98">
        <v>593.01</v>
      </c>
      <c r="K22" s="98">
        <v>20042850954</v>
      </c>
      <c r="L22" s="98">
        <v>32300000000</v>
      </c>
      <c r="M22" s="98" t="s">
        <v>589</v>
      </c>
    </row>
    <row r="23" spans="2:13" ht="16.5" customHeight="1">
      <c r="B23" s="200" t="s">
        <v>2266</v>
      </c>
      <c r="C23" s="98" t="s">
        <v>2330</v>
      </c>
      <c r="D23" s="98" t="s">
        <v>2331</v>
      </c>
      <c r="F23" s="98" t="s">
        <v>96</v>
      </c>
      <c r="G23" s="200" t="s">
        <v>2282</v>
      </c>
      <c r="H23" s="200" t="s">
        <v>2332</v>
      </c>
      <c r="I23" s="98" t="s">
        <v>2333</v>
      </c>
      <c r="J23" s="98">
        <v>1001.11</v>
      </c>
      <c r="M23" s="98" t="s">
        <v>1635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5"/>
  <dimension ref="A1:Q53"/>
  <sheetViews>
    <sheetView zoomScaleNormal="100" workbookViewId="0"/>
  </sheetViews>
  <sheetFormatPr defaultColWidth="8.5546875" defaultRowHeight="13.5"/>
  <sheetData>
    <row r="1" spans="1:16" ht="16.5" customHeight="1">
      <c r="A1" s="200" t="s">
        <v>1246</v>
      </c>
      <c r="B1" s="200" t="s">
        <v>506</v>
      </c>
      <c r="C1" s="200" t="s">
        <v>38</v>
      </c>
      <c r="D1" s="200" t="s">
        <v>671</v>
      </c>
      <c r="E1" s="200" t="s">
        <v>2077</v>
      </c>
      <c r="F1" s="200" t="s">
        <v>42</v>
      </c>
      <c r="G1" s="200" t="s">
        <v>673</v>
      </c>
      <c r="M1" s="200" t="s">
        <v>2334</v>
      </c>
      <c r="N1" s="200" t="s">
        <v>23</v>
      </c>
      <c r="O1" s="200" t="s">
        <v>552</v>
      </c>
      <c r="P1" s="200" t="s">
        <v>553</v>
      </c>
    </row>
    <row r="2" spans="1:16" ht="16.5" customHeight="1">
      <c r="A2" s="98">
        <v>1</v>
      </c>
      <c r="B2" s="200" t="s">
        <v>2335</v>
      </c>
      <c r="C2" s="98">
        <v>54301</v>
      </c>
      <c r="D2" s="98" t="s">
        <v>2336</v>
      </c>
      <c r="E2" s="200" t="s">
        <v>556</v>
      </c>
      <c r="F2" s="98" t="s">
        <v>96</v>
      </c>
      <c r="G2" s="200" t="s">
        <v>2337</v>
      </c>
      <c r="M2" s="98">
        <v>2010.09</v>
      </c>
      <c r="N2" s="98">
        <v>701.85</v>
      </c>
      <c r="O2" s="98">
        <v>166994008</v>
      </c>
      <c r="P2" s="98">
        <v>237934054</v>
      </c>
    </row>
    <row r="3" spans="1:16" ht="16.5" customHeight="1">
      <c r="A3" s="98">
        <v>2</v>
      </c>
      <c r="B3" s="200" t="s">
        <v>2335</v>
      </c>
      <c r="C3" s="98" t="s">
        <v>2338</v>
      </c>
      <c r="D3" s="98" t="s">
        <v>2339</v>
      </c>
      <c r="E3" s="200" t="s">
        <v>556</v>
      </c>
      <c r="F3" s="98" t="s">
        <v>96</v>
      </c>
      <c r="G3" s="200" t="s">
        <v>2340</v>
      </c>
      <c r="M3" s="98">
        <v>2011.08</v>
      </c>
      <c r="N3" s="98">
        <v>929.68</v>
      </c>
      <c r="O3" s="98">
        <v>2776778274</v>
      </c>
      <c r="P3" s="98">
        <v>2986819924</v>
      </c>
    </row>
    <row r="4" spans="1:16" ht="16.5" customHeight="1">
      <c r="A4" s="98">
        <v>3</v>
      </c>
      <c r="B4" s="200" t="s">
        <v>2335</v>
      </c>
      <c r="C4" s="98">
        <v>64531</v>
      </c>
      <c r="D4" s="98" t="s">
        <v>2341</v>
      </c>
      <c r="E4" s="200" t="s">
        <v>556</v>
      </c>
      <c r="F4" s="98" t="s">
        <v>96</v>
      </c>
      <c r="G4" s="200" t="s">
        <v>2342</v>
      </c>
      <c r="M4" s="98">
        <v>2013.11</v>
      </c>
      <c r="N4" s="98">
        <v>1582.3</v>
      </c>
      <c r="O4" s="98">
        <v>3338774663</v>
      </c>
      <c r="P4" s="98">
        <v>2110077154</v>
      </c>
    </row>
    <row r="5" spans="1:16" ht="16.5" customHeight="1">
      <c r="A5" s="98">
        <v>4</v>
      </c>
      <c r="B5" s="200" t="s">
        <v>2335</v>
      </c>
      <c r="C5" s="98">
        <v>65500</v>
      </c>
      <c r="D5" s="98" t="s">
        <v>2343</v>
      </c>
      <c r="E5" s="200" t="s">
        <v>556</v>
      </c>
      <c r="F5" s="98" t="s">
        <v>96</v>
      </c>
      <c r="G5" s="200" t="s">
        <v>2344</v>
      </c>
      <c r="M5" s="98">
        <v>2014.08</v>
      </c>
      <c r="N5" s="98">
        <v>1854.06</v>
      </c>
      <c r="O5" s="98">
        <v>5053571989</v>
      </c>
      <c r="P5" s="98">
        <v>2725674803</v>
      </c>
    </row>
    <row r="6" spans="1:16" ht="16.5" customHeight="1">
      <c r="A6" s="98">
        <v>5</v>
      </c>
      <c r="B6" s="200" t="s">
        <v>2335</v>
      </c>
      <c r="C6" s="98">
        <v>63141</v>
      </c>
      <c r="D6" s="98" t="s">
        <v>2345</v>
      </c>
      <c r="E6" s="200" t="s">
        <v>556</v>
      </c>
      <c r="F6" s="98" t="s">
        <v>97</v>
      </c>
      <c r="G6" s="200" t="s">
        <v>2346</v>
      </c>
      <c r="M6" s="98">
        <v>2005.12</v>
      </c>
      <c r="N6" s="98">
        <v>1253.67</v>
      </c>
      <c r="O6" s="98">
        <v>2471039714</v>
      </c>
      <c r="P6" s="98">
        <v>1971047525</v>
      </c>
    </row>
    <row r="7" spans="1:16" ht="16.5" customHeight="1">
      <c r="A7" s="98">
        <v>6</v>
      </c>
      <c r="B7" s="200" t="s">
        <v>2335</v>
      </c>
      <c r="C7" s="98">
        <v>63751</v>
      </c>
      <c r="D7" s="98" t="s">
        <v>2347</v>
      </c>
      <c r="E7" s="200" t="s">
        <v>566</v>
      </c>
      <c r="F7" s="98" t="s">
        <v>96</v>
      </c>
      <c r="G7" s="200" t="s">
        <v>2348</v>
      </c>
      <c r="M7" s="98">
        <v>2010.01</v>
      </c>
      <c r="N7" s="98">
        <v>582.89</v>
      </c>
      <c r="O7" s="98">
        <v>69346123</v>
      </c>
      <c r="P7" s="98">
        <v>118970084</v>
      </c>
    </row>
    <row r="8" spans="1:16" ht="16.5" customHeight="1">
      <c r="A8" s="98">
        <v>7</v>
      </c>
      <c r="B8" s="200" t="s">
        <v>2335</v>
      </c>
      <c r="C8" s="98">
        <v>65520</v>
      </c>
      <c r="D8" s="98" t="s">
        <v>2349</v>
      </c>
      <c r="E8" s="200" t="s">
        <v>556</v>
      </c>
      <c r="F8" s="98" t="s">
        <v>98</v>
      </c>
      <c r="G8" s="200" t="s">
        <v>2350</v>
      </c>
      <c r="M8" s="98">
        <v>2005.05</v>
      </c>
      <c r="N8" s="98">
        <v>981.45</v>
      </c>
      <c r="O8" s="98">
        <v>77305452329</v>
      </c>
      <c r="P8" s="98">
        <v>78766342427</v>
      </c>
    </row>
    <row r="9" spans="1:16" ht="16.5" customHeight="1">
      <c r="A9" s="98">
        <v>8</v>
      </c>
      <c r="B9" s="200" t="s">
        <v>2335</v>
      </c>
      <c r="C9" s="98" t="s">
        <v>2351</v>
      </c>
      <c r="D9" s="98" t="s">
        <v>2352</v>
      </c>
      <c r="E9" s="200" t="s">
        <v>556</v>
      </c>
      <c r="F9" s="98" t="s">
        <v>96</v>
      </c>
      <c r="G9" s="200" t="s">
        <v>2353</v>
      </c>
      <c r="M9" s="98">
        <v>2015.05</v>
      </c>
      <c r="N9" s="98">
        <v>1591.85</v>
      </c>
      <c r="O9" s="98">
        <v>1162760990</v>
      </c>
      <c r="P9" s="98">
        <v>730445667</v>
      </c>
    </row>
    <row r="10" spans="1:16" ht="16.5" customHeight="1">
      <c r="A10" s="98">
        <v>9</v>
      </c>
      <c r="B10" s="200" t="s">
        <v>2335</v>
      </c>
      <c r="C10" s="98" t="s">
        <v>2354</v>
      </c>
      <c r="D10" s="98" t="s">
        <v>2355</v>
      </c>
      <c r="E10" s="200" t="s">
        <v>556</v>
      </c>
      <c r="F10" s="98" t="s">
        <v>96</v>
      </c>
      <c r="G10" s="200" t="s">
        <v>2356</v>
      </c>
      <c r="M10" s="98">
        <v>2014.09</v>
      </c>
      <c r="N10" s="98">
        <v>1320.4</v>
      </c>
      <c r="O10" s="98">
        <v>8262283036</v>
      </c>
      <c r="P10" s="98">
        <v>6257424931</v>
      </c>
    </row>
    <row r="11" spans="1:16" ht="16.5" customHeight="1">
      <c r="A11" s="98">
        <v>10</v>
      </c>
      <c r="B11" s="200" t="s">
        <v>2335</v>
      </c>
      <c r="C11" s="98" t="s">
        <v>2357</v>
      </c>
      <c r="D11" s="98" t="s">
        <v>2358</v>
      </c>
      <c r="E11" s="200" t="s">
        <v>556</v>
      </c>
      <c r="F11" s="98" t="s">
        <v>96</v>
      </c>
      <c r="G11" s="200" t="s">
        <v>2359</v>
      </c>
      <c r="M11" s="98">
        <v>2014.09</v>
      </c>
      <c r="N11" s="98">
        <v>934.75</v>
      </c>
      <c r="O11" s="98">
        <v>6314801836</v>
      </c>
      <c r="P11" s="98">
        <v>6755626559</v>
      </c>
    </row>
    <row r="12" spans="1:16" ht="16.5" customHeight="1">
      <c r="A12" s="98">
        <v>11</v>
      </c>
      <c r="B12" s="200" t="s">
        <v>2335</v>
      </c>
      <c r="C12" s="98">
        <v>63380</v>
      </c>
      <c r="D12" s="98" t="s">
        <v>2360</v>
      </c>
      <c r="E12" s="200" t="s">
        <v>556</v>
      </c>
      <c r="F12" s="98" t="s">
        <v>98</v>
      </c>
      <c r="G12" s="200" t="s">
        <v>2361</v>
      </c>
      <c r="M12" s="98">
        <v>2014.02</v>
      </c>
      <c r="N12" s="98">
        <v>1280.58</v>
      </c>
      <c r="O12" s="98">
        <v>10027356022</v>
      </c>
      <c r="P12" s="98">
        <v>7830353346</v>
      </c>
    </row>
    <row r="13" spans="1:16" ht="16.5" customHeight="1">
      <c r="A13" s="98">
        <v>12</v>
      </c>
      <c r="B13" s="200" t="s">
        <v>2335</v>
      </c>
      <c r="C13" s="98">
        <v>63331</v>
      </c>
      <c r="D13" s="98" t="s">
        <v>2362</v>
      </c>
      <c r="E13" s="200" t="s">
        <v>556</v>
      </c>
      <c r="F13" s="98" t="s">
        <v>94</v>
      </c>
      <c r="G13" s="200" t="s">
        <v>2363</v>
      </c>
      <c r="M13" s="98">
        <v>2007.04</v>
      </c>
      <c r="N13" s="98">
        <v>875.75</v>
      </c>
      <c r="O13" s="98">
        <v>14916281214</v>
      </c>
      <c r="P13" s="98">
        <v>17032621520</v>
      </c>
    </row>
    <row r="14" spans="1:16" ht="16.5" customHeight="1">
      <c r="A14" s="98">
        <v>13</v>
      </c>
      <c r="B14" s="200" t="s">
        <v>2335</v>
      </c>
      <c r="C14" s="98">
        <v>65311</v>
      </c>
      <c r="D14" s="98" t="s">
        <v>2364</v>
      </c>
      <c r="E14" s="200" t="s">
        <v>556</v>
      </c>
      <c r="F14" s="98" t="s">
        <v>98</v>
      </c>
      <c r="G14" s="200" t="s">
        <v>2365</v>
      </c>
      <c r="M14" s="98">
        <v>2006.05</v>
      </c>
      <c r="N14" s="98">
        <v>993.68</v>
      </c>
      <c r="O14" s="98">
        <v>6424182413</v>
      </c>
      <c r="P14" s="98">
        <v>6465046300</v>
      </c>
    </row>
    <row r="15" spans="1:16" ht="16.5" customHeight="1">
      <c r="A15" s="98">
        <v>14</v>
      </c>
      <c r="B15" s="200" t="s">
        <v>2335</v>
      </c>
      <c r="C15" s="98">
        <v>65101</v>
      </c>
      <c r="D15" s="98" t="s">
        <v>2366</v>
      </c>
      <c r="E15" s="200" t="s">
        <v>556</v>
      </c>
      <c r="F15" s="98" t="s">
        <v>98</v>
      </c>
      <c r="G15" s="200" t="s">
        <v>2367</v>
      </c>
      <c r="M15" s="98">
        <v>2007.02</v>
      </c>
      <c r="N15" s="98">
        <v>1401.01</v>
      </c>
      <c r="O15" s="98">
        <v>98442699121</v>
      </c>
      <c r="P15" s="98">
        <v>70265634520</v>
      </c>
    </row>
    <row r="16" spans="1:16" ht="16.5" customHeight="1">
      <c r="A16" s="98">
        <v>15</v>
      </c>
      <c r="B16" s="200" t="s">
        <v>2335</v>
      </c>
      <c r="C16" s="98">
        <v>65650</v>
      </c>
      <c r="D16" s="98" t="s">
        <v>2368</v>
      </c>
      <c r="E16" s="200" t="s">
        <v>556</v>
      </c>
      <c r="F16" s="98" t="s">
        <v>96</v>
      </c>
      <c r="G16" s="200" t="s">
        <v>2369</v>
      </c>
      <c r="M16" s="98">
        <v>2017.12</v>
      </c>
      <c r="N16" s="98">
        <v>2001.48</v>
      </c>
      <c r="O16" s="98">
        <v>75158034946</v>
      </c>
      <c r="P16" s="98">
        <v>37551173174</v>
      </c>
    </row>
    <row r="17" spans="1:16" ht="16.5" customHeight="1">
      <c r="A17" s="98">
        <v>16</v>
      </c>
      <c r="B17" s="200" t="s">
        <v>2335</v>
      </c>
      <c r="C17" s="98">
        <v>65680</v>
      </c>
      <c r="D17" s="98" t="s">
        <v>2370</v>
      </c>
      <c r="E17" s="200" t="s">
        <v>556</v>
      </c>
      <c r="F17" s="98" t="s">
        <v>96</v>
      </c>
      <c r="G17" s="200" t="s">
        <v>2371</v>
      </c>
      <c r="M17" s="98">
        <v>2018.01</v>
      </c>
      <c r="N17" s="98">
        <v>1138.53</v>
      </c>
      <c r="O17" s="98" t="s">
        <v>2372</v>
      </c>
      <c r="P17" s="98" t="s">
        <v>2373</v>
      </c>
    </row>
    <row r="18" spans="1:16" ht="16.5" customHeight="1">
      <c r="A18" s="98">
        <v>17</v>
      </c>
      <c r="B18" s="200" t="s">
        <v>2335</v>
      </c>
      <c r="C18" s="98">
        <v>65681</v>
      </c>
      <c r="D18" s="98" t="s">
        <v>2374</v>
      </c>
      <c r="E18" s="200" t="s">
        <v>556</v>
      </c>
      <c r="F18" s="98" t="s">
        <v>96</v>
      </c>
      <c r="G18" s="200" t="s">
        <v>2375</v>
      </c>
      <c r="M18" s="98">
        <v>2018.01</v>
      </c>
      <c r="N18" s="98">
        <v>1089.5899999999999</v>
      </c>
      <c r="O18" s="98">
        <v>102530981233</v>
      </c>
      <c r="P18" s="98">
        <v>94100268292</v>
      </c>
    </row>
    <row r="19" spans="1:16" ht="16.5" customHeight="1">
      <c r="A19" s="98">
        <v>18</v>
      </c>
      <c r="B19" s="200" t="s">
        <v>2335</v>
      </c>
      <c r="C19" s="98">
        <v>66400</v>
      </c>
      <c r="D19" s="98" t="s">
        <v>2376</v>
      </c>
      <c r="E19" s="200" t="s">
        <v>556</v>
      </c>
      <c r="F19" s="98" t="s">
        <v>96</v>
      </c>
      <c r="G19" s="200" t="s">
        <v>2377</v>
      </c>
      <c r="M19" s="98">
        <v>2019.12</v>
      </c>
      <c r="N19" s="98">
        <v>596.74</v>
      </c>
      <c r="O19" s="98">
        <v>7898374782</v>
      </c>
      <c r="P19" s="98">
        <v>13235860681</v>
      </c>
    </row>
    <row r="20" spans="1:16" ht="16.5" customHeight="1">
      <c r="A20" s="98">
        <v>19</v>
      </c>
      <c r="B20" s="200" t="s">
        <v>2335</v>
      </c>
      <c r="C20" s="98">
        <v>60100</v>
      </c>
      <c r="D20" s="98" t="s">
        <v>2378</v>
      </c>
      <c r="E20" s="200" t="s">
        <v>556</v>
      </c>
      <c r="F20" s="98" t="s">
        <v>98</v>
      </c>
      <c r="G20" s="200" t="s">
        <v>2379</v>
      </c>
      <c r="M20" s="98">
        <v>2022.06</v>
      </c>
    </row>
    <row r="21" spans="1:16" ht="16.5" customHeight="1">
      <c r="A21" s="98">
        <v>20</v>
      </c>
      <c r="B21" s="200" t="s">
        <v>2335</v>
      </c>
      <c r="C21" s="98">
        <v>60110</v>
      </c>
      <c r="D21" s="98" t="s">
        <v>2380</v>
      </c>
      <c r="E21" s="200" t="s">
        <v>556</v>
      </c>
      <c r="F21" s="98" t="s">
        <v>98</v>
      </c>
      <c r="G21" s="200" t="s">
        <v>2381</v>
      </c>
      <c r="M21" s="98">
        <v>2022.07</v>
      </c>
      <c r="N21" s="98">
        <v>1147.5999999999999</v>
      </c>
      <c r="O21" s="98">
        <v>4190146417</v>
      </c>
      <c r="P21" s="98">
        <v>3651220435</v>
      </c>
    </row>
    <row r="22" spans="1:16" ht="16.5" customHeight="1">
      <c r="A22" s="98">
        <v>21</v>
      </c>
      <c r="B22" s="200" t="s">
        <v>2335</v>
      </c>
      <c r="C22" s="98">
        <v>66170</v>
      </c>
      <c r="D22" s="98" t="s">
        <v>2382</v>
      </c>
      <c r="E22" s="200" t="s">
        <v>556</v>
      </c>
      <c r="F22" s="98" t="s">
        <v>96</v>
      </c>
      <c r="G22" s="200" t="s">
        <v>2383</v>
      </c>
      <c r="M22" s="98">
        <v>2021.03</v>
      </c>
      <c r="N22" s="98">
        <v>1041.81</v>
      </c>
      <c r="O22" s="98">
        <v>2778310015</v>
      </c>
      <c r="P22" s="98">
        <v>2666820800</v>
      </c>
    </row>
    <row r="23" spans="1:16" ht="16.5" customHeight="1">
      <c r="A23" s="98">
        <v>22</v>
      </c>
      <c r="B23" s="200" t="s">
        <v>2335</v>
      </c>
      <c r="C23" s="98">
        <v>56200</v>
      </c>
      <c r="D23" s="98" t="s">
        <v>2384</v>
      </c>
      <c r="E23" s="200" t="s">
        <v>566</v>
      </c>
      <c r="F23" s="98" t="s">
        <v>96</v>
      </c>
      <c r="G23" s="200" t="s">
        <v>2385</v>
      </c>
      <c r="M23" s="98">
        <v>2019.06</v>
      </c>
      <c r="N23" s="98">
        <v>1012.98</v>
      </c>
      <c r="O23" s="98">
        <v>53245489792</v>
      </c>
      <c r="P23" s="98">
        <v>52563022786</v>
      </c>
    </row>
    <row r="24" spans="1:16" ht="16.5" customHeight="1">
      <c r="A24" s="98">
        <v>23</v>
      </c>
      <c r="B24" s="200" t="s">
        <v>2335</v>
      </c>
      <c r="C24" s="98">
        <v>66500</v>
      </c>
      <c r="D24" s="98" t="s">
        <v>2386</v>
      </c>
      <c r="E24" s="200" t="s">
        <v>556</v>
      </c>
      <c r="F24" s="98" t="s">
        <v>96</v>
      </c>
      <c r="G24" s="200" t="s">
        <v>2387</v>
      </c>
      <c r="M24" s="98" t="s">
        <v>2388</v>
      </c>
      <c r="N24" s="98">
        <v>941.79</v>
      </c>
      <c r="O24" s="98">
        <v>5085883150</v>
      </c>
      <c r="P24" s="98">
        <v>5400220573</v>
      </c>
    </row>
    <row r="25" spans="1:16" ht="16.5" customHeight="1">
      <c r="A25" s="98">
        <v>24</v>
      </c>
      <c r="B25" s="200" t="s">
        <v>2335</v>
      </c>
      <c r="C25" s="98" t="s">
        <v>2389</v>
      </c>
      <c r="D25" s="98" t="s">
        <v>2390</v>
      </c>
      <c r="E25" s="200" t="s">
        <v>556</v>
      </c>
      <c r="F25" s="98" t="s">
        <v>96</v>
      </c>
      <c r="G25" s="200" t="s">
        <v>2391</v>
      </c>
      <c r="M25" s="98" t="s">
        <v>2392</v>
      </c>
      <c r="N25" s="98">
        <v>950.68</v>
      </c>
      <c r="O25" s="98">
        <v>337975667</v>
      </c>
      <c r="P25" s="98">
        <v>355510154</v>
      </c>
    </row>
    <row r="26" spans="1:16" ht="16.5" customHeight="1">
      <c r="A26" s="98">
        <v>25</v>
      </c>
      <c r="B26" s="200" t="s">
        <v>2335</v>
      </c>
      <c r="C26" s="98">
        <v>45350</v>
      </c>
      <c r="D26" s="98" t="s">
        <v>2393</v>
      </c>
      <c r="E26" s="200" t="s">
        <v>556</v>
      </c>
      <c r="F26" s="98" t="s">
        <v>98</v>
      </c>
      <c r="G26" s="200" t="s">
        <v>2394</v>
      </c>
      <c r="M26" s="98" t="s">
        <v>2395</v>
      </c>
      <c r="N26" s="98">
        <v>10064.290000000001</v>
      </c>
      <c r="O26" s="98">
        <v>20128585002</v>
      </c>
      <c r="P26" s="98">
        <v>20000000000</v>
      </c>
    </row>
    <row r="27" spans="1:16" ht="16.5" customHeight="1">
      <c r="A27" s="98">
        <v>26</v>
      </c>
      <c r="B27" s="200" t="s">
        <v>2335</v>
      </c>
      <c r="C27" s="98">
        <v>68880</v>
      </c>
      <c r="D27" s="98" t="s">
        <v>2396</v>
      </c>
      <c r="E27" s="200" t="s">
        <v>2397</v>
      </c>
      <c r="F27" s="98" t="s">
        <v>98</v>
      </c>
      <c r="G27" s="200" t="s">
        <v>2398</v>
      </c>
      <c r="M27" s="98" t="s">
        <v>2399</v>
      </c>
      <c r="N27" s="98">
        <v>11003</v>
      </c>
      <c r="O27" s="98">
        <v>11003000000</v>
      </c>
      <c r="P27" s="98">
        <v>10000000000</v>
      </c>
    </row>
    <row r="28" spans="1:16" ht="16.5" customHeight="1">
      <c r="A28" s="98">
        <v>27</v>
      </c>
      <c r="B28" s="200" t="s">
        <v>2335</v>
      </c>
      <c r="C28" s="98">
        <v>45307</v>
      </c>
      <c r="D28" s="98" t="s">
        <v>2400</v>
      </c>
      <c r="E28" s="200" t="s">
        <v>2397</v>
      </c>
      <c r="F28" s="98" t="s">
        <v>98</v>
      </c>
      <c r="G28" s="200" t="s">
        <v>2401</v>
      </c>
      <c r="M28" s="98" t="s">
        <v>2402</v>
      </c>
      <c r="N28" s="98">
        <v>10000</v>
      </c>
      <c r="O28" s="98">
        <v>10000000000</v>
      </c>
      <c r="P28" s="98">
        <v>10000000000</v>
      </c>
    </row>
    <row r="29" spans="1:16" ht="16.5" customHeight="1">
      <c r="A29" s="98">
        <v>28</v>
      </c>
      <c r="B29" s="200" t="s">
        <v>2335</v>
      </c>
      <c r="C29" s="98">
        <v>17540</v>
      </c>
      <c r="D29" s="98" t="s">
        <v>2403</v>
      </c>
      <c r="E29" s="200" t="s">
        <v>566</v>
      </c>
      <c r="F29" s="98" t="s">
        <v>96</v>
      </c>
      <c r="G29" s="200" t="s">
        <v>2404</v>
      </c>
      <c r="M29" s="98">
        <v>2022.4</v>
      </c>
      <c r="O29" s="98">
        <v>10273000000</v>
      </c>
    </row>
    <row r="30" spans="1:16" ht="16.5" customHeight="1">
      <c r="A30" s="98">
        <v>29</v>
      </c>
      <c r="B30" s="200" t="s">
        <v>2335</v>
      </c>
      <c r="C30" s="98" t="s">
        <v>2405</v>
      </c>
      <c r="D30" s="98" t="s">
        <v>2406</v>
      </c>
      <c r="E30" s="200" t="s">
        <v>556</v>
      </c>
      <c r="F30" s="98" t="s">
        <v>96</v>
      </c>
      <c r="G30" s="200" t="s">
        <v>2407</v>
      </c>
      <c r="M30" s="98" t="s">
        <v>2408</v>
      </c>
      <c r="N30" s="98">
        <v>990.42</v>
      </c>
      <c r="O30" s="98">
        <v>15246000000</v>
      </c>
      <c r="P30" s="98">
        <v>15394000000</v>
      </c>
    </row>
    <row r="31" spans="1:16" ht="16.5" customHeight="1">
      <c r="A31" s="98">
        <v>30</v>
      </c>
      <c r="B31" s="200" t="s">
        <v>2335</v>
      </c>
      <c r="C31" s="98">
        <v>65630</v>
      </c>
      <c r="D31" s="98" t="s">
        <v>2409</v>
      </c>
      <c r="E31" s="200" t="s">
        <v>556</v>
      </c>
      <c r="F31" s="98" t="s">
        <v>96</v>
      </c>
      <c r="G31" s="200" t="s">
        <v>2410</v>
      </c>
      <c r="M31" s="98" t="s">
        <v>2411</v>
      </c>
      <c r="N31" s="98">
        <v>880.33</v>
      </c>
      <c r="O31" s="98">
        <v>32809000000</v>
      </c>
      <c r="P31" s="98">
        <v>37269000000</v>
      </c>
    </row>
    <row r="32" spans="1:16" ht="16.5" customHeight="1">
      <c r="A32" s="98">
        <v>31</v>
      </c>
      <c r="B32" s="200" t="s">
        <v>2335</v>
      </c>
      <c r="C32" s="98">
        <v>81000</v>
      </c>
      <c r="D32" s="98" t="s">
        <v>2412</v>
      </c>
      <c r="E32" s="200" t="s">
        <v>556</v>
      </c>
      <c r="F32" s="98" t="s">
        <v>96</v>
      </c>
      <c r="G32" s="200" t="s">
        <v>2413</v>
      </c>
      <c r="M32" s="98">
        <v>2024.09</v>
      </c>
      <c r="N32" s="98">
        <v>1000</v>
      </c>
    </row>
    <row r="33" spans="1:16" ht="16.5" customHeight="1">
      <c r="A33" s="98">
        <v>32</v>
      </c>
      <c r="B33" s="200" t="s">
        <v>2335</v>
      </c>
      <c r="C33" s="98">
        <v>81017</v>
      </c>
      <c r="D33" s="98" t="s">
        <v>2414</v>
      </c>
      <c r="E33" s="200" t="s">
        <v>556</v>
      </c>
      <c r="F33" s="98" t="s">
        <v>96</v>
      </c>
      <c r="G33" s="200" t="s">
        <v>2415</v>
      </c>
      <c r="M33" s="98">
        <v>2024.09</v>
      </c>
      <c r="N33" s="98">
        <v>1000</v>
      </c>
    </row>
    <row r="34" spans="1:16" ht="16.5" customHeight="1">
      <c r="A34" s="98">
        <v>33</v>
      </c>
      <c r="B34" s="200" t="s">
        <v>2335</v>
      </c>
      <c r="C34" s="98">
        <v>81040</v>
      </c>
      <c r="D34" s="98" t="s">
        <v>2416</v>
      </c>
      <c r="E34" s="200" t="s">
        <v>556</v>
      </c>
      <c r="F34" s="98" t="s">
        <v>96</v>
      </c>
      <c r="G34" s="200" t="s">
        <v>2417</v>
      </c>
      <c r="M34" s="98">
        <v>2024.09</v>
      </c>
      <c r="N34" s="98">
        <v>1000</v>
      </c>
    </row>
    <row r="35" spans="1:16" ht="16.5" customHeight="1">
      <c r="A35" s="98">
        <v>34</v>
      </c>
      <c r="B35" s="200" t="s">
        <v>2335</v>
      </c>
      <c r="C35" s="98">
        <v>81057</v>
      </c>
      <c r="D35" s="98" t="s">
        <v>2418</v>
      </c>
      <c r="E35" s="200" t="s">
        <v>556</v>
      </c>
      <c r="F35" s="98" t="s">
        <v>96</v>
      </c>
      <c r="G35" s="200" t="s">
        <v>2419</v>
      </c>
      <c r="M35" s="98">
        <v>2024.09</v>
      </c>
      <c r="N35" s="98">
        <v>1000</v>
      </c>
    </row>
    <row r="36" spans="1:16" ht="16.5" customHeight="1">
      <c r="A36" s="98">
        <v>35</v>
      </c>
      <c r="B36" s="200" t="s">
        <v>2335</v>
      </c>
      <c r="C36" s="98">
        <v>81080</v>
      </c>
      <c r="D36" s="98" t="s">
        <v>2420</v>
      </c>
      <c r="E36" s="200" t="s">
        <v>556</v>
      </c>
      <c r="F36" s="98" t="s">
        <v>96</v>
      </c>
      <c r="G36" s="200" t="s">
        <v>2421</v>
      </c>
      <c r="M36" s="98">
        <v>2024.09</v>
      </c>
      <c r="N36" s="98">
        <v>1000</v>
      </c>
    </row>
    <row r="37" spans="1:16" ht="16.5" customHeight="1">
      <c r="A37" s="98">
        <v>36</v>
      </c>
      <c r="B37" s="200" t="s">
        <v>2335</v>
      </c>
      <c r="C37" s="98">
        <v>81097</v>
      </c>
      <c r="D37" s="98" t="s">
        <v>2422</v>
      </c>
      <c r="E37" s="200" t="s">
        <v>556</v>
      </c>
      <c r="F37" s="98" t="s">
        <v>96</v>
      </c>
      <c r="G37" s="200" t="s">
        <v>2423</v>
      </c>
      <c r="M37" s="98">
        <v>2024.09</v>
      </c>
      <c r="N37" s="98">
        <v>1000</v>
      </c>
    </row>
    <row r="38" spans="1:16" ht="16.5" customHeight="1">
      <c r="A38" s="98">
        <v>37</v>
      </c>
      <c r="B38" s="200" t="s">
        <v>2335</v>
      </c>
      <c r="C38" s="98">
        <v>69000</v>
      </c>
      <c r="D38" s="98" t="s">
        <v>2424</v>
      </c>
      <c r="E38" s="200" t="s">
        <v>2397</v>
      </c>
      <c r="F38" s="98" t="s">
        <v>98</v>
      </c>
      <c r="G38" s="200" t="s">
        <v>2425</v>
      </c>
      <c r="M38" s="98">
        <v>2024.09</v>
      </c>
      <c r="N38" s="98">
        <v>1000</v>
      </c>
    </row>
    <row r="39" spans="1:16" ht="16.5" customHeight="1">
      <c r="A39" s="98">
        <v>38</v>
      </c>
      <c r="B39" s="200" t="s">
        <v>2335</v>
      </c>
      <c r="C39" s="98">
        <v>65211</v>
      </c>
      <c r="D39" s="98" t="s">
        <v>2426</v>
      </c>
      <c r="E39" s="200" t="s">
        <v>556</v>
      </c>
      <c r="F39" s="98" t="s">
        <v>98</v>
      </c>
      <c r="G39" s="200" t="s">
        <v>2427</v>
      </c>
      <c r="M39" s="98">
        <v>2005.05</v>
      </c>
      <c r="N39" s="98">
        <v>841.33</v>
      </c>
    </row>
    <row r="40" spans="1:16" ht="16.5" customHeight="1">
      <c r="A40" s="98">
        <v>39</v>
      </c>
      <c r="B40" s="200" t="s">
        <v>2335</v>
      </c>
      <c r="C40" s="98">
        <v>65111</v>
      </c>
      <c r="D40" s="98" t="s">
        <v>2428</v>
      </c>
      <c r="E40" s="200" t="s">
        <v>556</v>
      </c>
      <c r="F40" s="98" t="s">
        <v>98</v>
      </c>
      <c r="G40" s="200" t="s">
        <v>2429</v>
      </c>
      <c r="M40" s="98">
        <v>2007.02</v>
      </c>
      <c r="N40" s="98">
        <v>1561.98</v>
      </c>
    </row>
    <row r="41" spans="1:16" ht="16.5" customHeight="1">
      <c r="A41" s="98">
        <v>40</v>
      </c>
      <c r="B41" s="200" t="s">
        <v>2335</v>
      </c>
      <c r="C41" s="98" t="s">
        <v>99</v>
      </c>
      <c r="D41" s="98" t="s">
        <v>2430</v>
      </c>
      <c r="E41" s="200" t="s">
        <v>566</v>
      </c>
      <c r="F41" s="98" t="s">
        <v>100</v>
      </c>
      <c r="G41" s="200" t="s">
        <v>2431</v>
      </c>
      <c r="M41" s="98">
        <v>2006.05</v>
      </c>
      <c r="N41" s="98">
        <v>831.42</v>
      </c>
      <c r="O41" s="98">
        <v>712399796</v>
      </c>
      <c r="P41" s="98">
        <v>856851886</v>
      </c>
    </row>
    <row r="42" spans="1:16" ht="16.5" customHeight="1">
      <c r="A42" s="98">
        <v>41</v>
      </c>
      <c r="B42" s="200" t="s">
        <v>2335</v>
      </c>
      <c r="C42" s="98" t="s">
        <v>2432</v>
      </c>
      <c r="D42" s="98" t="s">
        <v>2433</v>
      </c>
      <c r="E42" s="200" t="s">
        <v>556</v>
      </c>
      <c r="F42" s="98" t="s">
        <v>96</v>
      </c>
      <c r="G42" s="200" t="s">
        <v>2434</v>
      </c>
      <c r="M42" s="98">
        <v>2012.1</v>
      </c>
      <c r="N42" s="98">
        <v>1440.55</v>
      </c>
      <c r="O42" s="98">
        <v>1393938656</v>
      </c>
      <c r="P42" s="98">
        <v>967641051</v>
      </c>
    </row>
    <row r="43" spans="1:16" ht="16.5" customHeight="1">
      <c r="A43" s="98">
        <v>42</v>
      </c>
      <c r="B43" s="200" t="s">
        <v>2335</v>
      </c>
      <c r="C43" s="98">
        <v>81130</v>
      </c>
      <c r="D43" s="98" t="s">
        <v>2435</v>
      </c>
      <c r="E43" s="200" t="s">
        <v>556</v>
      </c>
      <c r="F43" s="98" t="s">
        <v>98</v>
      </c>
      <c r="G43" s="200" t="s">
        <v>2436</v>
      </c>
      <c r="M43" s="98">
        <v>2024.12</v>
      </c>
      <c r="N43" s="98">
        <v>1000</v>
      </c>
    </row>
    <row r="44" spans="1:16" ht="16.5" customHeight="1">
      <c r="A44" s="98">
        <v>43</v>
      </c>
      <c r="B44" s="200" t="s">
        <v>2335</v>
      </c>
      <c r="C44" s="98">
        <v>81150</v>
      </c>
      <c r="D44" s="98" t="s">
        <v>2437</v>
      </c>
      <c r="E44" s="200" t="s">
        <v>556</v>
      </c>
      <c r="F44" s="98" t="s">
        <v>98</v>
      </c>
      <c r="G44" s="200" t="s">
        <v>2438</v>
      </c>
      <c r="M44" s="98">
        <v>2024.12</v>
      </c>
      <c r="N44" s="98">
        <v>1000</v>
      </c>
    </row>
    <row r="45" spans="1:16" ht="16.5" customHeight="1">
      <c r="A45" s="98">
        <v>44</v>
      </c>
      <c r="B45" s="200" t="s">
        <v>2335</v>
      </c>
      <c r="C45" s="98" t="s">
        <v>2439</v>
      </c>
      <c r="D45" s="98" t="s">
        <v>2440</v>
      </c>
      <c r="E45" s="200" t="s">
        <v>556</v>
      </c>
      <c r="F45" s="98" t="s">
        <v>96</v>
      </c>
      <c r="G45" s="200" t="s">
        <v>2441</v>
      </c>
      <c r="M45" s="98" t="s">
        <v>2442</v>
      </c>
      <c r="N45" s="98">
        <v>1050.4100000000001</v>
      </c>
    </row>
    <row r="46" spans="1:16" ht="16.5" customHeight="1">
      <c r="A46" s="98">
        <v>45</v>
      </c>
      <c r="B46" s="200" t="s">
        <v>2335</v>
      </c>
      <c r="C46" s="98">
        <v>81170</v>
      </c>
      <c r="D46" s="98" t="s">
        <v>2443</v>
      </c>
      <c r="E46" s="200" t="s">
        <v>556</v>
      </c>
      <c r="F46" s="98" t="s">
        <v>96</v>
      </c>
      <c r="G46" s="200" t="s">
        <v>2444</v>
      </c>
      <c r="M46" s="98" t="s">
        <v>2445</v>
      </c>
      <c r="N46" s="98">
        <v>1000</v>
      </c>
    </row>
    <row r="47" spans="1:16" ht="16.5" customHeight="1">
      <c r="A47" s="98">
        <v>46</v>
      </c>
      <c r="B47" s="200" t="s">
        <v>2335</v>
      </c>
      <c r="C47" s="98">
        <v>69001</v>
      </c>
      <c r="D47" s="98" t="s">
        <v>2446</v>
      </c>
      <c r="E47" s="200" t="s">
        <v>566</v>
      </c>
      <c r="F47" s="98" t="s">
        <v>94</v>
      </c>
      <c r="G47" s="200" t="s">
        <v>2447</v>
      </c>
      <c r="M47" s="98" t="s">
        <v>2448</v>
      </c>
      <c r="N47" s="98">
        <v>1000</v>
      </c>
    </row>
    <row r="50" spans="2:17" ht="15" customHeight="1">
      <c r="B50" s="200" t="s">
        <v>2449</v>
      </c>
    </row>
    <row r="51" spans="2:17" ht="16.5" customHeight="1">
      <c r="B51" s="200" t="s">
        <v>2335</v>
      </c>
      <c r="C51" s="98">
        <v>66101</v>
      </c>
      <c r="E51" s="200" t="s">
        <v>556</v>
      </c>
      <c r="F51" s="98" t="s">
        <v>96</v>
      </c>
      <c r="G51" s="200" t="s">
        <v>2450</v>
      </c>
      <c r="M51" s="98">
        <v>2020.12</v>
      </c>
      <c r="N51" s="98">
        <v>1333.07</v>
      </c>
      <c r="O51" s="98" t="s">
        <v>2451</v>
      </c>
      <c r="P51" s="98" t="s">
        <v>2452</v>
      </c>
      <c r="Q51" s="200" t="s">
        <v>2453</v>
      </c>
    </row>
    <row r="52" spans="2:17" ht="16.5" customHeight="1">
      <c r="B52" s="200" t="s">
        <v>2335</v>
      </c>
      <c r="C52" s="98">
        <v>69840</v>
      </c>
      <c r="D52" s="98" t="s">
        <v>2454</v>
      </c>
      <c r="E52" s="200" t="s">
        <v>2397</v>
      </c>
      <c r="F52" s="98" t="s">
        <v>98</v>
      </c>
      <c r="G52" s="200" t="s">
        <v>2455</v>
      </c>
      <c r="M52" s="98" t="s">
        <v>2456</v>
      </c>
    </row>
    <row r="53" spans="2:17" ht="16.5" customHeight="1">
      <c r="B53" s="200" t="s">
        <v>2335</v>
      </c>
      <c r="C53" s="98">
        <v>64701</v>
      </c>
      <c r="D53" s="98" t="s">
        <v>2457</v>
      </c>
      <c r="E53" s="200" t="s">
        <v>556</v>
      </c>
      <c r="F53" s="98" t="s">
        <v>96</v>
      </c>
      <c r="G53" s="200" t="s">
        <v>2458</v>
      </c>
      <c r="M53" s="98">
        <v>2014.01</v>
      </c>
      <c r="N53" s="98">
        <v>1088.93</v>
      </c>
      <c r="O53" s="98">
        <v>5504543700</v>
      </c>
      <c r="P53" s="98">
        <v>5055012813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6"/>
  <dimension ref="A1:J11"/>
  <sheetViews>
    <sheetView zoomScaleNormal="100" workbookViewId="0">
      <selection activeCell="D40" sqref="D40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200" t="s">
        <v>2459</v>
      </c>
      <c r="B2" s="98" t="s">
        <v>130</v>
      </c>
      <c r="C2" s="200" t="s">
        <v>566</v>
      </c>
      <c r="D2" s="98" t="s">
        <v>2460</v>
      </c>
      <c r="E2" s="98" t="s">
        <v>95</v>
      </c>
      <c r="F2" s="200" t="s">
        <v>2461</v>
      </c>
      <c r="G2" s="98" t="s">
        <v>2462</v>
      </c>
      <c r="H2" s="98" t="s">
        <v>2463</v>
      </c>
      <c r="I2" s="98">
        <v>11051459082</v>
      </c>
      <c r="J2" s="98">
        <v>11518474554</v>
      </c>
    </row>
    <row r="3" spans="1:10" ht="16.5" customHeight="1">
      <c r="A3" s="200" t="s">
        <v>2459</v>
      </c>
      <c r="B3" s="98" t="s">
        <v>2464</v>
      </c>
      <c r="C3" s="200" t="s">
        <v>566</v>
      </c>
      <c r="D3" s="98" t="s">
        <v>2465</v>
      </c>
      <c r="E3" s="98" t="s">
        <v>98</v>
      </c>
      <c r="F3" s="200" t="s">
        <v>2466</v>
      </c>
      <c r="G3" s="98" t="s">
        <v>2467</v>
      </c>
      <c r="H3" s="98" t="s">
        <v>2468</v>
      </c>
      <c r="I3" s="98">
        <v>88382012.780000001</v>
      </c>
      <c r="J3" s="98">
        <v>83733182</v>
      </c>
    </row>
    <row r="4" spans="1:10" ht="16.5" customHeight="1">
      <c r="A4" s="200" t="s">
        <v>2459</v>
      </c>
      <c r="B4" s="98">
        <v>280301</v>
      </c>
      <c r="C4" s="200" t="s">
        <v>566</v>
      </c>
      <c r="D4" s="98" t="s">
        <v>2469</v>
      </c>
      <c r="E4" s="98" t="s">
        <v>94</v>
      </c>
      <c r="F4" s="200" t="s">
        <v>2470</v>
      </c>
      <c r="G4" s="98" t="s">
        <v>2471</v>
      </c>
      <c r="H4" s="98" t="s">
        <v>2472</v>
      </c>
      <c r="I4" s="98">
        <v>8666622476</v>
      </c>
      <c r="J4" s="98">
        <v>7475154976</v>
      </c>
    </row>
    <row r="5" spans="1:10" ht="16.5" customHeight="1">
      <c r="A5" s="200" t="s">
        <v>2459</v>
      </c>
      <c r="B5" s="98">
        <v>530810</v>
      </c>
      <c r="C5" s="200" t="s">
        <v>566</v>
      </c>
      <c r="D5" s="98" t="s">
        <v>2473</v>
      </c>
      <c r="E5" s="98" t="s">
        <v>100</v>
      </c>
      <c r="F5" s="200" t="s">
        <v>2474</v>
      </c>
      <c r="G5" s="98" t="s">
        <v>2475</v>
      </c>
      <c r="H5" s="98" t="s">
        <v>2476</v>
      </c>
      <c r="I5" s="98">
        <v>1407776567616</v>
      </c>
      <c r="J5" s="98">
        <v>1435130342308</v>
      </c>
    </row>
    <row r="6" spans="1:10" ht="16.5" customHeight="1">
      <c r="A6" s="200" t="s">
        <v>2459</v>
      </c>
      <c r="B6" s="98">
        <v>530950</v>
      </c>
      <c r="C6" s="200" t="s">
        <v>566</v>
      </c>
      <c r="D6" s="98" t="s">
        <v>2477</v>
      </c>
      <c r="E6" s="98" t="s">
        <v>98</v>
      </c>
      <c r="F6" s="200" t="s">
        <v>2478</v>
      </c>
      <c r="G6" s="98" t="s">
        <v>2479</v>
      </c>
      <c r="H6" s="98" t="s">
        <v>2480</v>
      </c>
      <c r="I6" s="98">
        <v>253933836816</v>
      </c>
      <c r="J6" s="98">
        <v>260467393313</v>
      </c>
    </row>
    <row r="7" spans="1:10" ht="16.5" customHeight="1">
      <c r="A7" s="200" t="s">
        <v>2459</v>
      </c>
      <c r="B7" s="98">
        <v>533840</v>
      </c>
      <c r="C7" s="200" t="s">
        <v>566</v>
      </c>
      <c r="D7" s="98" t="s">
        <v>2481</v>
      </c>
      <c r="E7" s="98" t="s">
        <v>98</v>
      </c>
      <c r="F7" s="200" t="s">
        <v>2482</v>
      </c>
      <c r="G7" s="98" t="s">
        <v>2483</v>
      </c>
      <c r="H7" s="98" t="s">
        <v>2484</v>
      </c>
      <c r="I7" s="98">
        <v>17782764793</v>
      </c>
      <c r="J7" s="98">
        <v>18758205689</v>
      </c>
    </row>
    <row r="8" spans="1:10" ht="16.5" customHeight="1">
      <c r="A8" s="200" t="s">
        <v>2459</v>
      </c>
      <c r="B8" s="98">
        <v>536120</v>
      </c>
      <c r="C8" s="200" t="s">
        <v>566</v>
      </c>
      <c r="D8" s="98" t="s">
        <v>2485</v>
      </c>
      <c r="E8" s="98" t="s">
        <v>98</v>
      </c>
      <c r="F8" s="200" t="s">
        <v>2486</v>
      </c>
      <c r="G8" s="98" t="s">
        <v>2487</v>
      </c>
      <c r="H8" s="98" t="s">
        <v>2488</v>
      </c>
      <c r="I8" s="98">
        <v>32709398175</v>
      </c>
      <c r="J8" s="98">
        <v>34485865997</v>
      </c>
    </row>
    <row r="9" spans="1:10" ht="16.5" customHeight="1">
      <c r="A9" s="200" t="s">
        <v>2459</v>
      </c>
      <c r="B9" s="98">
        <v>537040</v>
      </c>
      <c r="C9" s="200" t="s">
        <v>566</v>
      </c>
      <c r="D9" s="98" t="s">
        <v>2489</v>
      </c>
      <c r="E9" s="98" t="s">
        <v>100</v>
      </c>
      <c r="F9" s="200" t="s">
        <v>2490</v>
      </c>
      <c r="G9" s="98" t="s">
        <v>2491</v>
      </c>
      <c r="H9" s="98" t="s">
        <v>2492</v>
      </c>
      <c r="I9" s="98">
        <v>12482946211</v>
      </c>
      <c r="J9" s="98">
        <v>13339532152</v>
      </c>
    </row>
    <row r="10" spans="1:10" ht="16.5" customHeight="1">
      <c r="A10" s="200" t="s">
        <v>2459</v>
      </c>
      <c r="B10" s="98">
        <v>537540</v>
      </c>
      <c r="C10" s="200" t="s">
        <v>566</v>
      </c>
      <c r="D10" s="98" t="s">
        <v>2493</v>
      </c>
      <c r="E10" s="98" t="s">
        <v>100</v>
      </c>
      <c r="F10" s="200" t="s">
        <v>2494</v>
      </c>
      <c r="G10" s="98" t="s">
        <v>2495</v>
      </c>
      <c r="H10" s="98" t="s">
        <v>2496</v>
      </c>
      <c r="I10" s="98">
        <v>21365848248</v>
      </c>
      <c r="J10" s="98">
        <v>19819918432</v>
      </c>
    </row>
    <row r="11" spans="1:10" ht="16.5" customHeight="1">
      <c r="A11" s="200" t="s">
        <v>2459</v>
      </c>
      <c r="B11" s="98">
        <v>620930</v>
      </c>
      <c r="C11" s="200" t="s">
        <v>566</v>
      </c>
      <c r="D11" s="98" t="s">
        <v>2497</v>
      </c>
      <c r="E11" s="98" t="s">
        <v>98</v>
      </c>
      <c r="F11" s="200" t="s">
        <v>2498</v>
      </c>
      <c r="G11" s="98" t="s">
        <v>2499</v>
      </c>
      <c r="H11" s="98" t="s">
        <v>2500</v>
      </c>
      <c r="I11" s="98">
        <v>14537160238</v>
      </c>
      <c r="J11" s="98">
        <v>17632815065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7"/>
  <dimension ref="A1:I28"/>
  <sheetViews>
    <sheetView zoomScaleNormal="100" workbookViewId="0">
      <selection activeCell="A20" sqref="A20"/>
    </sheetView>
  </sheetViews>
  <sheetFormatPr defaultColWidth="8.5546875" defaultRowHeight="13.5"/>
  <cols>
    <col min="1" max="1" width="16" style="98" customWidth="1"/>
    <col min="2" max="2" width="14" style="98" customWidth="1"/>
  </cols>
  <sheetData>
    <row r="1" spans="1:9" ht="15" customHeight="1">
      <c r="A1" s="115" t="s">
        <v>2501</v>
      </c>
      <c r="B1" s="115" t="s">
        <v>2502</v>
      </c>
      <c r="C1" s="115" t="s">
        <v>2503</v>
      </c>
      <c r="D1" s="115" t="s">
        <v>2504</v>
      </c>
      <c r="F1" s="116" t="s">
        <v>2505</v>
      </c>
      <c r="G1" s="116" t="s">
        <v>3184</v>
      </c>
      <c r="H1" s="116" t="s">
        <v>3185</v>
      </c>
      <c r="I1" s="116" t="s">
        <v>3186</v>
      </c>
    </row>
    <row r="2" spans="1:9" ht="15" customHeight="1">
      <c r="A2" s="111" t="s">
        <v>2506</v>
      </c>
      <c r="B2" s="111" t="s">
        <v>2506</v>
      </c>
      <c r="C2" s="112" t="s">
        <v>2507</v>
      </c>
      <c r="D2" s="112" t="s">
        <v>2508</v>
      </c>
      <c r="F2" s="111" t="s">
        <v>2509</v>
      </c>
      <c r="G2" s="112" t="str">
        <f>TRIM(LEFT('딜티켓_1 '!C9,FIND(" ",'딜티켓_1 '!C9&amp;" ")-1))</f>
        <v>다올</v>
      </c>
      <c r="H2" s="112" t="str">
        <f>TRIM(LEFT(딜티켓_2!C9,FIND(" ",딜티켓_2!C9&amp;" ")-1))</f>
        <v>한투</v>
      </c>
      <c r="I2" s="112" t="str">
        <f>TRIM(LEFT('딜티켓(언와인딩)'!C9,FIND(" ",'딜티켓(언와인딩)'!C9&amp;" ")-1))</f>
        <v>IBK</v>
      </c>
    </row>
    <row r="3" spans="1:9" ht="15" customHeight="1">
      <c r="A3" s="111" t="s">
        <v>2510</v>
      </c>
      <c r="B3" s="111" t="s">
        <v>2510</v>
      </c>
      <c r="C3" s="112" t="s">
        <v>2507</v>
      </c>
      <c r="D3" s="112" t="s">
        <v>2508</v>
      </c>
      <c r="F3" s="111" t="s">
        <v>2502</v>
      </c>
      <c r="G3" s="112" t="str">
        <f>IFERROR(VLOOKUP($G$2,$A$2:$D$25,2,FALSE()),"")</f>
        <v>다올</v>
      </c>
      <c r="H3" s="112" t="str">
        <f>IFERROR(VLOOKUP($H$2,$A$2:$D$25,2,FALSE()),"")</f>
        <v>한투</v>
      </c>
      <c r="I3" s="112" t="str">
        <f>IFERROR(VLOOKUP($I$2,$A$2:$D$25,2,FALSE()),"")</f>
        <v>IBK</v>
      </c>
    </row>
    <row r="4" spans="1:9" ht="15" customHeight="1">
      <c r="A4" s="111" t="s">
        <v>2511</v>
      </c>
      <c r="B4" s="111" t="s">
        <v>2511</v>
      </c>
      <c r="C4" s="112" t="s">
        <v>2507</v>
      </c>
      <c r="D4" s="112" t="s">
        <v>2512</v>
      </c>
      <c r="F4" s="111" t="s">
        <v>2503</v>
      </c>
      <c r="G4" s="112" t="str">
        <f>IFERROR(VLOOKUP($G$2,$A$2:$D$25,3,FALSE()),"")</f>
        <v>C</v>
      </c>
      <c r="H4" s="112" t="str">
        <f>IFERROR(VLOOKUP($H$2,$A$2:$D$25,3,FALSE()),"")</f>
        <v>C</v>
      </c>
      <c r="I4" s="112" t="str">
        <f>IFERROR(VLOOKUP($I$2,$A$2:$D$25,3,FALSE()),"")</f>
        <v>D</v>
      </c>
    </row>
    <row r="5" spans="1:9" ht="15" customHeight="1">
      <c r="A5" s="111" t="s">
        <v>2513</v>
      </c>
      <c r="B5" s="111" t="s">
        <v>2513</v>
      </c>
      <c r="C5" s="112" t="s">
        <v>2514</v>
      </c>
      <c r="D5" s="112" t="s">
        <v>2512</v>
      </c>
      <c r="F5" s="111" t="s">
        <v>2504</v>
      </c>
      <c r="G5" s="112" t="str">
        <f>IFERROR(VLOOKUP($G$2,$A$2:$D$25,4,FALSE()),"")</f>
        <v>F</v>
      </c>
      <c r="H5" s="112" t="str">
        <f>IFERROR(VLOOKUP($H$2,$A$2:$D$25,4,FALSE()),"")</f>
        <v>F</v>
      </c>
      <c r="I5" s="112" t="str">
        <f>IFERROR(VLOOKUP($I$2,$A$2:$D$25,4,FALSE()),"")</f>
        <v>G</v>
      </c>
    </row>
    <row r="6" spans="1:9" ht="15" customHeight="1">
      <c r="A6" s="111" t="s">
        <v>2515</v>
      </c>
      <c r="B6" s="111" t="s">
        <v>2515</v>
      </c>
      <c r="C6" s="112" t="s">
        <v>2507</v>
      </c>
      <c r="D6" s="112" t="s">
        <v>2508</v>
      </c>
    </row>
    <row r="7" spans="1:9" ht="15" customHeight="1">
      <c r="A7" s="111" t="s">
        <v>2516</v>
      </c>
      <c r="B7" s="111" t="s">
        <v>2516</v>
      </c>
      <c r="C7" s="112" t="s">
        <v>2507</v>
      </c>
      <c r="D7" s="112" t="s">
        <v>2508</v>
      </c>
    </row>
    <row r="8" spans="1:9" ht="15" customHeight="1">
      <c r="A8" s="111" t="s">
        <v>1159</v>
      </c>
      <c r="B8" s="111" t="s">
        <v>1159</v>
      </c>
      <c r="C8" s="112" t="s">
        <v>2507</v>
      </c>
      <c r="D8" s="112" t="s">
        <v>2508</v>
      </c>
    </row>
    <row r="9" spans="1:9" ht="15" customHeight="1">
      <c r="A9" s="111" t="s">
        <v>26</v>
      </c>
      <c r="B9" s="111" t="s">
        <v>26</v>
      </c>
      <c r="C9" s="112" t="s">
        <v>2507</v>
      </c>
      <c r="D9" s="112" t="s">
        <v>2508</v>
      </c>
    </row>
    <row r="10" spans="1:9" ht="15" customHeight="1">
      <c r="A10" s="111" t="s">
        <v>2517</v>
      </c>
      <c r="B10" s="111" t="s">
        <v>2517</v>
      </c>
      <c r="C10" s="112" t="s">
        <v>2507</v>
      </c>
      <c r="D10" s="112" t="s">
        <v>2508</v>
      </c>
    </row>
    <row r="11" spans="1:9" ht="15" customHeight="1">
      <c r="A11" s="111" t="s">
        <v>1626</v>
      </c>
      <c r="B11" s="111" t="s">
        <v>1626</v>
      </c>
      <c r="C11" s="112" t="s">
        <v>2507</v>
      </c>
      <c r="D11" s="112" t="s">
        <v>2508</v>
      </c>
    </row>
    <row r="12" spans="1:9" ht="15" customHeight="1">
      <c r="A12" s="112" t="s">
        <v>2518</v>
      </c>
      <c r="B12" s="112" t="s">
        <v>2518</v>
      </c>
      <c r="C12" s="112" t="s">
        <v>2514</v>
      </c>
      <c r="D12" s="112" t="s">
        <v>2512</v>
      </c>
    </row>
    <row r="13" spans="1:9" ht="15" customHeight="1">
      <c r="A13" s="111" t="s">
        <v>2519</v>
      </c>
      <c r="B13" s="111" t="s">
        <v>1793</v>
      </c>
      <c r="C13" s="112" t="s">
        <v>2507</v>
      </c>
      <c r="D13" s="112" t="s">
        <v>2508</v>
      </c>
    </row>
    <row r="14" spans="1:9" ht="15" customHeight="1">
      <c r="A14" s="111" t="s">
        <v>1793</v>
      </c>
      <c r="B14" s="111" t="s">
        <v>1793</v>
      </c>
      <c r="C14" s="112" t="s">
        <v>2507</v>
      </c>
      <c r="D14" s="112" t="s">
        <v>2508</v>
      </c>
    </row>
    <row r="15" spans="1:9" ht="15" customHeight="1">
      <c r="A15" s="112" t="s">
        <v>122</v>
      </c>
      <c r="B15" s="112" t="s">
        <v>122</v>
      </c>
      <c r="C15" s="112" t="s">
        <v>87</v>
      </c>
      <c r="D15" s="112" t="s">
        <v>2520</v>
      </c>
    </row>
    <row r="16" spans="1:9" ht="15" customHeight="1">
      <c r="A16" s="111" t="s">
        <v>2521</v>
      </c>
      <c r="B16" s="111" t="s">
        <v>2521</v>
      </c>
      <c r="C16" s="112" t="s">
        <v>2507</v>
      </c>
      <c r="D16" s="112" t="s">
        <v>2508</v>
      </c>
    </row>
    <row r="17" spans="1:4" ht="15" customHeight="1">
      <c r="A17" s="112" t="s">
        <v>2522</v>
      </c>
      <c r="B17" s="112" t="s">
        <v>2522</v>
      </c>
      <c r="C17" s="112" t="s">
        <v>2507</v>
      </c>
      <c r="D17" s="112" t="s">
        <v>2508</v>
      </c>
    </row>
    <row r="18" spans="1:4" ht="15" customHeight="1">
      <c r="A18" s="112" t="s">
        <v>94</v>
      </c>
      <c r="B18" s="112" t="s">
        <v>94</v>
      </c>
      <c r="C18" s="112" t="s">
        <v>2507</v>
      </c>
      <c r="D18" s="112" t="s">
        <v>2508</v>
      </c>
    </row>
    <row r="19" spans="1:4" ht="15" customHeight="1">
      <c r="A19" s="111" t="s">
        <v>2523</v>
      </c>
      <c r="B19" s="111" t="s">
        <v>2523</v>
      </c>
      <c r="C19" s="112" t="s">
        <v>2507</v>
      </c>
      <c r="D19" s="112" t="s">
        <v>2508</v>
      </c>
    </row>
    <row r="20" spans="1:4" ht="15" customHeight="1">
      <c r="A20" s="111" t="s">
        <v>2524</v>
      </c>
      <c r="B20" s="111" t="s">
        <v>2524</v>
      </c>
      <c r="C20" s="112" t="s">
        <v>2507</v>
      </c>
      <c r="D20" s="112" t="s">
        <v>2508</v>
      </c>
    </row>
    <row r="21" spans="1:4" ht="15" customHeight="1">
      <c r="A21" s="111" t="s">
        <v>2525</v>
      </c>
      <c r="B21" s="111" t="s">
        <v>2525</v>
      </c>
      <c r="C21" s="112" t="s">
        <v>2507</v>
      </c>
      <c r="D21" s="112" t="s">
        <v>2508</v>
      </c>
    </row>
    <row r="22" spans="1:4" ht="15" customHeight="1">
      <c r="A22" s="111" t="s">
        <v>2526</v>
      </c>
      <c r="B22" s="111" t="s">
        <v>2526</v>
      </c>
      <c r="C22" s="112" t="s">
        <v>2507</v>
      </c>
      <c r="D22" s="112" t="s">
        <v>2508</v>
      </c>
    </row>
    <row r="23" spans="1:4" ht="15" customHeight="1">
      <c r="A23" s="111" t="s">
        <v>10</v>
      </c>
      <c r="B23" s="111" t="s">
        <v>2526</v>
      </c>
      <c r="C23" s="112" t="s">
        <v>2507</v>
      </c>
      <c r="D23" s="112" t="s">
        <v>2508</v>
      </c>
    </row>
    <row r="24" spans="1:4" ht="15" customHeight="1">
      <c r="A24" s="111" t="s">
        <v>2527</v>
      </c>
      <c r="B24" s="111" t="s">
        <v>2527</v>
      </c>
      <c r="C24" s="112" t="s">
        <v>2514</v>
      </c>
      <c r="D24" s="112" t="s">
        <v>2512</v>
      </c>
    </row>
    <row r="28" spans="1:4" ht="15" customHeight="1">
      <c r="A28" s="202" t="s">
        <v>2528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8"/>
  <dimension ref="A1:G513"/>
  <sheetViews>
    <sheetView zoomScaleNormal="100" workbookViewId="0">
      <pane ySplit="1" topLeftCell="A2" activePane="bottomLeft" state="frozen"/>
      <selection pane="bottomLeft"/>
    </sheetView>
  </sheetViews>
  <sheetFormatPr defaultColWidth="8.5546875" defaultRowHeight="13.5"/>
  <cols>
    <col min="1" max="2" width="12" style="98" customWidth="1"/>
    <col min="3" max="3" width="16" style="98" customWidth="1"/>
    <col min="4" max="4" width="18" style="98" customWidth="1"/>
    <col min="5" max="5" width="12" style="98" customWidth="1"/>
  </cols>
  <sheetData>
    <row r="1" spans="1:7" ht="15">
      <c r="A1" s="103" t="s">
        <v>38</v>
      </c>
      <c r="B1" s="103" t="s">
        <v>23</v>
      </c>
      <c r="C1" s="103" t="s">
        <v>2529</v>
      </c>
      <c r="D1" s="103" t="s">
        <v>2530</v>
      </c>
      <c r="E1" s="103" t="s">
        <v>2531</v>
      </c>
      <c r="G1" s="202" t="s">
        <v>2532</v>
      </c>
    </row>
    <row r="2" spans="1:7" ht="15">
      <c r="A2" s="203" t="s">
        <v>1417</v>
      </c>
      <c r="B2" s="204">
        <v>6.1688000000000001</v>
      </c>
      <c r="C2" s="205" t="s">
        <v>2533</v>
      </c>
      <c r="D2" s="205" t="s">
        <v>1418</v>
      </c>
      <c r="E2" s="205" t="s">
        <v>2534</v>
      </c>
      <c r="G2" s="206" t="s">
        <v>2535</v>
      </c>
    </row>
    <row r="3" spans="1:7" ht="15">
      <c r="A3" s="203">
        <v>63250</v>
      </c>
      <c r="B3" s="204">
        <v>7.2005999999999997</v>
      </c>
      <c r="C3" s="205" t="s">
        <v>2536</v>
      </c>
      <c r="D3" s="205" t="s">
        <v>1229</v>
      </c>
      <c r="E3" s="205" t="s">
        <v>2537</v>
      </c>
    </row>
    <row r="4" spans="1:7" ht="15">
      <c r="A4" s="203" t="s">
        <v>1398</v>
      </c>
      <c r="B4" s="204">
        <v>9.282</v>
      </c>
      <c r="C4" s="205" t="s">
        <v>2538</v>
      </c>
      <c r="D4" s="205" t="s">
        <v>1399</v>
      </c>
      <c r="E4" s="205" t="s">
        <v>2534</v>
      </c>
    </row>
    <row r="5" spans="1:7" ht="15">
      <c r="A5" s="203" t="s">
        <v>1314</v>
      </c>
      <c r="B5" s="204">
        <v>10</v>
      </c>
      <c r="C5" s="205" t="s">
        <v>2539</v>
      </c>
      <c r="D5" s="205" t="s">
        <v>1315</v>
      </c>
      <c r="E5" s="205" t="s">
        <v>2540</v>
      </c>
    </row>
    <row r="6" spans="1:7" ht="15">
      <c r="A6" s="203" t="s">
        <v>2073</v>
      </c>
      <c r="B6" s="204">
        <v>10.0115</v>
      </c>
      <c r="C6" s="205" t="s">
        <v>2541</v>
      </c>
      <c r="D6" s="205" t="s">
        <v>2542</v>
      </c>
      <c r="E6" s="205" t="s">
        <v>2543</v>
      </c>
    </row>
    <row r="7" spans="1:7" ht="15">
      <c r="A7" s="203">
        <v>67001</v>
      </c>
      <c r="B7" s="204">
        <v>10.029999999999999</v>
      </c>
      <c r="C7" s="205" t="s">
        <v>2544</v>
      </c>
      <c r="D7" s="205" t="s">
        <v>1214</v>
      </c>
      <c r="E7" s="205" t="s">
        <v>2540</v>
      </c>
    </row>
    <row r="8" spans="1:7" ht="15">
      <c r="A8" s="203" t="s">
        <v>1752</v>
      </c>
      <c r="B8" s="204">
        <v>10.0932</v>
      </c>
      <c r="C8" s="205" t="s">
        <v>2545</v>
      </c>
      <c r="D8" s="205" t="s">
        <v>1753</v>
      </c>
      <c r="E8" s="205" t="s">
        <v>2546</v>
      </c>
    </row>
    <row r="9" spans="1:7" ht="15">
      <c r="A9" s="203" t="s">
        <v>2256</v>
      </c>
      <c r="B9" s="204">
        <v>10.1035</v>
      </c>
      <c r="C9" s="205" t="s">
        <v>2547</v>
      </c>
      <c r="D9" s="205" t="s">
        <v>2257</v>
      </c>
      <c r="E9" s="205" t="s">
        <v>2548</v>
      </c>
    </row>
    <row r="10" spans="1:7" ht="15">
      <c r="A10" s="203" t="s">
        <v>1958</v>
      </c>
      <c r="B10" s="204">
        <v>10.1153</v>
      </c>
      <c r="C10" s="205" t="s">
        <v>2549</v>
      </c>
      <c r="D10" s="205" t="s">
        <v>1959</v>
      </c>
      <c r="E10" s="205" t="s">
        <v>2550</v>
      </c>
    </row>
    <row r="11" spans="1:7" ht="15">
      <c r="A11" s="203" t="s">
        <v>2071</v>
      </c>
      <c r="B11" s="204">
        <v>10.1249</v>
      </c>
      <c r="C11" s="205" t="s">
        <v>2551</v>
      </c>
      <c r="D11" s="205" t="s">
        <v>2552</v>
      </c>
      <c r="E11" s="205" t="s">
        <v>2553</v>
      </c>
    </row>
    <row r="12" spans="1:7" ht="15">
      <c r="A12" s="203" t="s">
        <v>1744</v>
      </c>
      <c r="B12" s="204">
        <v>10.1943</v>
      </c>
      <c r="C12" s="205" t="s">
        <v>2554</v>
      </c>
      <c r="D12" s="205" t="s">
        <v>1745</v>
      </c>
      <c r="E12" s="205" t="s">
        <v>2555</v>
      </c>
    </row>
    <row r="13" spans="1:7" ht="15">
      <c r="A13" s="203" t="s">
        <v>1337</v>
      </c>
      <c r="B13" s="204">
        <v>10.3034</v>
      </c>
      <c r="C13" s="205" t="s">
        <v>2556</v>
      </c>
      <c r="D13" s="205" t="s">
        <v>1338</v>
      </c>
      <c r="E13" s="205" t="s">
        <v>2534</v>
      </c>
    </row>
    <row r="14" spans="1:7" ht="15">
      <c r="A14" s="203" t="s">
        <v>2065</v>
      </c>
      <c r="B14" s="204">
        <v>10.464</v>
      </c>
      <c r="C14" s="205" t="s">
        <v>2557</v>
      </c>
      <c r="D14" s="205" t="s">
        <v>2066</v>
      </c>
      <c r="E14" s="205" t="s">
        <v>2558</v>
      </c>
    </row>
    <row r="15" spans="1:7" ht="15">
      <c r="A15" s="203" t="s">
        <v>2464</v>
      </c>
      <c r="B15" s="204">
        <v>10.898099999999999</v>
      </c>
      <c r="C15" s="205" t="s">
        <v>2559</v>
      </c>
      <c r="D15" s="205" t="s">
        <v>2465</v>
      </c>
      <c r="E15" s="205" t="s">
        <v>2560</v>
      </c>
    </row>
    <row r="16" spans="1:7" ht="15">
      <c r="A16" s="203" t="s">
        <v>274</v>
      </c>
      <c r="B16" s="204">
        <v>10.930099999999999</v>
      </c>
      <c r="C16" s="205" t="s">
        <v>2561</v>
      </c>
      <c r="D16" s="205" t="s">
        <v>847</v>
      </c>
      <c r="E16" s="205" t="s">
        <v>2562</v>
      </c>
    </row>
    <row r="17" spans="1:5" ht="15">
      <c r="A17" s="203" t="s">
        <v>1985</v>
      </c>
      <c r="B17" s="204">
        <v>11.542199999999999</v>
      </c>
      <c r="C17" s="205" t="s">
        <v>2563</v>
      </c>
      <c r="D17" s="205" t="s">
        <v>1986</v>
      </c>
      <c r="E17" s="205" t="s">
        <v>2550</v>
      </c>
    </row>
    <row r="18" spans="1:5" ht="15">
      <c r="A18" s="203" t="s">
        <v>1978</v>
      </c>
      <c r="B18" s="204">
        <v>11.7834</v>
      </c>
      <c r="C18" s="205" t="s">
        <v>2564</v>
      </c>
      <c r="D18" s="205" t="s">
        <v>1979</v>
      </c>
      <c r="E18" s="205" t="s">
        <v>2550</v>
      </c>
    </row>
    <row r="19" spans="1:5" ht="15">
      <c r="A19" s="203" t="s">
        <v>1308</v>
      </c>
      <c r="B19" s="204">
        <v>12.0229</v>
      </c>
      <c r="C19" s="205" t="s">
        <v>2565</v>
      </c>
      <c r="D19" s="205" t="s">
        <v>1309</v>
      </c>
      <c r="E19" s="205" t="s">
        <v>2540</v>
      </c>
    </row>
    <row r="20" spans="1:5" ht="15">
      <c r="A20" s="203">
        <v>63650</v>
      </c>
      <c r="B20" s="204">
        <v>12.51</v>
      </c>
      <c r="C20" s="205" t="s">
        <v>2566</v>
      </c>
      <c r="D20" s="205" t="s">
        <v>1212</v>
      </c>
      <c r="E20" s="205" t="s">
        <v>2540</v>
      </c>
    </row>
    <row r="21" spans="1:5" ht="15">
      <c r="A21" s="203" t="s">
        <v>1428</v>
      </c>
      <c r="B21" s="204">
        <v>13.369300000000001</v>
      </c>
      <c r="C21" s="205" t="s">
        <v>2567</v>
      </c>
      <c r="D21" s="205" t="s">
        <v>1429</v>
      </c>
      <c r="E21" s="205" t="s">
        <v>2534</v>
      </c>
    </row>
    <row r="22" spans="1:5" ht="15">
      <c r="A22" s="203">
        <v>35600</v>
      </c>
      <c r="B22" s="204">
        <v>13.45</v>
      </c>
      <c r="C22" s="205" t="s">
        <v>2568</v>
      </c>
      <c r="D22" s="205" t="s">
        <v>1200</v>
      </c>
      <c r="E22" s="205" t="s">
        <v>2540</v>
      </c>
    </row>
    <row r="23" spans="1:5" ht="15">
      <c r="A23" s="203" t="s">
        <v>1463</v>
      </c>
      <c r="B23" s="204">
        <v>14.5824</v>
      </c>
      <c r="C23" s="205" t="s">
        <v>2569</v>
      </c>
      <c r="D23" s="205" t="s">
        <v>1464</v>
      </c>
      <c r="E23" s="205" t="s">
        <v>2534</v>
      </c>
    </row>
    <row r="24" spans="1:5" ht="15">
      <c r="A24" s="203" t="s">
        <v>1477</v>
      </c>
      <c r="B24" s="204">
        <v>16.119</v>
      </c>
      <c r="C24" s="205" t="s">
        <v>2570</v>
      </c>
      <c r="D24" s="205" t="s">
        <v>1478</v>
      </c>
      <c r="E24" s="205" t="s">
        <v>2571</v>
      </c>
    </row>
    <row r="25" spans="1:5" ht="15">
      <c r="A25" s="203" t="s">
        <v>1444</v>
      </c>
      <c r="B25" s="204">
        <v>19.2637</v>
      </c>
      <c r="C25" s="205" t="s">
        <v>2572</v>
      </c>
      <c r="D25" s="205" t="s">
        <v>1445</v>
      </c>
      <c r="E25" s="205" t="s">
        <v>2534</v>
      </c>
    </row>
    <row r="26" spans="1:5" ht="15">
      <c r="A26" s="203">
        <v>62000</v>
      </c>
      <c r="B26" s="204">
        <v>21.54</v>
      </c>
      <c r="C26" s="205" t="s">
        <v>2573</v>
      </c>
      <c r="D26" s="205" t="s">
        <v>1206</v>
      </c>
      <c r="E26" s="205" t="s">
        <v>2550</v>
      </c>
    </row>
    <row r="27" spans="1:5" ht="15">
      <c r="A27" s="203">
        <v>19117</v>
      </c>
      <c r="B27" s="204">
        <v>362.61</v>
      </c>
      <c r="C27" s="205" t="s">
        <v>2574</v>
      </c>
      <c r="D27" s="205" t="s">
        <v>677</v>
      </c>
      <c r="E27" s="205" t="s">
        <v>2575</v>
      </c>
    </row>
    <row r="28" spans="1:5" ht="15">
      <c r="A28" s="203" t="s">
        <v>462</v>
      </c>
      <c r="B28" s="204">
        <v>400.64</v>
      </c>
      <c r="C28" s="205" t="s">
        <v>2576</v>
      </c>
      <c r="D28" s="205" t="s">
        <v>2577</v>
      </c>
      <c r="E28" s="205" t="s">
        <v>2578</v>
      </c>
    </row>
    <row r="29" spans="1:5" ht="15">
      <c r="A29" s="203" t="s">
        <v>1003</v>
      </c>
      <c r="B29" s="204">
        <v>440.84</v>
      </c>
      <c r="C29" s="205" t="s">
        <v>2579</v>
      </c>
      <c r="D29" s="205" t="s">
        <v>1004</v>
      </c>
      <c r="E29" s="205" t="s">
        <v>2562</v>
      </c>
    </row>
    <row r="30" spans="1:5" ht="15">
      <c r="A30" s="203">
        <v>233955</v>
      </c>
      <c r="B30" s="204">
        <v>452.38</v>
      </c>
      <c r="C30" s="205" t="s">
        <v>2580</v>
      </c>
      <c r="D30" s="205" t="s">
        <v>2200</v>
      </c>
      <c r="E30" s="205" t="s">
        <v>2534</v>
      </c>
    </row>
    <row r="31" spans="1:5" ht="15">
      <c r="A31" s="203" t="s">
        <v>233</v>
      </c>
      <c r="B31" s="204">
        <v>471.71</v>
      </c>
      <c r="C31" s="205" t="s">
        <v>2581</v>
      </c>
      <c r="D31" s="205" t="s">
        <v>833</v>
      </c>
      <c r="E31" s="205" t="s">
        <v>2562</v>
      </c>
    </row>
    <row r="32" spans="1:5" ht="15">
      <c r="A32" s="203" t="s">
        <v>280</v>
      </c>
      <c r="B32" s="204">
        <v>500.19</v>
      </c>
      <c r="C32" s="205" t="s">
        <v>2582</v>
      </c>
      <c r="D32" s="205" t="s">
        <v>782</v>
      </c>
      <c r="E32" s="205" t="s">
        <v>2583</v>
      </c>
    </row>
    <row r="33" spans="1:5" ht="15">
      <c r="A33" s="203" t="s">
        <v>251</v>
      </c>
      <c r="B33" s="204">
        <v>549.87</v>
      </c>
      <c r="C33" s="205" t="s">
        <v>2584</v>
      </c>
      <c r="D33" s="205" t="s">
        <v>819</v>
      </c>
      <c r="E33" s="205" t="s">
        <v>2578</v>
      </c>
    </row>
    <row r="34" spans="1:5" ht="15">
      <c r="A34" s="203">
        <v>74088</v>
      </c>
      <c r="B34" s="204">
        <v>558.33000000000004</v>
      </c>
      <c r="C34" s="205" t="s">
        <v>2585</v>
      </c>
      <c r="D34" s="205" t="s">
        <v>685</v>
      </c>
      <c r="E34" s="205" t="s">
        <v>2575</v>
      </c>
    </row>
    <row r="35" spans="1:5" ht="15">
      <c r="A35" s="203" t="s">
        <v>863</v>
      </c>
      <c r="B35" s="204">
        <v>562.32000000000005</v>
      </c>
      <c r="C35" s="205" t="s">
        <v>2586</v>
      </c>
      <c r="D35" s="205" t="s">
        <v>864</v>
      </c>
      <c r="E35" s="205" t="s">
        <v>2578</v>
      </c>
    </row>
    <row r="36" spans="1:5" ht="15">
      <c r="A36" s="203">
        <v>232902</v>
      </c>
      <c r="B36" s="204">
        <v>572.62</v>
      </c>
      <c r="C36" s="205" t="s">
        <v>2587</v>
      </c>
      <c r="D36" s="205" t="s">
        <v>2149</v>
      </c>
      <c r="E36" s="205" t="s">
        <v>2588</v>
      </c>
    </row>
    <row r="37" spans="1:5" ht="15">
      <c r="A37" s="203">
        <v>79831</v>
      </c>
      <c r="B37" s="204">
        <v>604.87</v>
      </c>
      <c r="C37" s="205" t="s">
        <v>2589</v>
      </c>
      <c r="D37" s="205" t="s">
        <v>1814</v>
      </c>
      <c r="E37" s="205" t="s">
        <v>2590</v>
      </c>
    </row>
    <row r="38" spans="1:5" ht="15">
      <c r="A38" s="203" t="s">
        <v>1420</v>
      </c>
      <c r="B38" s="204">
        <v>606.46</v>
      </c>
      <c r="C38" s="205" t="s">
        <v>2591</v>
      </c>
      <c r="D38" s="205" t="s">
        <v>1421</v>
      </c>
      <c r="E38" s="205" t="s">
        <v>2578</v>
      </c>
    </row>
    <row r="39" spans="1:5" ht="15">
      <c r="A39" s="203" t="s">
        <v>329</v>
      </c>
      <c r="B39" s="204">
        <v>614.28</v>
      </c>
      <c r="C39" s="205" t="s">
        <v>2592</v>
      </c>
      <c r="D39" s="205" t="s">
        <v>1252</v>
      </c>
      <c r="E39" s="205" t="s">
        <v>2578</v>
      </c>
    </row>
    <row r="40" spans="1:5" ht="15">
      <c r="A40" s="203">
        <v>109972</v>
      </c>
      <c r="B40" s="204">
        <v>616.88</v>
      </c>
      <c r="C40" s="205" t="s">
        <v>2593</v>
      </c>
      <c r="D40" s="205" t="s">
        <v>2084</v>
      </c>
      <c r="E40" s="205" t="s">
        <v>2588</v>
      </c>
    </row>
    <row r="41" spans="1:5" ht="15">
      <c r="A41" s="203" t="s">
        <v>220</v>
      </c>
      <c r="B41" s="204">
        <v>620.82000000000005</v>
      </c>
      <c r="C41" s="205" t="s">
        <v>2594</v>
      </c>
      <c r="D41" s="205" t="s">
        <v>789</v>
      </c>
      <c r="E41" s="205" t="s">
        <v>2562</v>
      </c>
    </row>
    <row r="42" spans="1:5" ht="15">
      <c r="A42" s="203" t="s">
        <v>420</v>
      </c>
      <c r="B42" s="204">
        <v>623.38</v>
      </c>
      <c r="C42" s="205" t="s">
        <v>2595</v>
      </c>
      <c r="D42" s="205" t="s">
        <v>2288</v>
      </c>
      <c r="E42" s="205" t="s">
        <v>2596</v>
      </c>
    </row>
    <row r="43" spans="1:5" ht="15">
      <c r="A43" s="203" t="s">
        <v>330</v>
      </c>
      <c r="B43" s="204">
        <v>625.69000000000005</v>
      </c>
      <c r="C43" s="205" t="s">
        <v>2597</v>
      </c>
      <c r="D43" s="205" t="s">
        <v>1256</v>
      </c>
      <c r="E43" s="205" t="s">
        <v>2578</v>
      </c>
    </row>
    <row r="44" spans="1:5" ht="15">
      <c r="A44" s="203">
        <v>79832</v>
      </c>
      <c r="B44" s="204">
        <v>626.73</v>
      </c>
      <c r="C44" s="205" t="s">
        <v>2598</v>
      </c>
      <c r="D44" s="205" t="s">
        <v>1812</v>
      </c>
      <c r="E44" s="205" t="s">
        <v>2590</v>
      </c>
    </row>
    <row r="45" spans="1:5" ht="15">
      <c r="A45" s="203">
        <v>50146</v>
      </c>
      <c r="B45" s="204">
        <v>630.54</v>
      </c>
      <c r="C45" s="205" t="s">
        <v>2599</v>
      </c>
      <c r="D45" s="205" t="s">
        <v>683</v>
      </c>
      <c r="E45" s="205" t="s">
        <v>2575</v>
      </c>
    </row>
    <row r="46" spans="1:5" ht="15">
      <c r="A46" s="203" t="s">
        <v>1424</v>
      </c>
      <c r="B46" s="204">
        <v>632.65</v>
      </c>
      <c r="C46" s="205" t="s">
        <v>2600</v>
      </c>
      <c r="D46" s="205" t="s">
        <v>1425</v>
      </c>
      <c r="E46" s="205" t="s">
        <v>2578</v>
      </c>
    </row>
    <row r="47" spans="1:5" ht="15">
      <c r="A47" s="203" t="s">
        <v>1372</v>
      </c>
      <c r="B47" s="204">
        <v>643.95000000000005</v>
      </c>
      <c r="C47" s="205" t="s">
        <v>2601</v>
      </c>
      <c r="D47" s="205" t="s">
        <v>1373</v>
      </c>
      <c r="E47" s="205" t="s">
        <v>2540</v>
      </c>
    </row>
    <row r="48" spans="1:5" ht="15">
      <c r="A48" s="203">
        <v>1711</v>
      </c>
      <c r="B48" s="204">
        <v>648.87</v>
      </c>
      <c r="C48" s="205" t="s">
        <v>2602</v>
      </c>
      <c r="D48" s="205" t="s">
        <v>712</v>
      </c>
      <c r="E48" s="205" t="s">
        <v>2603</v>
      </c>
    </row>
    <row r="49" spans="1:5" ht="15">
      <c r="A49" s="203" t="s">
        <v>224</v>
      </c>
      <c r="B49" s="204">
        <v>655.28</v>
      </c>
      <c r="C49" s="205" t="s">
        <v>2604</v>
      </c>
      <c r="D49" s="205" t="s">
        <v>835</v>
      </c>
      <c r="E49" s="205" t="s">
        <v>2562</v>
      </c>
    </row>
    <row r="50" spans="1:5" ht="15">
      <c r="A50" s="203" t="s">
        <v>465</v>
      </c>
      <c r="B50" s="204">
        <v>655.96</v>
      </c>
      <c r="C50" s="205" t="s">
        <v>2605</v>
      </c>
      <c r="D50" s="205" t="s">
        <v>599</v>
      </c>
      <c r="E50" s="205" t="s">
        <v>2606</v>
      </c>
    </row>
    <row r="51" spans="1:5" ht="15">
      <c r="A51" s="203" t="s">
        <v>250</v>
      </c>
      <c r="B51" s="204">
        <v>668.18</v>
      </c>
      <c r="C51" s="205" t="s">
        <v>2607</v>
      </c>
      <c r="D51" s="205" t="s">
        <v>811</v>
      </c>
      <c r="E51" s="205" t="s">
        <v>2583</v>
      </c>
    </row>
    <row r="52" spans="1:5" ht="15">
      <c r="A52" s="203">
        <v>67101</v>
      </c>
      <c r="B52" s="204">
        <v>685.15</v>
      </c>
      <c r="C52" s="205" t="s">
        <v>2608</v>
      </c>
      <c r="D52" s="205" t="s">
        <v>1876</v>
      </c>
      <c r="E52" s="205" t="s">
        <v>2609</v>
      </c>
    </row>
    <row r="53" spans="1:5" ht="15">
      <c r="A53" s="203">
        <v>231902</v>
      </c>
      <c r="B53" s="204">
        <v>690.28</v>
      </c>
      <c r="C53" s="205" t="s">
        <v>2610</v>
      </c>
      <c r="D53" s="205" t="s">
        <v>2101</v>
      </c>
      <c r="E53" s="205" t="s">
        <v>2588</v>
      </c>
    </row>
    <row r="54" spans="1:5" ht="15">
      <c r="A54" s="203" t="s">
        <v>141</v>
      </c>
      <c r="B54" s="204">
        <v>699.41</v>
      </c>
      <c r="C54" s="205" t="s">
        <v>2611</v>
      </c>
      <c r="D54" s="205" t="s">
        <v>877</v>
      </c>
      <c r="E54" s="205" t="s">
        <v>2578</v>
      </c>
    </row>
    <row r="55" spans="1:5" ht="15">
      <c r="A55" s="205" t="s">
        <v>281</v>
      </c>
      <c r="B55" s="207">
        <v>715.62</v>
      </c>
      <c r="C55" s="205" t="s">
        <v>2612</v>
      </c>
      <c r="D55" s="205" t="s">
        <v>791</v>
      </c>
      <c r="E55" s="205" t="s">
        <v>2578</v>
      </c>
    </row>
    <row r="56" spans="1:5" ht="15">
      <c r="A56" s="205" t="s">
        <v>242</v>
      </c>
      <c r="B56" s="207">
        <v>721.47</v>
      </c>
      <c r="C56" s="205" t="s">
        <v>2613</v>
      </c>
      <c r="D56" s="205" t="s">
        <v>795</v>
      </c>
      <c r="E56" s="205" t="s">
        <v>2614</v>
      </c>
    </row>
    <row r="57" spans="1:5" ht="15">
      <c r="A57" s="205">
        <v>66400</v>
      </c>
      <c r="B57" s="207">
        <v>723.52</v>
      </c>
      <c r="C57" s="205" t="s">
        <v>2615</v>
      </c>
      <c r="D57" s="205" t="s">
        <v>2376</v>
      </c>
      <c r="E57" s="205" t="s">
        <v>2616</v>
      </c>
    </row>
    <row r="58" spans="1:5" ht="15">
      <c r="A58" s="205">
        <v>35201</v>
      </c>
      <c r="B58" s="207">
        <v>726.8</v>
      </c>
      <c r="C58" s="205" t="s">
        <v>2617</v>
      </c>
      <c r="D58" s="205" t="s">
        <v>1164</v>
      </c>
      <c r="E58" s="205" t="s">
        <v>2618</v>
      </c>
    </row>
    <row r="59" spans="1:5" ht="15">
      <c r="A59" s="205">
        <v>64301</v>
      </c>
      <c r="B59" s="207">
        <v>736.13</v>
      </c>
      <c r="C59" s="205" t="s">
        <v>2619</v>
      </c>
      <c r="D59" s="205" t="s">
        <v>1192</v>
      </c>
      <c r="E59" s="205" t="s">
        <v>2618</v>
      </c>
    </row>
    <row r="60" spans="1:5" ht="15">
      <c r="A60" s="205" t="s">
        <v>145</v>
      </c>
      <c r="B60" s="207">
        <v>742.64</v>
      </c>
      <c r="C60" s="205" t="s">
        <v>2620</v>
      </c>
      <c r="D60" s="205" t="s">
        <v>875</v>
      </c>
      <c r="E60" s="205" t="s">
        <v>2578</v>
      </c>
    </row>
    <row r="61" spans="1:5" ht="15">
      <c r="A61" s="205" t="s">
        <v>1402</v>
      </c>
      <c r="B61" s="207">
        <v>742.65</v>
      </c>
      <c r="C61" s="205" t="s">
        <v>2621</v>
      </c>
      <c r="D61" s="205" t="s">
        <v>1403</v>
      </c>
      <c r="E61" s="205" t="s">
        <v>2534</v>
      </c>
    </row>
    <row r="62" spans="1:5" ht="15">
      <c r="A62" s="205" t="s">
        <v>227</v>
      </c>
      <c r="B62" s="207">
        <v>743.07</v>
      </c>
      <c r="C62" s="205" t="s">
        <v>2622</v>
      </c>
      <c r="D62" s="205" t="s">
        <v>797</v>
      </c>
      <c r="E62" s="205" t="s">
        <v>2578</v>
      </c>
    </row>
    <row r="63" spans="1:5" ht="15">
      <c r="A63" s="205">
        <v>66441</v>
      </c>
      <c r="B63" s="207">
        <v>747.13</v>
      </c>
      <c r="C63" s="205" t="s">
        <v>2623</v>
      </c>
      <c r="D63" s="205" t="s">
        <v>1888</v>
      </c>
      <c r="E63" s="205" t="s">
        <v>2583</v>
      </c>
    </row>
    <row r="64" spans="1:5" ht="15">
      <c r="A64" s="205">
        <v>169280</v>
      </c>
      <c r="B64" s="207">
        <v>749.17</v>
      </c>
      <c r="C64" s="205" t="s">
        <v>2624</v>
      </c>
      <c r="D64" s="205" t="s">
        <v>1675</v>
      </c>
      <c r="E64" s="205" t="s">
        <v>2625</v>
      </c>
    </row>
    <row r="65" spans="1:5" ht="15">
      <c r="A65" s="205">
        <v>1512</v>
      </c>
      <c r="B65" s="207">
        <v>761.48</v>
      </c>
      <c r="C65" s="205" t="s">
        <v>2626</v>
      </c>
      <c r="D65" s="205" t="s">
        <v>708</v>
      </c>
      <c r="E65" s="205" t="s">
        <v>2616</v>
      </c>
    </row>
    <row r="66" spans="1:5" ht="15">
      <c r="A66" s="205" t="s">
        <v>111</v>
      </c>
      <c r="B66" s="207">
        <v>768.59</v>
      </c>
      <c r="C66" s="205" t="s">
        <v>2627</v>
      </c>
      <c r="D66" s="205" t="s">
        <v>2267</v>
      </c>
      <c r="E66" s="205" t="s">
        <v>2628</v>
      </c>
    </row>
    <row r="67" spans="1:5" ht="15">
      <c r="A67" s="205" t="s">
        <v>1383</v>
      </c>
      <c r="B67" s="207">
        <v>774.71</v>
      </c>
      <c r="C67" s="205" t="s">
        <v>2629</v>
      </c>
      <c r="D67" s="205" t="s">
        <v>1384</v>
      </c>
      <c r="E67" s="205" t="s">
        <v>2540</v>
      </c>
    </row>
    <row r="68" spans="1:5" ht="15">
      <c r="A68" s="205">
        <v>8155</v>
      </c>
      <c r="B68" s="207">
        <v>787.89</v>
      </c>
      <c r="C68" s="205" t="s">
        <v>2630</v>
      </c>
      <c r="D68" s="205" t="s">
        <v>724</v>
      </c>
      <c r="E68" s="205" t="s">
        <v>2616</v>
      </c>
    </row>
    <row r="69" spans="1:5" ht="15">
      <c r="A69" s="205">
        <v>1513</v>
      </c>
      <c r="B69" s="207">
        <v>792.69</v>
      </c>
      <c r="C69" s="205" t="s">
        <v>2631</v>
      </c>
      <c r="D69" s="205" t="s">
        <v>710</v>
      </c>
      <c r="E69" s="205" t="s">
        <v>2616</v>
      </c>
    </row>
    <row r="70" spans="1:5" ht="15">
      <c r="A70" s="205" t="s">
        <v>249</v>
      </c>
      <c r="B70" s="207">
        <v>799.01</v>
      </c>
      <c r="C70" s="205" t="s">
        <v>2632</v>
      </c>
      <c r="D70" s="205" t="s">
        <v>813</v>
      </c>
      <c r="E70" s="205" t="s">
        <v>2583</v>
      </c>
    </row>
    <row r="71" spans="1:5" ht="15">
      <c r="A71" s="205">
        <v>8169</v>
      </c>
      <c r="B71" s="207">
        <v>800.57</v>
      </c>
      <c r="C71" s="205" t="s">
        <v>2633</v>
      </c>
      <c r="D71" s="205" t="s">
        <v>728</v>
      </c>
      <c r="E71" s="205" t="s">
        <v>2616</v>
      </c>
    </row>
    <row r="72" spans="1:5" ht="15">
      <c r="A72" s="205">
        <v>219913</v>
      </c>
      <c r="B72" s="207">
        <v>801.33</v>
      </c>
      <c r="C72" s="205" t="s">
        <v>2634</v>
      </c>
      <c r="D72" s="205" t="s">
        <v>2223</v>
      </c>
      <c r="E72" s="205" t="s">
        <v>2635</v>
      </c>
    </row>
    <row r="73" spans="1:5" ht="15">
      <c r="A73" s="205">
        <v>1850</v>
      </c>
      <c r="B73" s="207">
        <v>802.48</v>
      </c>
      <c r="C73" s="205" t="s">
        <v>2636</v>
      </c>
      <c r="D73" s="205" t="s">
        <v>722</v>
      </c>
      <c r="E73" s="205" t="s">
        <v>2616</v>
      </c>
    </row>
    <row r="74" spans="1:5" ht="15">
      <c r="A74" s="205">
        <v>8164</v>
      </c>
      <c r="B74" s="207">
        <v>805.59</v>
      </c>
      <c r="C74" s="205" t="s">
        <v>2637</v>
      </c>
      <c r="D74" s="205" t="s">
        <v>726</v>
      </c>
      <c r="E74" s="205" t="s">
        <v>2616</v>
      </c>
    </row>
    <row r="75" spans="1:5" ht="15">
      <c r="A75" s="205" t="s">
        <v>142</v>
      </c>
      <c r="B75" s="207">
        <v>811.55</v>
      </c>
      <c r="C75" s="205" t="s">
        <v>2638</v>
      </c>
      <c r="D75" s="205" t="s">
        <v>883</v>
      </c>
      <c r="E75" s="205" t="s">
        <v>2578</v>
      </c>
    </row>
    <row r="76" spans="1:5" ht="15">
      <c r="A76" s="205" t="s">
        <v>1432</v>
      </c>
      <c r="B76" s="207">
        <v>815.28</v>
      </c>
      <c r="C76" s="205" t="s">
        <v>2639</v>
      </c>
      <c r="D76" s="205" t="s">
        <v>1433</v>
      </c>
      <c r="E76" s="205" t="s">
        <v>2534</v>
      </c>
    </row>
    <row r="77" spans="1:5" ht="15">
      <c r="A77" s="205">
        <v>231913</v>
      </c>
      <c r="B77" s="207">
        <v>820.82</v>
      </c>
      <c r="C77" s="205" t="s">
        <v>2640</v>
      </c>
      <c r="D77" s="205" t="s">
        <v>2113</v>
      </c>
      <c r="E77" s="205" t="s">
        <v>2588</v>
      </c>
    </row>
    <row r="78" spans="1:5" ht="15">
      <c r="A78" s="205" t="s">
        <v>254</v>
      </c>
      <c r="B78" s="207">
        <v>821.4</v>
      </c>
      <c r="C78" s="205" t="s">
        <v>2641</v>
      </c>
      <c r="D78" s="205" t="s">
        <v>815</v>
      </c>
      <c r="E78" s="205" t="s">
        <v>2614</v>
      </c>
    </row>
    <row r="79" spans="1:5" ht="15">
      <c r="A79" s="205" t="s">
        <v>222</v>
      </c>
      <c r="B79" s="207">
        <v>822.51</v>
      </c>
      <c r="C79" s="205" t="s">
        <v>2642</v>
      </c>
      <c r="D79" s="205" t="s">
        <v>804</v>
      </c>
      <c r="E79" s="205" t="s">
        <v>2562</v>
      </c>
    </row>
    <row r="80" spans="1:5" ht="15">
      <c r="A80" s="205" t="s">
        <v>1345</v>
      </c>
      <c r="B80" s="207">
        <v>823</v>
      </c>
      <c r="C80" s="205" t="s">
        <v>2643</v>
      </c>
      <c r="D80" s="205" t="s">
        <v>1346</v>
      </c>
      <c r="E80" s="205" t="s">
        <v>2534</v>
      </c>
    </row>
    <row r="81" spans="1:5" ht="15">
      <c r="A81" s="205" t="s">
        <v>1348</v>
      </c>
      <c r="B81" s="207">
        <v>828.96</v>
      </c>
      <c r="C81" s="205" t="s">
        <v>2644</v>
      </c>
      <c r="D81" s="205" t="s">
        <v>1349</v>
      </c>
      <c r="E81" s="205" t="s">
        <v>2578</v>
      </c>
    </row>
    <row r="82" spans="1:5" ht="15">
      <c r="A82" s="205" t="s">
        <v>1954</v>
      </c>
      <c r="B82" s="207">
        <v>831.2</v>
      </c>
      <c r="C82" s="205" t="s">
        <v>2645</v>
      </c>
      <c r="D82" s="205" t="s">
        <v>1955</v>
      </c>
      <c r="E82" s="205" t="s">
        <v>2575</v>
      </c>
    </row>
    <row r="83" spans="1:5" ht="15">
      <c r="A83" s="205">
        <v>231903</v>
      </c>
      <c r="B83" s="207">
        <v>832.7</v>
      </c>
      <c r="C83" s="205" t="s">
        <v>2646</v>
      </c>
      <c r="D83" s="205" t="s">
        <v>2225</v>
      </c>
      <c r="E83" s="205" t="s">
        <v>2635</v>
      </c>
    </row>
    <row r="84" spans="1:5" ht="15">
      <c r="A84" s="205">
        <v>28019</v>
      </c>
      <c r="B84" s="207">
        <v>832.85</v>
      </c>
      <c r="C84" s="205" t="s">
        <v>2647</v>
      </c>
      <c r="D84" s="205" t="s">
        <v>1884</v>
      </c>
      <c r="E84" s="205" t="s">
        <v>2616</v>
      </c>
    </row>
    <row r="85" spans="1:5" ht="15">
      <c r="A85" s="205">
        <v>231912</v>
      </c>
      <c r="B85" s="207">
        <v>834.06</v>
      </c>
      <c r="C85" s="205" t="s">
        <v>2648</v>
      </c>
      <c r="D85" s="205" t="s">
        <v>2111</v>
      </c>
      <c r="E85" s="205" t="s">
        <v>2588</v>
      </c>
    </row>
    <row r="86" spans="1:5" ht="15">
      <c r="A86" s="205" t="s">
        <v>1410</v>
      </c>
      <c r="B86" s="207">
        <v>835.83</v>
      </c>
      <c r="C86" s="205" t="s">
        <v>2649</v>
      </c>
      <c r="D86" s="205" t="s">
        <v>1411</v>
      </c>
      <c r="E86" s="205" t="s">
        <v>2540</v>
      </c>
    </row>
    <row r="87" spans="1:5" ht="15">
      <c r="A87" s="205">
        <v>66492</v>
      </c>
      <c r="B87" s="207">
        <v>837.4</v>
      </c>
      <c r="C87" s="205" t="s">
        <v>2650</v>
      </c>
      <c r="D87" s="205" t="s">
        <v>1882</v>
      </c>
      <c r="E87" s="205" t="s">
        <v>2616</v>
      </c>
    </row>
    <row r="88" spans="1:5" ht="15">
      <c r="A88" s="205">
        <v>620930</v>
      </c>
      <c r="B88" s="207">
        <v>839.74</v>
      </c>
      <c r="C88" s="205" t="s">
        <v>2651</v>
      </c>
      <c r="D88" s="205" t="s">
        <v>2497</v>
      </c>
      <c r="E88" s="205" t="s">
        <v>2560</v>
      </c>
    </row>
    <row r="89" spans="1:5" ht="15">
      <c r="A89" s="205" t="s">
        <v>324</v>
      </c>
      <c r="B89" s="207">
        <v>844.92</v>
      </c>
      <c r="C89" s="205" t="s">
        <v>2652</v>
      </c>
      <c r="D89" s="205" t="s">
        <v>2653</v>
      </c>
      <c r="E89" s="205" t="s">
        <v>2588</v>
      </c>
    </row>
    <row r="90" spans="1:5" ht="15">
      <c r="A90" s="205">
        <v>66431</v>
      </c>
      <c r="B90" s="207">
        <v>845.64</v>
      </c>
      <c r="C90" s="205" t="s">
        <v>2654</v>
      </c>
      <c r="D90" s="205" t="s">
        <v>1878</v>
      </c>
      <c r="E90" s="205" t="s">
        <v>2609</v>
      </c>
    </row>
    <row r="91" spans="1:5" ht="15">
      <c r="A91" s="205" t="s">
        <v>217</v>
      </c>
      <c r="B91" s="207">
        <v>848.52</v>
      </c>
      <c r="C91" s="205" t="s">
        <v>2655</v>
      </c>
      <c r="D91" s="205" t="s">
        <v>801</v>
      </c>
      <c r="E91" s="205" t="s">
        <v>2562</v>
      </c>
    </row>
    <row r="92" spans="1:5" ht="15">
      <c r="A92" s="205">
        <v>1800</v>
      </c>
      <c r="B92" s="207">
        <v>850.62</v>
      </c>
      <c r="C92" s="205" t="s">
        <v>2656</v>
      </c>
      <c r="D92" s="205" t="s">
        <v>714</v>
      </c>
      <c r="E92" s="205" t="s">
        <v>2616</v>
      </c>
    </row>
    <row r="93" spans="1:5" ht="15">
      <c r="A93" s="205" t="s">
        <v>1341</v>
      </c>
      <c r="B93" s="207">
        <v>851.91</v>
      </c>
      <c r="C93" s="205" t="s">
        <v>2657</v>
      </c>
      <c r="D93" s="205" t="s">
        <v>1342</v>
      </c>
      <c r="E93" s="205" t="s">
        <v>2658</v>
      </c>
    </row>
    <row r="94" spans="1:5" ht="15">
      <c r="A94" s="205" t="s">
        <v>1352</v>
      </c>
      <c r="B94" s="207">
        <v>853.87</v>
      </c>
      <c r="C94" s="205" t="s">
        <v>2659</v>
      </c>
      <c r="D94" s="205" t="s">
        <v>1353</v>
      </c>
      <c r="E94" s="205" t="s">
        <v>2578</v>
      </c>
    </row>
    <row r="95" spans="1:5" ht="15">
      <c r="A95" s="205">
        <v>68880</v>
      </c>
      <c r="B95" s="207">
        <v>861.91</v>
      </c>
      <c r="C95" s="205" t="s">
        <v>2660</v>
      </c>
      <c r="D95" s="205" t="s">
        <v>2396</v>
      </c>
      <c r="E95" s="205" t="s">
        <v>2661</v>
      </c>
    </row>
    <row r="96" spans="1:5" ht="15">
      <c r="A96" s="205" t="s">
        <v>57</v>
      </c>
      <c r="B96" s="207">
        <v>868.85</v>
      </c>
      <c r="C96" s="205" t="s">
        <v>2662</v>
      </c>
      <c r="D96" s="205" t="s">
        <v>885</v>
      </c>
      <c r="E96" s="205" t="s">
        <v>2578</v>
      </c>
    </row>
    <row r="97" spans="1:5" ht="15">
      <c r="A97" s="205">
        <v>402037</v>
      </c>
      <c r="B97" s="207">
        <v>870.21</v>
      </c>
      <c r="C97" s="205" t="s">
        <v>2663</v>
      </c>
      <c r="D97" s="205" t="s">
        <v>1834</v>
      </c>
      <c r="E97" s="205" t="s">
        <v>2575</v>
      </c>
    </row>
    <row r="98" spans="1:5" ht="15">
      <c r="A98" s="205" t="s">
        <v>262</v>
      </c>
      <c r="B98" s="207">
        <v>873.56</v>
      </c>
      <c r="C98" s="205" t="s">
        <v>2664</v>
      </c>
      <c r="D98" s="205" t="s">
        <v>837</v>
      </c>
      <c r="E98" s="205" t="s">
        <v>2665</v>
      </c>
    </row>
    <row r="99" spans="1:5" ht="15">
      <c r="A99" s="205" t="s">
        <v>1627</v>
      </c>
      <c r="B99" s="207">
        <v>876.27</v>
      </c>
      <c r="C99" s="205" t="s">
        <v>2666</v>
      </c>
      <c r="D99" s="205" t="s">
        <v>1628</v>
      </c>
      <c r="E99" s="205" t="s">
        <v>2618</v>
      </c>
    </row>
    <row r="100" spans="1:5" ht="15">
      <c r="A100" s="205">
        <v>402021</v>
      </c>
      <c r="B100" s="207">
        <v>876.73</v>
      </c>
      <c r="C100" s="205" t="s">
        <v>2667</v>
      </c>
      <c r="D100" s="205" t="s">
        <v>1844</v>
      </c>
      <c r="E100" s="205" t="s">
        <v>2575</v>
      </c>
    </row>
    <row r="101" spans="1:5" ht="15">
      <c r="A101" s="205">
        <v>54301</v>
      </c>
      <c r="B101" s="207">
        <v>879.74</v>
      </c>
      <c r="C101" s="205" t="s">
        <v>2668</v>
      </c>
      <c r="D101" s="205" t="s">
        <v>2336</v>
      </c>
      <c r="E101" s="205" t="s">
        <v>2616</v>
      </c>
    </row>
    <row r="102" spans="1:5" ht="15">
      <c r="A102" s="205" t="s">
        <v>243</v>
      </c>
      <c r="B102" s="207">
        <v>881.14</v>
      </c>
      <c r="C102" s="205" t="s">
        <v>2669</v>
      </c>
      <c r="D102" s="205" t="s">
        <v>799</v>
      </c>
      <c r="E102" s="205" t="s">
        <v>2578</v>
      </c>
    </row>
    <row r="103" spans="1:5" ht="15">
      <c r="A103" s="205">
        <v>537040</v>
      </c>
      <c r="B103" s="207">
        <v>886.88</v>
      </c>
      <c r="C103" s="205" t="s">
        <v>2670</v>
      </c>
      <c r="D103" s="205" t="s">
        <v>2489</v>
      </c>
      <c r="E103" s="205" t="s">
        <v>2560</v>
      </c>
    </row>
    <row r="104" spans="1:5" ht="15">
      <c r="A104" s="205">
        <v>232942</v>
      </c>
      <c r="B104" s="207">
        <v>889.05</v>
      </c>
      <c r="C104" s="205" t="s">
        <v>2671</v>
      </c>
      <c r="D104" s="205" t="s">
        <v>2155</v>
      </c>
      <c r="E104" s="205" t="s">
        <v>2588</v>
      </c>
    </row>
    <row r="105" spans="1:5" ht="15">
      <c r="A105" s="205">
        <v>66621</v>
      </c>
      <c r="B105" s="207">
        <v>892.62</v>
      </c>
      <c r="C105" s="205" t="s">
        <v>2672</v>
      </c>
      <c r="D105" s="205" t="s">
        <v>1911</v>
      </c>
      <c r="E105" s="205" t="s">
        <v>2673</v>
      </c>
    </row>
    <row r="106" spans="1:5" ht="15">
      <c r="A106" s="205" t="s">
        <v>1032</v>
      </c>
      <c r="B106" s="207">
        <v>892.8</v>
      </c>
      <c r="C106" s="205" t="s">
        <v>2674</v>
      </c>
      <c r="D106" s="205" t="s">
        <v>1033</v>
      </c>
      <c r="E106" s="205" t="s">
        <v>2675</v>
      </c>
    </row>
    <row r="107" spans="1:5" ht="15">
      <c r="A107" s="205">
        <v>536120</v>
      </c>
      <c r="B107" s="207">
        <v>894.71</v>
      </c>
      <c r="C107" s="205" t="s">
        <v>2676</v>
      </c>
      <c r="D107" s="205" t="s">
        <v>2485</v>
      </c>
      <c r="E107" s="205" t="s">
        <v>2560</v>
      </c>
    </row>
    <row r="108" spans="1:5" ht="15">
      <c r="A108" s="205">
        <v>66581</v>
      </c>
      <c r="B108" s="207">
        <v>898.17</v>
      </c>
      <c r="C108" s="205" t="s">
        <v>2677</v>
      </c>
      <c r="D108" s="205" t="s">
        <v>1913</v>
      </c>
      <c r="E108" s="205" t="s">
        <v>2678</v>
      </c>
    </row>
    <row r="109" spans="1:5" ht="15">
      <c r="A109" s="205" t="s">
        <v>590</v>
      </c>
      <c r="B109" s="207">
        <v>903.51</v>
      </c>
      <c r="C109" s="205" t="s">
        <v>2679</v>
      </c>
      <c r="D109" s="205" t="s">
        <v>591</v>
      </c>
      <c r="E109" s="205" t="s">
        <v>2680</v>
      </c>
    </row>
    <row r="110" spans="1:5" ht="15">
      <c r="A110" s="205">
        <v>107602</v>
      </c>
      <c r="B110" s="207">
        <v>905.11</v>
      </c>
      <c r="C110" s="205" t="s">
        <v>2681</v>
      </c>
      <c r="D110" s="205" t="s">
        <v>2079</v>
      </c>
      <c r="E110" s="205" t="s">
        <v>2588</v>
      </c>
    </row>
    <row r="111" spans="1:5" ht="15">
      <c r="A111" s="205">
        <v>402023</v>
      </c>
      <c r="B111" s="207">
        <v>908.2</v>
      </c>
      <c r="C111" s="205" t="s">
        <v>2682</v>
      </c>
      <c r="D111" s="205" t="s">
        <v>1828</v>
      </c>
      <c r="E111" s="205" t="s">
        <v>2575</v>
      </c>
    </row>
    <row r="112" spans="1:5" ht="15">
      <c r="A112" s="205" t="s">
        <v>99</v>
      </c>
      <c r="B112" s="207">
        <v>911.32</v>
      </c>
      <c r="C112" s="205" t="s">
        <v>2683</v>
      </c>
      <c r="D112" s="205" t="s">
        <v>2430</v>
      </c>
      <c r="E112" s="205" t="s">
        <v>2616</v>
      </c>
    </row>
    <row r="113" spans="1:5" ht="15">
      <c r="A113" s="205">
        <v>231943</v>
      </c>
      <c r="B113" s="207">
        <v>913.6</v>
      </c>
      <c r="C113" s="205" t="s">
        <v>2684</v>
      </c>
      <c r="D113" s="205" t="s">
        <v>2129</v>
      </c>
      <c r="E113" s="205" t="s">
        <v>2588</v>
      </c>
    </row>
    <row r="114" spans="1:5" ht="15">
      <c r="A114" s="205">
        <v>231960</v>
      </c>
      <c r="B114" s="207">
        <v>915.74</v>
      </c>
      <c r="C114" s="205" t="s">
        <v>2685</v>
      </c>
      <c r="D114" s="205" t="s">
        <v>2137</v>
      </c>
      <c r="E114" s="205" t="s">
        <v>2588</v>
      </c>
    </row>
    <row r="115" spans="1:5" ht="15">
      <c r="A115" s="205">
        <v>302033</v>
      </c>
      <c r="B115" s="207">
        <v>916.57</v>
      </c>
      <c r="C115" s="205" t="s">
        <v>2686</v>
      </c>
      <c r="D115" s="205" t="s">
        <v>1846</v>
      </c>
      <c r="E115" s="205" t="s">
        <v>2575</v>
      </c>
    </row>
    <row r="116" spans="1:5" ht="15">
      <c r="A116" s="205" t="s">
        <v>935</v>
      </c>
      <c r="B116" s="207">
        <v>918.98</v>
      </c>
      <c r="C116" s="205" t="s">
        <v>2687</v>
      </c>
      <c r="D116" s="205" t="s">
        <v>936</v>
      </c>
      <c r="E116" s="205" t="s">
        <v>2665</v>
      </c>
    </row>
    <row r="117" spans="1:5" ht="15">
      <c r="A117" s="205">
        <v>219940</v>
      </c>
      <c r="B117" s="207">
        <v>920.61</v>
      </c>
      <c r="C117" s="205" t="s">
        <v>2688</v>
      </c>
      <c r="D117" s="205" t="s">
        <v>2097</v>
      </c>
      <c r="E117" s="205" t="s">
        <v>2534</v>
      </c>
    </row>
    <row r="118" spans="1:5" ht="15">
      <c r="A118" s="205">
        <v>231911</v>
      </c>
      <c r="B118" s="207">
        <v>925.95</v>
      </c>
      <c r="C118" s="205" t="s">
        <v>2689</v>
      </c>
      <c r="D118" s="205" t="s">
        <v>2108</v>
      </c>
      <c r="E118" s="205" t="s">
        <v>2588</v>
      </c>
    </row>
    <row r="119" spans="1:5" ht="15">
      <c r="A119" s="205" t="s">
        <v>258</v>
      </c>
      <c r="B119" s="207">
        <v>927.19</v>
      </c>
      <c r="C119" s="205" t="s">
        <v>2690</v>
      </c>
      <c r="D119" s="205" t="s">
        <v>824</v>
      </c>
      <c r="E119" s="205" t="s">
        <v>2578</v>
      </c>
    </row>
    <row r="120" spans="1:5" ht="15">
      <c r="A120" s="205">
        <v>28025</v>
      </c>
      <c r="B120" s="207">
        <v>930.12</v>
      </c>
      <c r="C120" s="205" t="s">
        <v>2691</v>
      </c>
      <c r="D120" s="205" t="s">
        <v>1874</v>
      </c>
      <c r="E120" s="205" t="s">
        <v>2614</v>
      </c>
    </row>
    <row r="121" spans="1:5" ht="15">
      <c r="A121" s="205" t="s">
        <v>268</v>
      </c>
      <c r="B121" s="207">
        <v>930.45</v>
      </c>
      <c r="C121" s="205" t="s">
        <v>2692</v>
      </c>
      <c r="D121" s="205" t="s">
        <v>850</v>
      </c>
      <c r="E121" s="205" t="s">
        <v>2578</v>
      </c>
    </row>
    <row r="122" spans="1:5" ht="15">
      <c r="A122" s="205">
        <v>19118</v>
      </c>
      <c r="B122" s="207">
        <v>931.05</v>
      </c>
      <c r="C122" s="205" t="s">
        <v>2693</v>
      </c>
      <c r="D122" s="205" t="s">
        <v>681</v>
      </c>
      <c r="E122" s="205" t="s">
        <v>2694</v>
      </c>
    </row>
    <row r="123" spans="1:5" ht="15">
      <c r="A123" s="205" t="s">
        <v>365</v>
      </c>
      <c r="B123" s="207">
        <v>932.25</v>
      </c>
      <c r="C123" s="205" t="s">
        <v>2695</v>
      </c>
      <c r="D123" s="205" t="s">
        <v>1260</v>
      </c>
      <c r="E123" s="205" t="s">
        <v>2578</v>
      </c>
    </row>
    <row r="124" spans="1:5" ht="15">
      <c r="A124" s="205">
        <v>233910</v>
      </c>
      <c r="B124" s="207">
        <v>934.89</v>
      </c>
      <c r="C124" s="205" t="s">
        <v>2696</v>
      </c>
      <c r="D124" s="205" t="s">
        <v>2166</v>
      </c>
      <c r="E124" s="205" t="s">
        <v>2534</v>
      </c>
    </row>
    <row r="125" spans="1:5" ht="15">
      <c r="A125" s="205">
        <v>402012</v>
      </c>
      <c r="B125" s="207">
        <v>937.81</v>
      </c>
      <c r="C125" s="205" t="s">
        <v>2697</v>
      </c>
      <c r="D125" s="205" t="s">
        <v>1825</v>
      </c>
      <c r="E125" s="205" t="s">
        <v>2575</v>
      </c>
    </row>
    <row r="126" spans="1:5" ht="15">
      <c r="A126" s="205">
        <v>231946</v>
      </c>
      <c r="B126" s="207">
        <v>938.63</v>
      </c>
      <c r="C126" s="205" t="s">
        <v>2698</v>
      </c>
      <c r="D126" s="205" t="s">
        <v>2133</v>
      </c>
      <c r="E126" s="205" t="s">
        <v>2588</v>
      </c>
    </row>
    <row r="127" spans="1:5" ht="15">
      <c r="A127" s="205">
        <v>232015</v>
      </c>
      <c r="B127" s="207">
        <v>939.02</v>
      </c>
      <c r="C127" s="205" t="s">
        <v>2699</v>
      </c>
      <c r="D127" s="205" t="s">
        <v>2147</v>
      </c>
      <c r="E127" s="205" t="s">
        <v>2618</v>
      </c>
    </row>
    <row r="128" spans="1:5" ht="15">
      <c r="A128" s="205" t="s">
        <v>1022</v>
      </c>
      <c r="B128" s="207">
        <v>940.27</v>
      </c>
      <c r="C128" s="205" t="s">
        <v>2700</v>
      </c>
      <c r="D128" s="205" t="s">
        <v>1023</v>
      </c>
      <c r="E128" s="205" t="s">
        <v>2701</v>
      </c>
    </row>
    <row r="129" spans="1:5" ht="15">
      <c r="A129" s="205">
        <v>66170</v>
      </c>
      <c r="B129" s="207">
        <v>940.42</v>
      </c>
      <c r="C129" s="205" t="s">
        <v>2702</v>
      </c>
      <c r="D129" s="205" t="s">
        <v>2382</v>
      </c>
      <c r="E129" s="205" t="s">
        <v>2616</v>
      </c>
    </row>
    <row r="130" spans="1:5" ht="15">
      <c r="A130" s="205" t="s">
        <v>279</v>
      </c>
      <c r="B130" s="207">
        <v>941.78</v>
      </c>
      <c r="C130" s="205" t="s">
        <v>2703</v>
      </c>
      <c r="D130" s="205" t="s">
        <v>785</v>
      </c>
      <c r="E130" s="205" t="s">
        <v>2583</v>
      </c>
    </row>
    <row r="131" spans="1:5" ht="15">
      <c r="A131" s="205" t="s">
        <v>1012</v>
      </c>
      <c r="B131" s="207">
        <v>942.59</v>
      </c>
      <c r="C131" s="205" t="s">
        <v>2704</v>
      </c>
      <c r="D131" s="205" t="s">
        <v>1013</v>
      </c>
      <c r="E131" s="205" t="s">
        <v>2705</v>
      </c>
    </row>
    <row r="132" spans="1:5" ht="15">
      <c r="A132" s="205">
        <v>66622</v>
      </c>
      <c r="B132" s="207">
        <v>943.53</v>
      </c>
      <c r="C132" s="205" t="s">
        <v>2706</v>
      </c>
      <c r="D132" s="205" t="s">
        <v>1915</v>
      </c>
      <c r="E132" s="205" t="s">
        <v>2707</v>
      </c>
    </row>
    <row r="133" spans="1:5" ht="15">
      <c r="A133" s="205">
        <v>231933</v>
      </c>
      <c r="B133" s="207">
        <v>944.36</v>
      </c>
      <c r="C133" s="205" t="s">
        <v>2708</v>
      </c>
      <c r="D133" s="205" t="s">
        <v>2117</v>
      </c>
      <c r="E133" s="205" t="s">
        <v>2588</v>
      </c>
    </row>
    <row r="134" spans="1:5" ht="15">
      <c r="A134" s="205" t="s">
        <v>973</v>
      </c>
      <c r="B134" s="207">
        <v>945.87</v>
      </c>
      <c r="C134" s="205" t="s">
        <v>2709</v>
      </c>
      <c r="D134" s="205" t="s">
        <v>974</v>
      </c>
      <c r="E134" s="205" t="s">
        <v>2710</v>
      </c>
    </row>
    <row r="135" spans="1:5" ht="15">
      <c r="A135" s="205" t="s">
        <v>259</v>
      </c>
      <c r="B135" s="207">
        <v>947.48</v>
      </c>
      <c r="C135" s="205" t="s">
        <v>2711</v>
      </c>
      <c r="D135" s="205" t="s">
        <v>829</v>
      </c>
      <c r="E135" s="205" t="s">
        <v>2562</v>
      </c>
    </row>
    <row r="136" spans="1:5" ht="15">
      <c r="A136" s="205" t="s">
        <v>985</v>
      </c>
      <c r="B136" s="207">
        <v>949.12</v>
      </c>
      <c r="C136" s="205" t="s">
        <v>2712</v>
      </c>
      <c r="D136" s="205" t="s">
        <v>986</v>
      </c>
      <c r="E136" s="205" t="s">
        <v>2540</v>
      </c>
    </row>
    <row r="137" spans="1:5" ht="15">
      <c r="A137" s="205" t="s">
        <v>981</v>
      </c>
      <c r="B137" s="207">
        <v>950.57</v>
      </c>
      <c r="C137" s="205" t="s">
        <v>2713</v>
      </c>
      <c r="D137" s="205" t="s">
        <v>982</v>
      </c>
      <c r="E137" s="205" t="s">
        <v>2540</v>
      </c>
    </row>
    <row r="138" spans="1:5" ht="15">
      <c r="A138" s="205">
        <v>12649</v>
      </c>
      <c r="B138" s="207">
        <v>951.64</v>
      </c>
      <c r="C138" s="205" t="s">
        <v>2714</v>
      </c>
      <c r="D138" s="205" t="s">
        <v>630</v>
      </c>
      <c r="E138" s="205" t="s">
        <v>2715</v>
      </c>
    </row>
    <row r="139" spans="1:5" ht="15">
      <c r="A139" s="205" t="s">
        <v>1051</v>
      </c>
      <c r="B139" s="207">
        <v>952.33</v>
      </c>
      <c r="C139" s="205" t="s">
        <v>2716</v>
      </c>
      <c r="D139" s="205" t="s">
        <v>1052</v>
      </c>
      <c r="E139" s="205" t="s">
        <v>2717</v>
      </c>
    </row>
    <row r="140" spans="1:5" ht="15">
      <c r="A140" s="205" t="s">
        <v>944</v>
      </c>
      <c r="B140" s="207">
        <v>952.35</v>
      </c>
      <c r="C140" s="205" t="s">
        <v>2718</v>
      </c>
      <c r="D140" s="205" t="s">
        <v>945</v>
      </c>
      <c r="E140" s="205" t="s">
        <v>2719</v>
      </c>
    </row>
    <row r="141" spans="1:5" ht="15">
      <c r="A141" s="205" t="s">
        <v>808</v>
      </c>
      <c r="B141" s="207">
        <v>956.45</v>
      </c>
      <c r="C141" s="205" t="s">
        <v>2720</v>
      </c>
      <c r="D141" s="205" t="s">
        <v>809</v>
      </c>
      <c r="E141" s="205" t="s">
        <v>2562</v>
      </c>
    </row>
    <row r="142" spans="1:5" ht="15">
      <c r="A142" s="205" t="s">
        <v>1414</v>
      </c>
      <c r="B142" s="207">
        <v>956.76</v>
      </c>
      <c r="C142" s="205" t="s">
        <v>2721</v>
      </c>
      <c r="D142" s="205" t="s">
        <v>1415</v>
      </c>
      <c r="E142" s="205" t="s">
        <v>2578</v>
      </c>
    </row>
    <row r="143" spans="1:5" ht="15">
      <c r="A143" s="205" t="s">
        <v>927</v>
      </c>
      <c r="B143" s="207">
        <v>957.06</v>
      </c>
      <c r="C143" s="205" t="s">
        <v>2722</v>
      </c>
      <c r="D143" s="205" t="s">
        <v>928</v>
      </c>
      <c r="E143" s="205" t="s">
        <v>2575</v>
      </c>
    </row>
    <row r="144" spans="1:5" ht="15">
      <c r="A144" s="205" t="s">
        <v>284</v>
      </c>
      <c r="B144" s="207">
        <v>958.4</v>
      </c>
      <c r="C144" s="205" t="s">
        <v>2723</v>
      </c>
      <c r="D144" s="205" t="s">
        <v>870</v>
      </c>
      <c r="E144" s="205" t="s">
        <v>2724</v>
      </c>
    </row>
    <row r="145" spans="1:5" ht="15">
      <c r="A145" s="205" t="s">
        <v>2031</v>
      </c>
      <c r="B145" s="207">
        <v>958.67</v>
      </c>
      <c r="C145" s="205" t="s">
        <v>2725</v>
      </c>
      <c r="D145" s="205" t="s">
        <v>2032</v>
      </c>
      <c r="E145" s="205" t="s">
        <v>2726</v>
      </c>
    </row>
    <row r="146" spans="1:5" ht="15">
      <c r="A146" s="205" t="s">
        <v>960</v>
      </c>
      <c r="B146" s="207">
        <v>958.96</v>
      </c>
      <c r="C146" s="205" t="s">
        <v>2727</v>
      </c>
      <c r="D146" s="205" t="s">
        <v>961</v>
      </c>
      <c r="E146" s="205" t="s">
        <v>2728</v>
      </c>
    </row>
    <row r="147" spans="1:5" ht="15">
      <c r="A147" s="205" t="s">
        <v>2018</v>
      </c>
      <c r="B147" s="207">
        <v>960.14</v>
      </c>
      <c r="C147" s="205" t="s">
        <v>2729</v>
      </c>
      <c r="D147" s="205" t="s">
        <v>2019</v>
      </c>
      <c r="E147" s="205" t="s">
        <v>2730</v>
      </c>
    </row>
    <row r="148" spans="1:5" ht="15">
      <c r="A148" s="205" t="s">
        <v>610</v>
      </c>
      <c r="B148" s="207">
        <v>960.39</v>
      </c>
      <c r="C148" s="205" t="s">
        <v>2731</v>
      </c>
      <c r="D148" s="205" t="s">
        <v>611</v>
      </c>
      <c r="E148" s="205" t="s">
        <v>2588</v>
      </c>
    </row>
    <row r="149" spans="1:5" ht="15">
      <c r="A149" s="205">
        <v>66481</v>
      </c>
      <c r="B149" s="207">
        <v>962.57</v>
      </c>
      <c r="C149" s="205" t="s">
        <v>2732</v>
      </c>
      <c r="D149" s="205" t="s">
        <v>1890</v>
      </c>
      <c r="E149" s="205" t="s">
        <v>2550</v>
      </c>
    </row>
    <row r="150" spans="1:5" ht="15">
      <c r="A150" s="205">
        <v>233922</v>
      </c>
      <c r="B150" s="207">
        <v>962.81</v>
      </c>
      <c r="C150" s="205" t="s">
        <v>2733</v>
      </c>
      <c r="D150" s="205" t="s">
        <v>2174</v>
      </c>
      <c r="E150" s="205" t="s">
        <v>2618</v>
      </c>
    </row>
    <row r="151" spans="1:5" ht="15">
      <c r="A151" s="205">
        <v>66551</v>
      </c>
      <c r="B151" s="207">
        <v>962.86</v>
      </c>
      <c r="C151" s="205" t="s">
        <v>2734</v>
      </c>
      <c r="D151" s="205" t="s">
        <v>1907</v>
      </c>
      <c r="E151" s="205" t="s">
        <v>2735</v>
      </c>
    </row>
    <row r="152" spans="1:5" ht="15">
      <c r="A152" s="205">
        <v>107606</v>
      </c>
      <c r="B152" s="207">
        <v>965.89</v>
      </c>
      <c r="C152" s="205" t="s">
        <v>2736</v>
      </c>
      <c r="D152" s="205" t="s">
        <v>2218</v>
      </c>
      <c r="E152" s="205" t="s">
        <v>2635</v>
      </c>
    </row>
    <row r="153" spans="1:5" ht="15">
      <c r="A153" s="205" t="s">
        <v>164</v>
      </c>
      <c r="B153" s="207">
        <v>969.36</v>
      </c>
      <c r="C153" s="205" t="s">
        <v>2737</v>
      </c>
      <c r="D153" s="205" t="s">
        <v>889</v>
      </c>
      <c r="E153" s="205" t="s">
        <v>2562</v>
      </c>
    </row>
    <row r="154" spans="1:5" ht="15">
      <c r="A154" s="205" t="s">
        <v>859</v>
      </c>
      <c r="B154" s="207">
        <v>970.54</v>
      </c>
      <c r="C154" s="205" t="s">
        <v>2738</v>
      </c>
      <c r="D154" s="205" t="s">
        <v>860</v>
      </c>
      <c r="E154" s="205" t="s">
        <v>2562</v>
      </c>
    </row>
    <row r="155" spans="1:5" ht="15">
      <c r="A155" s="205">
        <v>28024</v>
      </c>
      <c r="B155" s="207">
        <v>971.99</v>
      </c>
      <c r="C155" s="205" t="s">
        <v>2739</v>
      </c>
      <c r="D155" s="205" t="s">
        <v>1872</v>
      </c>
      <c r="E155" s="205" t="s">
        <v>2609</v>
      </c>
    </row>
    <row r="156" spans="1:5" ht="15">
      <c r="A156" s="205" t="s">
        <v>1015</v>
      </c>
      <c r="B156" s="207">
        <v>972.44</v>
      </c>
      <c r="C156" s="205" t="s">
        <v>2740</v>
      </c>
      <c r="D156" s="205" t="s">
        <v>1016</v>
      </c>
      <c r="E156" s="205" t="s">
        <v>2741</v>
      </c>
    </row>
    <row r="157" spans="1:5" ht="15">
      <c r="A157" s="205" t="s">
        <v>1035</v>
      </c>
      <c r="B157" s="207">
        <v>972.74</v>
      </c>
      <c r="C157" s="205" t="s">
        <v>2742</v>
      </c>
      <c r="D157" s="205" t="s">
        <v>1036</v>
      </c>
      <c r="E157" s="205" t="s">
        <v>2675</v>
      </c>
    </row>
    <row r="158" spans="1:5" ht="15">
      <c r="A158" s="205">
        <v>119956</v>
      </c>
      <c r="B158" s="207">
        <v>973.8</v>
      </c>
      <c r="C158" s="205" t="s">
        <v>2743</v>
      </c>
      <c r="D158" s="205" t="s">
        <v>2088</v>
      </c>
      <c r="E158" s="205" t="s">
        <v>2588</v>
      </c>
    </row>
    <row r="159" spans="1:5" ht="15">
      <c r="A159" s="205" t="s">
        <v>165</v>
      </c>
      <c r="B159" s="207">
        <v>976.94</v>
      </c>
      <c r="C159" s="205" t="s">
        <v>2744</v>
      </c>
      <c r="D159" s="205" t="s">
        <v>894</v>
      </c>
      <c r="E159" s="205" t="s">
        <v>2578</v>
      </c>
    </row>
    <row r="160" spans="1:5" ht="15">
      <c r="A160" s="205" t="s">
        <v>1044</v>
      </c>
      <c r="B160" s="207">
        <v>978.07</v>
      </c>
      <c r="C160" s="205" t="s">
        <v>2745</v>
      </c>
      <c r="D160" s="205" t="s">
        <v>1045</v>
      </c>
      <c r="E160" s="205" t="s">
        <v>2673</v>
      </c>
    </row>
    <row r="161" spans="1:5" ht="15">
      <c r="A161" s="205" t="s">
        <v>1950</v>
      </c>
      <c r="B161" s="207">
        <v>979.3</v>
      </c>
      <c r="C161" s="205" t="s">
        <v>2746</v>
      </c>
      <c r="D161" s="205" t="s">
        <v>1951</v>
      </c>
      <c r="E161" s="205" t="s">
        <v>2575</v>
      </c>
    </row>
    <row r="162" spans="1:5" ht="15">
      <c r="A162" s="205" t="s">
        <v>1360</v>
      </c>
      <c r="B162" s="207">
        <v>979.74</v>
      </c>
      <c r="C162" s="205" t="s">
        <v>2747</v>
      </c>
      <c r="D162" s="205" t="s">
        <v>1361</v>
      </c>
      <c r="E162" s="205" t="s">
        <v>2540</v>
      </c>
    </row>
    <row r="163" spans="1:5" ht="15">
      <c r="A163" s="205">
        <v>42750</v>
      </c>
      <c r="B163" s="207">
        <v>980.31</v>
      </c>
      <c r="C163" s="205" t="s">
        <v>2748</v>
      </c>
      <c r="D163" s="205" t="s">
        <v>1178</v>
      </c>
      <c r="E163" s="205" t="s">
        <v>2618</v>
      </c>
    </row>
    <row r="164" spans="1:5" ht="15">
      <c r="A164" s="205" t="s">
        <v>2022</v>
      </c>
      <c r="B164" s="207">
        <v>980.47</v>
      </c>
      <c r="C164" s="205" t="s">
        <v>2749</v>
      </c>
      <c r="D164" s="205" t="s">
        <v>2023</v>
      </c>
      <c r="E164" s="205" t="s">
        <v>2750</v>
      </c>
    </row>
    <row r="165" spans="1:5" ht="15">
      <c r="A165" s="205">
        <v>65311</v>
      </c>
      <c r="B165" s="207">
        <v>981.28</v>
      </c>
      <c r="C165" s="205" t="s">
        <v>2751</v>
      </c>
      <c r="D165" s="205" t="s">
        <v>2364</v>
      </c>
      <c r="E165" s="205" t="s">
        <v>2616</v>
      </c>
    </row>
    <row r="166" spans="1:5" ht="15">
      <c r="A166" s="205">
        <v>66511</v>
      </c>
      <c r="B166" s="207">
        <v>982.33</v>
      </c>
      <c r="C166" s="205" t="s">
        <v>2752</v>
      </c>
      <c r="D166" s="205" t="s">
        <v>1903</v>
      </c>
      <c r="E166" s="205" t="s">
        <v>2550</v>
      </c>
    </row>
    <row r="167" spans="1:5" ht="15">
      <c r="A167" s="205">
        <v>35701</v>
      </c>
      <c r="B167" s="207">
        <v>982.77</v>
      </c>
      <c r="C167" s="205" t="s">
        <v>2753</v>
      </c>
      <c r="D167" s="205" t="s">
        <v>1170</v>
      </c>
      <c r="E167" s="205" t="s">
        <v>2618</v>
      </c>
    </row>
    <row r="168" spans="1:5" ht="15">
      <c r="A168" s="205">
        <v>402033</v>
      </c>
      <c r="B168" s="207">
        <v>982.84</v>
      </c>
      <c r="C168" s="205" t="s">
        <v>2754</v>
      </c>
      <c r="D168" s="205" t="s">
        <v>1839</v>
      </c>
      <c r="E168" s="205" t="s">
        <v>2575</v>
      </c>
    </row>
    <row r="169" spans="1:5" ht="15">
      <c r="A169" s="205" t="s">
        <v>1493</v>
      </c>
      <c r="B169" s="207">
        <v>983.76</v>
      </c>
      <c r="C169" s="205" t="s">
        <v>2755</v>
      </c>
      <c r="D169" s="205" t="s">
        <v>1494</v>
      </c>
      <c r="E169" s="205" t="s">
        <v>2756</v>
      </c>
    </row>
    <row r="170" spans="1:5" ht="15">
      <c r="A170" s="205" t="s">
        <v>1069</v>
      </c>
      <c r="B170" s="207">
        <v>984.75</v>
      </c>
      <c r="C170" s="205" t="s">
        <v>2757</v>
      </c>
      <c r="D170" s="205" t="s">
        <v>1070</v>
      </c>
      <c r="E170" s="205" t="s">
        <v>2758</v>
      </c>
    </row>
    <row r="171" spans="1:5" ht="15">
      <c r="A171" s="205" t="s">
        <v>1962</v>
      </c>
      <c r="B171" s="207">
        <v>985.06</v>
      </c>
      <c r="C171" s="205" t="s">
        <v>2759</v>
      </c>
      <c r="D171" s="205" t="s">
        <v>1963</v>
      </c>
      <c r="E171" s="205" t="s">
        <v>2575</v>
      </c>
    </row>
    <row r="172" spans="1:5" ht="15">
      <c r="A172" s="205" t="s">
        <v>1663</v>
      </c>
      <c r="B172" s="207">
        <v>985.23</v>
      </c>
      <c r="C172" s="205" t="s">
        <v>2760</v>
      </c>
      <c r="D172" s="205" t="s">
        <v>1664</v>
      </c>
      <c r="E172" s="205" t="s">
        <v>2705</v>
      </c>
    </row>
    <row r="173" spans="1:5" ht="15">
      <c r="A173" s="205" t="s">
        <v>866</v>
      </c>
      <c r="B173" s="207">
        <v>987.29</v>
      </c>
      <c r="C173" s="205" t="s">
        <v>2761</v>
      </c>
      <c r="D173" s="205" t="s">
        <v>867</v>
      </c>
      <c r="E173" s="205" t="s">
        <v>2614</v>
      </c>
    </row>
    <row r="174" spans="1:5" ht="15">
      <c r="A174" s="205">
        <v>66721</v>
      </c>
      <c r="B174" s="207">
        <v>987.86</v>
      </c>
      <c r="C174" s="205" t="s">
        <v>2762</v>
      </c>
      <c r="D174" s="205" t="s">
        <v>1917</v>
      </c>
      <c r="E174" s="205" t="s">
        <v>2763</v>
      </c>
    </row>
    <row r="175" spans="1:5" ht="15">
      <c r="A175" s="205" t="s">
        <v>1935</v>
      </c>
      <c r="B175" s="207">
        <v>989.35</v>
      </c>
      <c r="C175" s="205" t="s">
        <v>2764</v>
      </c>
      <c r="D175" s="205" t="s">
        <v>1936</v>
      </c>
      <c r="E175" s="205" t="s">
        <v>2550</v>
      </c>
    </row>
    <row r="176" spans="1:5" ht="15">
      <c r="A176" s="205" t="s">
        <v>257</v>
      </c>
      <c r="B176" s="207">
        <v>989.38</v>
      </c>
      <c r="C176" s="205" t="s">
        <v>2765</v>
      </c>
      <c r="D176" s="205" t="s">
        <v>826</v>
      </c>
      <c r="E176" s="205" t="s">
        <v>2578</v>
      </c>
    </row>
    <row r="177" spans="1:5" ht="15">
      <c r="A177" s="205" t="s">
        <v>1040</v>
      </c>
      <c r="B177" s="207">
        <v>989.73</v>
      </c>
      <c r="C177" s="205" t="s">
        <v>2766</v>
      </c>
      <c r="D177" s="205" t="s">
        <v>1041</v>
      </c>
      <c r="E177" s="205" t="s">
        <v>2767</v>
      </c>
    </row>
    <row r="178" spans="1:5" ht="15">
      <c r="A178" s="205">
        <v>66422</v>
      </c>
      <c r="B178" s="207">
        <v>992.01</v>
      </c>
      <c r="C178" s="205" t="s">
        <v>2768</v>
      </c>
      <c r="D178" s="205" t="s">
        <v>1905</v>
      </c>
      <c r="E178" s="205" t="s">
        <v>2769</v>
      </c>
    </row>
    <row r="179" spans="1:5" ht="15">
      <c r="A179" s="205">
        <v>233949</v>
      </c>
      <c r="B179" s="207">
        <v>992.32</v>
      </c>
      <c r="C179" s="205" t="s">
        <v>2770</v>
      </c>
      <c r="D179" s="205" t="s">
        <v>2197</v>
      </c>
      <c r="E179" s="205" t="s">
        <v>2534</v>
      </c>
    </row>
    <row r="180" spans="1:5" ht="15">
      <c r="A180" s="205">
        <v>234979</v>
      </c>
      <c r="B180" s="207">
        <v>993.47</v>
      </c>
      <c r="C180" s="205" t="s">
        <v>2771</v>
      </c>
      <c r="D180" s="205" t="s">
        <v>2245</v>
      </c>
      <c r="E180" s="205" t="s">
        <v>2772</v>
      </c>
    </row>
    <row r="181" spans="1:5" ht="15">
      <c r="A181" s="205" t="s">
        <v>2075</v>
      </c>
      <c r="B181" s="207">
        <v>996.3</v>
      </c>
      <c r="C181" s="205" t="s">
        <v>2773</v>
      </c>
      <c r="D181" s="205" t="s">
        <v>2774</v>
      </c>
      <c r="E181" s="205" t="s">
        <v>2715</v>
      </c>
    </row>
    <row r="182" spans="1:5" ht="15">
      <c r="A182" s="205" t="s">
        <v>2357</v>
      </c>
      <c r="B182" s="207">
        <v>996.91</v>
      </c>
      <c r="C182" s="205" t="s">
        <v>2775</v>
      </c>
      <c r="D182" s="205" t="s">
        <v>2358</v>
      </c>
      <c r="E182" s="205" t="s">
        <v>2616</v>
      </c>
    </row>
    <row r="183" spans="1:5" ht="15">
      <c r="A183" s="205">
        <v>66500</v>
      </c>
      <c r="B183" s="207">
        <v>997.15</v>
      </c>
      <c r="C183" s="205" t="s">
        <v>2776</v>
      </c>
      <c r="D183" s="205" t="s">
        <v>2386</v>
      </c>
      <c r="E183" s="205" t="s">
        <v>2616</v>
      </c>
    </row>
    <row r="184" spans="1:5" ht="15">
      <c r="A184" s="205">
        <v>232956</v>
      </c>
      <c r="B184" s="207">
        <v>997.25</v>
      </c>
      <c r="C184" s="205" t="s">
        <v>2777</v>
      </c>
      <c r="D184" s="205" t="s">
        <v>2157</v>
      </c>
      <c r="E184" s="205" t="s">
        <v>2534</v>
      </c>
    </row>
    <row r="185" spans="1:5" ht="15">
      <c r="A185" s="205" t="s">
        <v>977</v>
      </c>
      <c r="B185" s="207">
        <v>998.57</v>
      </c>
      <c r="C185" s="205" t="s">
        <v>2778</v>
      </c>
      <c r="D185" s="205" t="s">
        <v>978</v>
      </c>
      <c r="E185" s="205" t="s">
        <v>2779</v>
      </c>
    </row>
    <row r="186" spans="1:5" ht="15">
      <c r="A186" s="205">
        <v>111984</v>
      </c>
      <c r="B186" s="207">
        <v>999.04</v>
      </c>
      <c r="C186" s="205" t="s">
        <v>2780</v>
      </c>
      <c r="D186" s="205" t="s">
        <v>2781</v>
      </c>
      <c r="E186" s="205" t="s">
        <v>2782</v>
      </c>
    </row>
    <row r="187" spans="1:5" ht="15">
      <c r="A187" s="205">
        <v>169260</v>
      </c>
      <c r="B187" s="207">
        <v>1000</v>
      </c>
      <c r="C187" s="205" t="s">
        <v>2783</v>
      </c>
      <c r="D187" s="205" t="s">
        <v>1679</v>
      </c>
      <c r="E187" s="205" t="s">
        <v>2625</v>
      </c>
    </row>
    <row r="188" spans="1:5" ht="15">
      <c r="A188" s="205">
        <v>59818</v>
      </c>
      <c r="B188" s="207">
        <v>1000</v>
      </c>
      <c r="C188" s="205" t="s">
        <v>2784</v>
      </c>
      <c r="D188" s="205" t="s">
        <v>768</v>
      </c>
      <c r="E188" s="205" t="s">
        <v>2540</v>
      </c>
    </row>
    <row r="189" spans="1:5" ht="15">
      <c r="A189" s="205" t="s">
        <v>1451</v>
      </c>
      <c r="B189" s="207">
        <v>1000</v>
      </c>
      <c r="C189" s="205" t="s">
        <v>2785</v>
      </c>
      <c r="D189" s="205" t="s">
        <v>1452</v>
      </c>
      <c r="E189" s="205" t="s">
        <v>2534</v>
      </c>
    </row>
    <row r="190" spans="1:5" ht="15">
      <c r="A190" s="205" t="s">
        <v>432</v>
      </c>
      <c r="B190" s="207">
        <v>1000</v>
      </c>
      <c r="C190" s="205" t="s">
        <v>2786</v>
      </c>
      <c r="D190" s="205" t="s">
        <v>1303</v>
      </c>
      <c r="E190" s="205" t="s">
        <v>2614</v>
      </c>
    </row>
    <row r="191" spans="1:5" ht="15">
      <c r="A191" s="205" t="s">
        <v>2292</v>
      </c>
      <c r="B191" s="207">
        <v>1000.14</v>
      </c>
      <c r="C191" s="205" t="s">
        <v>2787</v>
      </c>
      <c r="D191" s="205" t="s">
        <v>2293</v>
      </c>
      <c r="E191" s="205" t="s">
        <v>2575</v>
      </c>
    </row>
    <row r="192" spans="1:5" ht="15">
      <c r="A192" s="205" t="s">
        <v>1748</v>
      </c>
      <c r="B192" s="207">
        <v>1000.87</v>
      </c>
      <c r="C192" s="205" t="s">
        <v>2788</v>
      </c>
      <c r="D192" s="205" t="s">
        <v>1749</v>
      </c>
      <c r="E192" s="205" t="s">
        <v>2789</v>
      </c>
    </row>
    <row r="193" spans="1:5" ht="15">
      <c r="A193" s="205">
        <v>530950</v>
      </c>
      <c r="B193" s="207">
        <v>1001.11</v>
      </c>
      <c r="C193" s="205" t="s">
        <v>2790</v>
      </c>
      <c r="D193" s="205" t="s">
        <v>2477</v>
      </c>
      <c r="E193" s="205" t="s">
        <v>2560</v>
      </c>
    </row>
    <row r="194" spans="1:5" ht="15">
      <c r="A194" s="205">
        <v>66591</v>
      </c>
      <c r="B194" s="207">
        <v>1003.62</v>
      </c>
      <c r="C194" s="205" t="s">
        <v>2791</v>
      </c>
      <c r="D194" s="205" t="s">
        <v>1909</v>
      </c>
      <c r="E194" s="205" t="s">
        <v>2792</v>
      </c>
    </row>
    <row r="195" spans="1:5" ht="15">
      <c r="A195" s="205">
        <v>530810</v>
      </c>
      <c r="B195" s="207">
        <v>1003.99</v>
      </c>
      <c r="C195" s="205" t="s">
        <v>2793</v>
      </c>
      <c r="D195" s="205" t="s">
        <v>2473</v>
      </c>
      <c r="E195" s="205" t="s">
        <v>2560</v>
      </c>
    </row>
    <row r="196" spans="1:5" ht="15">
      <c r="A196" s="205" t="s">
        <v>256</v>
      </c>
      <c r="B196" s="207">
        <v>1004.31</v>
      </c>
      <c r="C196" s="205" t="s">
        <v>2794</v>
      </c>
      <c r="D196" s="205" t="s">
        <v>822</v>
      </c>
      <c r="E196" s="205" t="s">
        <v>2578</v>
      </c>
    </row>
    <row r="197" spans="1:5" ht="15">
      <c r="A197" s="205" t="s">
        <v>1356</v>
      </c>
      <c r="B197" s="207">
        <v>1004.55</v>
      </c>
      <c r="C197" s="205" t="s">
        <v>2795</v>
      </c>
      <c r="D197" s="205" t="s">
        <v>1357</v>
      </c>
      <c r="E197" s="205" t="s">
        <v>2571</v>
      </c>
    </row>
    <row r="198" spans="1:5" ht="15">
      <c r="A198" s="205" t="s">
        <v>2068</v>
      </c>
      <c r="B198" s="207">
        <v>1005.02</v>
      </c>
      <c r="C198" s="205" t="s">
        <v>2796</v>
      </c>
      <c r="D198" s="205" t="s">
        <v>2069</v>
      </c>
      <c r="E198" s="205" t="s">
        <v>2797</v>
      </c>
    </row>
    <row r="199" spans="1:5" ht="15">
      <c r="A199" s="205">
        <v>66491</v>
      </c>
      <c r="B199" s="207">
        <v>1005.1</v>
      </c>
      <c r="C199" s="205" t="s">
        <v>2798</v>
      </c>
      <c r="D199" s="205" t="s">
        <v>1894</v>
      </c>
      <c r="E199" s="205" t="s">
        <v>2606</v>
      </c>
    </row>
    <row r="200" spans="1:5" ht="15">
      <c r="A200" s="205" t="s">
        <v>602</v>
      </c>
      <c r="B200" s="207">
        <v>1005.34</v>
      </c>
      <c r="C200" s="205" t="s">
        <v>2799</v>
      </c>
      <c r="D200" s="205" t="s">
        <v>603</v>
      </c>
      <c r="E200" s="205" t="s">
        <v>2800</v>
      </c>
    </row>
    <row r="201" spans="1:5" ht="15">
      <c r="A201" s="205">
        <v>216012</v>
      </c>
      <c r="B201" s="207">
        <v>1005.44</v>
      </c>
      <c r="C201" s="205" t="s">
        <v>2801</v>
      </c>
      <c r="D201" s="205" t="s">
        <v>1791</v>
      </c>
      <c r="E201" s="205" t="s">
        <v>2710</v>
      </c>
    </row>
    <row r="202" spans="1:5" ht="15">
      <c r="A202" s="205">
        <v>1021</v>
      </c>
      <c r="B202" s="207">
        <v>1005.6</v>
      </c>
      <c r="C202" s="205" t="s">
        <v>2802</v>
      </c>
      <c r="D202" s="205" t="s">
        <v>2319</v>
      </c>
      <c r="E202" s="205" t="s">
        <v>2803</v>
      </c>
    </row>
    <row r="203" spans="1:5" ht="15">
      <c r="A203" s="205">
        <v>83652</v>
      </c>
      <c r="B203" s="207">
        <v>1009.53</v>
      </c>
      <c r="C203" s="205" t="s">
        <v>2804</v>
      </c>
      <c r="D203" s="205" t="s">
        <v>1816</v>
      </c>
      <c r="E203" s="205" t="s">
        <v>2805</v>
      </c>
    </row>
    <row r="204" spans="1:5" ht="15">
      <c r="A204" s="205" t="s">
        <v>2002</v>
      </c>
      <c r="B204" s="207">
        <v>1009.61</v>
      </c>
      <c r="C204" s="205" t="s">
        <v>2806</v>
      </c>
      <c r="D204" s="205" t="s">
        <v>2003</v>
      </c>
      <c r="E204" s="205" t="s">
        <v>2807</v>
      </c>
    </row>
    <row r="205" spans="1:5" ht="15">
      <c r="A205" s="205" t="s">
        <v>578</v>
      </c>
      <c r="B205" s="207">
        <v>1009.95</v>
      </c>
      <c r="C205" s="205" t="s">
        <v>2808</v>
      </c>
      <c r="D205" s="205" t="s">
        <v>580</v>
      </c>
      <c r="E205" s="205" t="s">
        <v>2618</v>
      </c>
    </row>
    <row r="206" spans="1:5" ht="15">
      <c r="A206" s="205" t="s">
        <v>1939</v>
      </c>
      <c r="B206" s="207">
        <v>1010</v>
      </c>
      <c r="C206" s="205" t="s">
        <v>2809</v>
      </c>
      <c r="D206" s="205" t="s">
        <v>1940</v>
      </c>
      <c r="E206" s="205" t="s">
        <v>2807</v>
      </c>
    </row>
    <row r="207" spans="1:5" ht="15">
      <c r="A207" s="205">
        <v>66100</v>
      </c>
      <c r="B207" s="207">
        <v>1010.87</v>
      </c>
      <c r="C207" s="205" t="s">
        <v>2810</v>
      </c>
      <c r="D207" s="205" t="s">
        <v>1233</v>
      </c>
      <c r="E207" s="205" t="s">
        <v>2811</v>
      </c>
    </row>
    <row r="208" spans="1:5" ht="15">
      <c r="A208" s="205">
        <v>233927</v>
      </c>
      <c r="B208" s="207">
        <v>1012.01</v>
      </c>
      <c r="C208" s="205" t="s">
        <v>2812</v>
      </c>
      <c r="D208" s="205" t="s">
        <v>2176</v>
      </c>
      <c r="E208" s="205" t="s">
        <v>2618</v>
      </c>
    </row>
    <row r="209" spans="1:5" ht="15">
      <c r="A209" s="205" t="s">
        <v>1079</v>
      </c>
      <c r="B209" s="207">
        <v>1012.9</v>
      </c>
      <c r="C209" s="205" t="s">
        <v>2813</v>
      </c>
      <c r="D209" s="205" t="s">
        <v>1080</v>
      </c>
      <c r="E209" s="205" t="s">
        <v>2750</v>
      </c>
    </row>
    <row r="210" spans="1:5" ht="15">
      <c r="A210" s="205" t="s">
        <v>1943</v>
      </c>
      <c r="B210" s="207">
        <v>1015.05</v>
      </c>
      <c r="C210" s="205" t="s">
        <v>2814</v>
      </c>
      <c r="D210" s="205" t="s">
        <v>1944</v>
      </c>
      <c r="E210" s="205" t="s">
        <v>2575</v>
      </c>
    </row>
    <row r="211" spans="1:5" ht="15">
      <c r="A211" s="205" t="s">
        <v>2815</v>
      </c>
      <c r="B211" s="207">
        <v>1016.24</v>
      </c>
      <c r="C211" s="205" t="s">
        <v>2816</v>
      </c>
      <c r="D211" s="205" t="s">
        <v>628</v>
      </c>
      <c r="E211" s="205" t="s">
        <v>2817</v>
      </c>
    </row>
    <row r="212" spans="1:5" ht="15">
      <c r="A212" s="205" t="s">
        <v>852</v>
      </c>
      <c r="B212" s="207">
        <v>1017.39</v>
      </c>
      <c r="C212" s="205" t="s">
        <v>2818</v>
      </c>
      <c r="D212" s="205" t="s">
        <v>853</v>
      </c>
      <c r="E212" s="205" t="s">
        <v>2578</v>
      </c>
    </row>
    <row r="213" spans="1:5" ht="15">
      <c r="A213" s="205" t="s">
        <v>2405</v>
      </c>
      <c r="B213" s="207">
        <v>1018.27</v>
      </c>
      <c r="C213" s="205" t="s">
        <v>2819</v>
      </c>
      <c r="D213" s="205" t="s">
        <v>2406</v>
      </c>
      <c r="E213" s="205" t="s">
        <v>2820</v>
      </c>
    </row>
    <row r="214" spans="1:5" ht="15">
      <c r="A214" s="205">
        <v>63331</v>
      </c>
      <c r="B214" s="207">
        <v>1018.49</v>
      </c>
      <c r="C214" s="205" t="s">
        <v>2821</v>
      </c>
      <c r="D214" s="205" t="s">
        <v>2362</v>
      </c>
      <c r="E214" s="205" t="s">
        <v>2616</v>
      </c>
    </row>
    <row r="215" spans="1:5" ht="15">
      <c r="A215" s="205" t="s">
        <v>1076</v>
      </c>
      <c r="B215" s="207">
        <v>1018.92</v>
      </c>
      <c r="C215" s="205" t="s">
        <v>2822</v>
      </c>
      <c r="D215" s="205" t="s">
        <v>1077</v>
      </c>
      <c r="E215" s="205" t="s">
        <v>2750</v>
      </c>
    </row>
    <row r="216" spans="1:5" ht="15">
      <c r="A216" s="205">
        <v>233928</v>
      </c>
      <c r="B216" s="207">
        <v>1019.33</v>
      </c>
      <c r="C216" s="205" t="s">
        <v>2823</v>
      </c>
      <c r="D216" s="205" t="s">
        <v>2178</v>
      </c>
      <c r="E216" s="205" t="s">
        <v>2534</v>
      </c>
    </row>
    <row r="217" spans="1:5" ht="15">
      <c r="A217" s="205" t="s">
        <v>1025</v>
      </c>
      <c r="B217" s="207">
        <v>1019.48</v>
      </c>
      <c r="C217" s="205" t="s">
        <v>2824</v>
      </c>
      <c r="D217" s="205" t="s">
        <v>1026</v>
      </c>
      <c r="E217" s="205" t="s">
        <v>2825</v>
      </c>
    </row>
    <row r="218" spans="1:5" ht="15">
      <c r="A218" s="205">
        <v>66101</v>
      </c>
      <c r="B218" s="207">
        <v>1019.59</v>
      </c>
      <c r="C218" s="205" t="s">
        <v>2826</v>
      </c>
      <c r="D218" s="205" t="s">
        <v>1235</v>
      </c>
      <c r="E218" s="205" t="s">
        <v>2811</v>
      </c>
    </row>
    <row r="219" spans="1:5" ht="15">
      <c r="A219" s="205" t="s">
        <v>2242</v>
      </c>
      <c r="B219" s="207">
        <v>1021.94</v>
      </c>
      <c r="C219" s="205" t="s">
        <v>2827</v>
      </c>
      <c r="D219" s="205" t="s">
        <v>2243</v>
      </c>
      <c r="E219" s="205" t="s">
        <v>2828</v>
      </c>
    </row>
    <row r="220" spans="1:5" ht="15">
      <c r="A220" s="205" t="s">
        <v>939</v>
      </c>
      <c r="B220" s="207">
        <v>1023.14</v>
      </c>
      <c r="C220" s="205" t="s">
        <v>2829</v>
      </c>
      <c r="D220" s="205" t="s">
        <v>940</v>
      </c>
      <c r="E220" s="205" t="s">
        <v>2830</v>
      </c>
    </row>
    <row r="221" spans="1:5" ht="15">
      <c r="A221" s="205" t="s">
        <v>1699</v>
      </c>
      <c r="B221" s="207">
        <v>1023.94</v>
      </c>
      <c r="C221" s="205" t="s">
        <v>2831</v>
      </c>
      <c r="D221" s="205" t="s">
        <v>1701</v>
      </c>
      <c r="E221" s="205" t="s">
        <v>2705</v>
      </c>
    </row>
    <row r="222" spans="1:5" ht="15">
      <c r="A222" s="205" t="s">
        <v>1728</v>
      </c>
      <c r="B222" s="207">
        <v>1025.33</v>
      </c>
      <c r="C222" s="205" t="s">
        <v>2832</v>
      </c>
      <c r="D222" s="205" t="s">
        <v>1729</v>
      </c>
      <c r="E222" s="205" t="s">
        <v>2701</v>
      </c>
    </row>
    <row r="223" spans="1:5" ht="15">
      <c r="A223" s="205" t="s">
        <v>2051</v>
      </c>
      <c r="B223" s="207">
        <v>1027.4100000000001</v>
      </c>
      <c r="C223" s="205" t="s">
        <v>2833</v>
      </c>
      <c r="D223" s="205" t="s">
        <v>2052</v>
      </c>
      <c r="E223" s="205" t="s">
        <v>2658</v>
      </c>
    </row>
    <row r="224" spans="1:5" ht="15">
      <c r="A224" s="205">
        <v>233940</v>
      </c>
      <c r="B224" s="207">
        <v>1027.92</v>
      </c>
      <c r="C224" s="205" t="s">
        <v>2834</v>
      </c>
      <c r="D224" s="205" t="s">
        <v>2182</v>
      </c>
      <c r="E224" s="205" t="s">
        <v>2583</v>
      </c>
    </row>
    <row r="225" spans="1:5" ht="15">
      <c r="A225" s="205">
        <v>66712</v>
      </c>
      <c r="B225" s="207">
        <v>1030.8900000000001</v>
      </c>
      <c r="C225" s="205" t="s">
        <v>2835</v>
      </c>
      <c r="D225" s="205" t="s">
        <v>2836</v>
      </c>
      <c r="E225" s="205" t="s">
        <v>2837</v>
      </c>
    </row>
    <row r="226" spans="1:5" ht="15">
      <c r="A226" s="205" t="s">
        <v>2043</v>
      </c>
      <c r="B226" s="207">
        <v>1032.29</v>
      </c>
      <c r="C226" s="205" t="s">
        <v>2838</v>
      </c>
      <c r="D226" s="205" t="s">
        <v>2044</v>
      </c>
      <c r="E226" s="205" t="s">
        <v>2767</v>
      </c>
    </row>
    <row r="227" spans="1:5" ht="15">
      <c r="A227" s="205">
        <v>233946</v>
      </c>
      <c r="B227" s="207">
        <v>1035.33</v>
      </c>
      <c r="C227" s="205" t="s">
        <v>2839</v>
      </c>
      <c r="D227" s="205" t="s">
        <v>2188</v>
      </c>
      <c r="E227" s="205" t="s">
        <v>2534</v>
      </c>
    </row>
    <row r="228" spans="1:5" ht="15">
      <c r="A228" s="205" t="s">
        <v>455</v>
      </c>
      <c r="B228" s="207">
        <v>1037.31</v>
      </c>
      <c r="C228" s="205" t="s">
        <v>2840</v>
      </c>
      <c r="D228" s="205" t="s">
        <v>2304</v>
      </c>
      <c r="E228" s="205" t="s">
        <v>2841</v>
      </c>
    </row>
    <row r="229" spans="1:5" ht="15">
      <c r="A229" s="205">
        <v>231983</v>
      </c>
      <c r="B229" s="207">
        <v>1039.69</v>
      </c>
      <c r="C229" s="205" t="s">
        <v>2842</v>
      </c>
      <c r="D229" s="205" t="s">
        <v>2142</v>
      </c>
      <c r="E229" s="205" t="s">
        <v>2588</v>
      </c>
    </row>
    <row r="230" spans="1:5" ht="15">
      <c r="A230" s="205" t="s">
        <v>2309</v>
      </c>
      <c r="B230" s="207">
        <v>1040.1300000000001</v>
      </c>
      <c r="C230" s="205" t="s">
        <v>2843</v>
      </c>
      <c r="D230" s="205" t="s">
        <v>2310</v>
      </c>
      <c r="E230" s="205" t="s">
        <v>2844</v>
      </c>
    </row>
    <row r="231" spans="1:5" ht="15">
      <c r="A231" s="205">
        <v>5612</v>
      </c>
      <c r="B231" s="207">
        <v>1040.6099999999999</v>
      </c>
      <c r="C231" s="205" t="s">
        <v>2845</v>
      </c>
      <c r="D231" s="205" t="s">
        <v>1584</v>
      </c>
      <c r="E231" s="205" t="s">
        <v>2678</v>
      </c>
    </row>
    <row r="232" spans="1:5" ht="15">
      <c r="A232" s="205" t="s">
        <v>1778</v>
      </c>
      <c r="B232" s="207">
        <v>1041.0999999999999</v>
      </c>
      <c r="C232" s="205" t="s">
        <v>2846</v>
      </c>
      <c r="D232" s="205" t="s">
        <v>1779</v>
      </c>
      <c r="E232" s="205" t="s">
        <v>2847</v>
      </c>
    </row>
    <row r="233" spans="1:5" ht="15">
      <c r="A233" s="205" t="s">
        <v>2028</v>
      </c>
      <c r="B233" s="207">
        <v>1041.55</v>
      </c>
      <c r="C233" s="205" t="s">
        <v>2848</v>
      </c>
      <c r="D233" s="205" t="s">
        <v>2029</v>
      </c>
      <c r="E233" s="205" t="s">
        <v>2849</v>
      </c>
    </row>
    <row r="234" spans="1:5" ht="15">
      <c r="A234" s="205">
        <v>66482</v>
      </c>
      <c r="B234" s="207">
        <v>1042.76</v>
      </c>
      <c r="C234" s="205" t="s">
        <v>2850</v>
      </c>
      <c r="D234" s="205" t="s">
        <v>1892</v>
      </c>
      <c r="E234" s="205" t="s">
        <v>2550</v>
      </c>
    </row>
    <row r="235" spans="1:5" ht="15">
      <c r="A235" s="205">
        <v>231904</v>
      </c>
      <c r="B235" s="207">
        <v>1043.47</v>
      </c>
      <c r="C235" s="205" t="s">
        <v>2851</v>
      </c>
      <c r="D235" s="205" t="s">
        <v>2103</v>
      </c>
      <c r="E235" s="205" t="s">
        <v>2618</v>
      </c>
    </row>
    <row r="236" spans="1:5" ht="15">
      <c r="A236" s="205">
        <v>537540</v>
      </c>
      <c r="B236" s="207">
        <v>1046.19</v>
      </c>
      <c r="C236" s="205" t="s">
        <v>2852</v>
      </c>
      <c r="D236" s="205" t="s">
        <v>2493</v>
      </c>
      <c r="E236" s="205" t="s">
        <v>2560</v>
      </c>
    </row>
    <row r="237" spans="1:5" ht="15">
      <c r="A237" s="205" t="s">
        <v>2062</v>
      </c>
      <c r="B237" s="207">
        <v>1047.01</v>
      </c>
      <c r="C237" s="205" t="s">
        <v>2853</v>
      </c>
      <c r="D237" s="205" t="s">
        <v>2063</v>
      </c>
      <c r="E237" s="205" t="s">
        <v>2558</v>
      </c>
    </row>
    <row r="238" spans="1:5" ht="15">
      <c r="A238" s="205">
        <v>67101</v>
      </c>
      <c r="B238" s="207">
        <v>1047.45</v>
      </c>
      <c r="C238" s="205" t="s">
        <v>2854</v>
      </c>
      <c r="D238" s="205" t="s">
        <v>1216</v>
      </c>
      <c r="E238" s="205" t="s">
        <v>2855</v>
      </c>
    </row>
    <row r="239" spans="1:5" ht="15">
      <c r="A239" s="205" t="s">
        <v>192</v>
      </c>
      <c r="B239" s="207">
        <v>1048.5</v>
      </c>
      <c r="C239" s="205" t="s">
        <v>2856</v>
      </c>
      <c r="D239" s="205" t="s">
        <v>896</v>
      </c>
      <c r="E239" s="205" t="s">
        <v>2578</v>
      </c>
    </row>
    <row r="240" spans="1:5" ht="15">
      <c r="A240" s="205">
        <v>169241</v>
      </c>
      <c r="B240" s="207">
        <v>1048.5999999999999</v>
      </c>
      <c r="C240" s="205" t="s">
        <v>2857</v>
      </c>
      <c r="D240" s="205" t="s">
        <v>1672</v>
      </c>
      <c r="E240" s="205" t="s">
        <v>2625</v>
      </c>
    </row>
    <row r="241" spans="1:5" ht="15">
      <c r="A241" s="205" t="s">
        <v>2316</v>
      </c>
      <c r="B241" s="207">
        <v>1048.67</v>
      </c>
      <c r="C241" s="205" t="s">
        <v>2858</v>
      </c>
      <c r="D241" s="205" t="s">
        <v>2317</v>
      </c>
      <c r="E241" s="205" t="s">
        <v>2844</v>
      </c>
    </row>
    <row r="242" spans="1:5" ht="15">
      <c r="A242" s="205">
        <v>66451</v>
      </c>
      <c r="B242" s="207">
        <v>1048.7</v>
      </c>
      <c r="C242" s="205" t="s">
        <v>2859</v>
      </c>
      <c r="D242" s="205" t="s">
        <v>1896</v>
      </c>
      <c r="E242" s="205" t="s">
        <v>2550</v>
      </c>
    </row>
    <row r="243" spans="1:5" ht="15">
      <c r="A243" s="205" t="s">
        <v>2313</v>
      </c>
      <c r="B243" s="207">
        <v>1048.92</v>
      </c>
      <c r="C243" s="205" t="s">
        <v>2860</v>
      </c>
      <c r="D243" s="205" t="s">
        <v>2314</v>
      </c>
      <c r="E243" s="205" t="s">
        <v>2844</v>
      </c>
    </row>
    <row r="244" spans="1:5" ht="15">
      <c r="A244" s="205">
        <v>35310</v>
      </c>
      <c r="B244" s="207">
        <v>1051.3800000000001</v>
      </c>
      <c r="C244" s="205" t="s">
        <v>2861</v>
      </c>
      <c r="D244" s="205" t="s">
        <v>1166</v>
      </c>
      <c r="E244" s="205" t="s">
        <v>2618</v>
      </c>
    </row>
    <row r="245" spans="1:5" ht="15">
      <c r="A245" s="205">
        <v>402036</v>
      </c>
      <c r="B245" s="207">
        <v>1051.8499999999999</v>
      </c>
      <c r="C245" s="205" t="s">
        <v>2862</v>
      </c>
      <c r="D245" s="205" t="s">
        <v>1831</v>
      </c>
      <c r="E245" s="205" t="s">
        <v>2575</v>
      </c>
    </row>
    <row r="246" spans="1:5" ht="15">
      <c r="A246" s="205" t="s">
        <v>323</v>
      </c>
      <c r="B246" s="207">
        <v>1051.95</v>
      </c>
      <c r="C246" s="205" t="s">
        <v>2863</v>
      </c>
      <c r="D246" s="205" t="s">
        <v>2214</v>
      </c>
      <c r="E246" s="205" t="s">
        <v>2588</v>
      </c>
    </row>
    <row r="247" spans="1:5" ht="15">
      <c r="A247" s="205">
        <v>119982</v>
      </c>
      <c r="B247" s="207">
        <v>1053.8399999999999</v>
      </c>
      <c r="C247" s="205" t="s">
        <v>2864</v>
      </c>
      <c r="D247" s="205" t="s">
        <v>2220</v>
      </c>
      <c r="E247" s="205" t="s">
        <v>2635</v>
      </c>
    </row>
    <row r="248" spans="1:5" ht="15">
      <c r="A248" s="205">
        <v>232985</v>
      </c>
      <c r="B248" s="207">
        <v>1056.79</v>
      </c>
      <c r="C248" s="205" t="s">
        <v>2865</v>
      </c>
      <c r="D248" s="205" t="s">
        <v>2229</v>
      </c>
      <c r="E248" s="205" t="s">
        <v>2635</v>
      </c>
    </row>
    <row r="249" spans="1:5" ht="15">
      <c r="A249" s="205" t="s">
        <v>2034</v>
      </c>
      <c r="B249" s="207">
        <v>1057.1099999999999</v>
      </c>
      <c r="C249" s="205" t="s">
        <v>2866</v>
      </c>
      <c r="D249" s="205" t="s">
        <v>2035</v>
      </c>
      <c r="E249" s="205" t="s">
        <v>2726</v>
      </c>
    </row>
    <row r="250" spans="1:5" ht="15">
      <c r="A250" s="205">
        <v>162080</v>
      </c>
      <c r="B250" s="207">
        <v>1057.3800000000001</v>
      </c>
      <c r="C250" s="205" t="s">
        <v>2867</v>
      </c>
      <c r="D250" s="205" t="s">
        <v>1687</v>
      </c>
      <c r="E250" s="205" t="s">
        <v>2705</v>
      </c>
    </row>
    <row r="251" spans="1:5" ht="15">
      <c r="A251" s="205">
        <v>65211</v>
      </c>
      <c r="B251" s="207">
        <v>1057.6199999999999</v>
      </c>
      <c r="C251" s="205" t="s">
        <v>2868</v>
      </c>
      <c r="D251" s="205" t="s">
        <v>2426</v>
      </c>
      <c r="E251" s="205" t="s">
        <v>2534</v>
      </c>
    </row>
    <row r="252" spans="1:5" ht="15">
      <c r="A252" s="205">
        <v>232984</v>
      </c>
      <c r="B252" s="207">
        <v>1059.79</v>
      </c>
      <c r="C252" s="205" t="s">
        <v>2869</v>
      </c>
      <c r="D252" s="205" t="s">
        <v>2160</v>
      </c>
      <c r="E252" s="205" t="s">
        <v>2618</v>
      </c>
    </row>
    <row r="253" spans="1:5" ht="15">
      <c r="A253" s="205" t="s">
        <v>606</v>
      </c>
      <c r="B253" s="207">
        <v>1060.55</v>
      </c>
      <c r="C253" s="205" t="s">
        <v>2870</v>
      </c>
      <c r="D253" s="205" t="s">
        <v>607</v>
      </c>
      <c r="E253" s="205" t="s">
        <v>2588</v>
      </c>
    </row>
    <row r="254" spans="1:5" ht="15">
      <c r="A254" s="205">
        <v>233002</v>
      </c>
      <c r="B254" s="207">
        <v>1062.17</v>
      </c>
      <c r="C254" s="205" t="s">
        <v>2871</v>
      </c>
      <c r="D254" s="205" t="s">
        <v>2164</v>
      </c>
      <c r="E254" s="205" t="s">
        <v>2534</v>
      </c>
    </row>
    <row r="255" spans="1:5" ht="15">
      <c r="A255" s="205" t="s">
        <v>1719</v>
      </c>
      <c r="B255" s="207">
        <v>1062.58</v>
      </c>
      <c r="C255" s="205" t="s">
        <v>2872</v>
      </c>
      <c r="D255" s="205" t="s">
        <v>1720</v>
      </c>
      <c r="E255" s="205" t="s">
        <v>2873</v>
      </c>
    </row>
    <row r="256" spans="1:5" ht="15">
      <c r="A256" s="205">
        <v>232011</v>
      </c>
      <c r="B256" s="207">
        <v>1064</v>
      </c>
      <c r="C256" s="205" t="s">
        <v>2874</v>
      </c>
      <c r="D256" s="205" t="s">
        <v>2144</v>
      </c>
      <c r="E256" s="205" t="s">
        <v>2534</v>
      </c>
    </row>
    <row r="257" spans="1:5" ht="15">
      <c r="A257" s="205">
        <v>28033</v>
      </c>
      <c r="B257" s="207">
        <v>1064</v>
      </c>
      <c r="C257" s="205" t="s">
        <v>2875</v>
      </c>
      <c r="D257" s="205" t="s">
        <v>1870</v>
      </c>
      <c r="E257" s="205" t="s">
        <v>2609</v>
      </c>
    </row>
    <row r="258" spans="1:5" ht="15">
      <c r="A258" s="205">
        <v>233947</v>
      </c>
      <c r="B258" s="207">
        <v>1064.3499999999999</v>
      </c>
      <c r="C258" s="205" t="s">
        <v>2876</v>
      </c>
      <c r="D258" s="205" t="s">
        <v>2190</v>
      </c>
      <c r="E258" s="205" t="s">
        <v>2534</v>
      </c>
    </row>
    <row r="259" spans="1:5" ht="15">
      <c r="A259" s="205" t="s">
        <v>1440</v>
      </c>
      <c r="B259" s="207">
        <v>1064.53</v>
      </c>
      <c r="C259" s="205" t="s">
        <v>2877</v>
      </c>
      <c r="D259" s="205" t="s">
        <v>1441</v>
      </c>
      <c r="E259" s="205" t="s">
        <v>2540</v>
      </c>
    </row>
    <row r="260" spans="1:5" ht="15">
      <c r="A260" s="205">
        <v>8391</v>
      </c>
      <c r="B260" s="207">
        <v>1066.71</v>
      </c>
      <c r="C260" s="205" t="s">
        <v>2878</v>
      </c>
      <c r="D260" s="205" t="s">
        <v>1560</v>
      </c>
      <c r="E260" s="205" t="s">
        <v>2750</v>
      </c>
    </row>
    <row r="261" spans="1:5" ht="15">
      <c r="A261" s="205">
        <v>8355</v>
      </c>
      <c r="B261" s="207">
        <v>1068.01</v>
      </c>
      <c r="C261" s="205" t="s">
        <v>2879</v>
      </c>
      <c r="D261" s="205" t="s">
        <v>1554</v>
      </c>
      <c r="E261" s="205" t="s">
        <v>2750</v>
      </c>
    </row>
    <row r="262" spans="1:5" ht="15">
      <c r="A262" s="205">
        <v>3239</v>
      </c>
      <c r="B262" s="207">
        <v>1069.06</v>
      </c>
      <c r="C262" s="205" t="s">
        <v>2880</v>
      </c>
      <c r="D262" s="205" t="s">
        <v>1578</v>
      </c>
      <c r="E262" s="205" t="s">
        <v>2881</v>
      </c>
    </row>
    <row r="263" spans="1:5" ht="15">
      <c r="A263" s="205" t="s">
        <v>388</v>
      </c>
      <c r="B263" s="207">
        <v>1069.8699999999999</v>
      </c>
      <c r="C263" s="205" t="s">
        <v>2882</v>
      </c>
      <c r="D263" s="205" t="s">
        <v>1284</v>
      </c>
      <c r="E263" s="205" t="s">
        <v>2540</v>
      </c>
    </row>
    <row r="264" spans="1:5" ht="15">
      <c r="A264" s="205" t="s">
        <v>1060</v>
      </c>
      <c r="B264" s="207">
        <v>1073.6500000000001</v>
      </c>
      <c r="C264" s="205" t="s">
        <v>2883</v>
      </c>
      <c r="D264" s="205" t="s">
        <v>1061</v>
      </c>
      <c r="E264" s="205" t="s">
        <v>2884</v>
      </c>
    </row>
    <row r="265" spans="1:5" ht="15">
      <c r="A265" s="205" t="s">
        <v>2037</v>
      </c>
      <c r="B265" s="207">
        <v>1074.21</v>
      </c>
      <c r="C265" s="205" t="s">
        <v>2885</v>
      </c>
      <c r="D265" s="205" t="s">
        <v>2038</v>
      </c>
      <c r="E265" s="205" t="s">
        <v>2886</v>
      </c>
    </row>
    <row r="266" spans="1:5" ht="15">
      <c r="A266" s="205" t="s">
        <v>1490</v>
      </c>
      <c r="B266" s="207">
        <v>1074.49</v>
      </c>
      <c r="C266" s="205" t="s">
        <v>2887</v>
      </c>
      <c r="D266" s="205" t="s">
        <v>1491</v>
      </c>
      <c r="E266" s="205" t="s">
        <v>2888</v>
      </c>
    </row>
    <row r="267" spans="1:5" ht="15">
      <c r="A267" s="205" t="s">
        <v>1368</v>
      </c>
      <c r="B267" s="207">
        <v>1075.1500000000001</v>
      </c>
      <c r="C267" s="205" t="s">
        <v>2889</v>
      </c>
      <c r="D267" s="205" t="s">
        <v>1369</v>
      </c>
      <c r="E267" s="205" t="s">
        <v>2534</v>
      </c>
    </row>
    <row r="268" spans="1:5" ht="15">
      <c r="A268" s="205" t="s">
        <v>289</v>
      </c>
      <c r="B268" s="207">
        <v>1077.19</v>
      </c>
      <c r="C268" s="205" t="s">
        <v>2890</v>
      </c>
      <c r="D268" s="205" t="s">
        <v>881</v>
      </c>
      <c r="E268" s="205" t="s">
        <v>2578</v>
      </c>
    </row>
    <row r="269" spans="1:5" ht="15">
      <c r="A269" s="205" t="s">
        <v>1072</v>
      </c>
      <c r="B269" s="207">
        <v>1077.57</v>
      </c>
      <c r="C269" s="205" t="s">
        <v>2891</v>
      </c>
      <c r="D269" s="205" t="s">
        <v>1073</v>
      </c>
      <c r="E269" s="205" t="s">
        <v>2892</v>
      </c>
    </row>
    <row r="270" spans="1:5" ht="15">
      <c r="A270" s="205" t="s">
        <v>416</v>
      </c>
      <c r="B270" s="207">
        <v>1078.8699999999999</v>
      </c>
      <c r="C270" s="205" t="s">
        <v>2893</v>
      </c>
      <c r="D270" s="205" t="s">
        <v>2331</v>
      </c>
      <c r="E270" s="205" t="s">
        <v>2596</v>
      </c>
    </row>
    <row r="271" spans="1:5" ht="15">
      <c r="A271" s="205" t="s">
        <v>383</v>
      </c>
      <c r="B271" s="207">
        <v>1080.33</v>
      </c>
      <c r="C271" s="205" t="s">
        <v>2894</v>
      </c>
      <c r="D271" s="205" t="s">
        <v>1272</v>
      </c>
      <c r="E271" s="205" t="s">
        <v>2578</v>
      </c>
    </row>
    <row r="272" spans="1:5" ht="15">
      <c r="A272" s="205" t="s">
        <v>1311</v>
      </c>
      <c r="B272" s="207">
        <v>1080.46</v>
      </c>
      <c r="C272" s="205" t="s">
        <v>2895</v>
      </c>
      <c r="D272" s="205" t="s">
        <v>1312</v>
      </c>
      <c r="E272" s="205" t="s">
        <v>2614</v>
      </c>
    </row>
    <row r="273" spans="1:5" ht="15">
      <c r="A273" s="205">
        <v>3009</v>
      </c>
      <c r="B273" s="207">
        <v>1081.75</v>
      </c>
      <c r="C273" s="205" t="s">
        <v>2896</v>
      </c>
      <c r="D273" s="205" t="s">
        <v>1596</v>
      </c>
      <c r="E273" s="205" t="s">
        <v>2897</v>
      </c>
    </row>
    <row r="274" spans="1:5" ht="15">
      <c r="A274" s="205">
        <v>66501</v>
      </c>
      <c r="B274" s="207">
        <v>1081.77</v>
      </c>
      <c r="C274" s="205" t="s">
        <v>2898</v>
      </c>
      <c r="D274" s="205" t="s">
        <v>1900</v>
      </c>
      <c r="E274" s="205" t="s">
        <v>2614</v>
      </c>
    </row>
    <row r="275" spans="1:5" ht="15">
      <c r="A275" s="205">
        <v>233920</v>
      </c>
      <c r="B275" s="207">
        <v>1083.02</v>
      </c>
      <c r="C275" s="205" t="s">
        <v>2899</v>
      </c>
      <c r="D275" s="205" t="s">
        <v>2233</v>
      </c>
      <c r="E275" s="205" t="s">
        <v>2635</v>
      </c>
    </row>
    <row r="276" spans="1:5" ht="15">
      <c r="A276" s="205" t="s">
        <v>1694</v>
      </c>
      <c r="B276" s="207">
        <v>1086.43</v>
      </c>
      <c r="C276" s="205" t="s">
        <v>2900</v>
      </c>
      <c r="D276" s="205" t="s">
        <v>1695</v>
      </c>
      <c r="E276" s="205" t="s">
        <v>2705</v>
      </c>
    </row>
    <row r="277" spans="1:5" ht="15">
      <c r="A277" s="205">
        <v>56200</v>
      </c>
      <c r="B277" s="207">
        <v>1092.8399999999999</v>
      </c>
      <c r="C277" s="205" t="s">
        <v>2901</v>
      </c>
      <c r="D277" s="205" t="s">
        <v>2384</v>
      </c>
      <c r="E277" s="205" t="s">
        <v>2616</v>
      </c>
    </row>
    <row r="278" spans="1:5" ht="15">
      <c r="A278" s="205">
        <v>5690</v>
      </c>
      <c r="B278" s="207">
        <v>1093.49</v>
      </c>
      <c r="C278" s="205" t="s">
        <v>2902</v>
      </c>
      <c r="D278" s="205" t="s">
        <v>1590</v>
      </c>
      <c r="E278" s="205" t="s">
        <v>2903</v>
      </c>
    </row>
    <row r="279" spans="1:5" ht="15">
      <c r="A279" s="205">
        <v>5650</v>
      </c>
      <c r="B279" s="207">
        <v>1094.3599999999999</v>
      </c>
      <c r="C279" s="205" t="s">
        <v>2904</v>
      </c>
      <c r="D279" s="205" t="s">
        <v>1588</v>
      </c>
      <c r="E279" s="205" t="s">
        <v>2903</v>
      </c>
    </row>
    <row r="280" spans="1:5" ht="15">
      <c r="A280" s="205" t="s">
        <v>1054</v>
      </c>
      <c r="B280" s="207">
        <v>1095.22</v>
      </c>
      <c r="C280" s="205" t="s">
        <v>2905</v>
      </c>
      <c r="D280" s="205" t="s">
        <v>1055</v>
      </c>
      <c r="E280" s="205" t="s">
        <v>2906</v>
      </c>
    </row>
    <row r="281" spans="1:5" ht="15">
      <c r="A281" s="205">
        <v>5730</v>
      </c>
      <c r="B281" s="207">
        <v>1096.3900000000001</v>
      </c>
      <c r="C281" s="205" t="s">
        <v>2907</v>
      </c>
      <c r="D281" s="205" t="s">
        <v>1592</v>
      </c>
      <c r="E281" s="205" t="s">
        <v>2903</v>
      </c>
    </row>
    <row r="282" spans="1:5" ht="15">
      <c r="A282" s="205" t="s">
        <v>1066</v>
      </c>
      <c r="B282" s="207">
        <v>1097.07</v>
      </c>
      <c r="C282" s="205" t="s">
        <v>2908</v>
      </c>
      <c r="D282" s="205" t="s">
        <v>1067</v>
      </c>
      <c r="E282" s="205" t="s">
        <v>2909</v>
      </c>
    </row>
    <row r="283" spans="1:5" ht="15">
      <c r="A283" s="205">
        <v>112021</v>
      </c>
      <c r="B283" s="207">
        <v>1099.1099999999999</v>
      </c>
      <c r="C283" s="205" t="s">
        <v>2910</v>
      </c>
      <c r="D283" s="205" t="s">
        <v>1681</v>
      </c>
      <c r="E283" s="205" t="s">
        <v>2705</v>
      </c>
    </row>
    <row r="284" spans="1:5" ht="15">
      <c r="A284" s="205" t="s">
        <v>968</v>
      </c>
      <c r="B284" s="207">
        <v>1099.6099999999999</v>
      </c>
      <c r="C284" s="205" t="s">
        <v>2911</v>
      </c>
      <c r="D284" s="205" t="s">
        <v>969</v>
      </c>
      <c r="E284" s="205" t="s">
        <v>2912</v>
      </c>
    </row>
    <row r="285" spans="1:5" ht="15">
      <c r="A285" s="205" t="s">
        <v>1331</v>
      </c>
      <c r="B285" s="207">
        <v>1099.69</v>
      </c>
      <c r="C285" s="205" t="s">
        <v>2913</v>
      </c>
      <c r="D285" s="205" t="s">
        <v>1332</v>
      </c>
      <c r="E285" s="205" t="s">
        <v>2914</v>
      </c>
    </row>
    <row r="286" spans="1:5" ht="15">
      <c r="A286" s="205" t="s">
        <v>454</v>
      </c>
      <c r="B286" s="207">
        <v>1099.8499999999999</v>
      </c>
      <c r="C286" s="205" t="s">
        <v>2915</v>
      </c>
      <c r="D286" s="205" t="s">
        <v>948</v>
      </c>
      <c r="E286" s="205" t="s">
        <v>2916</v>
      </c>
    </row>
    <row r="287" spans="1:5" ht="15">
      <c r="A287" s="205" t="s">
        <v>1324</v>
      </c>
      <c r="B287" s="207">
        <v>1100</v>
      </c>
      <c r="C287" s="205" t="s">
        <v>2917</v>
      </c>
      <c r="D287" s="205" t="s">
        <v>1325</v>
      </c>
      <c r="E287" s="205" t="s">
        <v>2560</v>
      </c>
    </row>
    <row r="288" spans="1:5" ht="15">
      <c r="A288" s="205">
        <v>45307</v>
      </c>
      <c r="B288" s="207">
        <v>1100.94</v>
      </c>
      <c r="C288" s="205" t="s">
        <v>2918</v>
      </c>
      <c r="D288" s="205" t="s">
        <v>2919</v>
      </c>
      <c r="E288" s="205" t="s">
        <v>2614</v>
      </c>
    </row>
    <row r="289" spans="1:5" ht="15">
      <c r="A289" s="205" t="s">
        <v>1082</v>
      </c>
      <c r="B289" s="207">
        <v>1102.47</v>
      </c>
      <c r="C289" s="205" t="s">
        <v>2920</v>
      </c>
      <c r="D289" s="205" t="s">
        <v>1064</v>
      </c>
      <c r="E289" s="205" t="s">
        <v>2909</v>
      </c>
    </row>
    <row r="290" spans="1:5" ht="15">
      <c r="A290" s="205" t="s">
        <v>1473</v>
      </c>
      <c r="B290" s="207">
        <v>1103.05</v>
      </c>
      <c r="C290" s="205" t="s">
        <v>2921</v>
      </c>
      <c r="D290" s="205" t="s">
        <v>1474</v>
      </c>
      <c r="E290" s="205" t="s">
        <v>2571</v>
      </c>
    </row>
    <row r="291" spans="1:5" ht="15">
      <c r="A291" s="205" t="s">
        <v>2439</v>
      </c>
      <c r="B291" s="207">
        <v>1103.5899999999999</v>
      </c>
      <c r="C291" s="205" t="s">
        <v>2922</v>
      </c>
      <c r="D291" s="205" t="s">
        <v>2440</v>
      </c>
      <c r="E291" s="205" t="s">
        <v>2923</v>
      </c>
    </row>
    <row r="292" spans="1:5" ht="15">
      <c r="A292" s="205">
        <v>233941</v>
      </c>
      <c r="B292" s="207">
        <v>1109.21</v>
      </c>
      <c r="C292" s="205" t="s">
        <v>2924</v>
      </c>
      <c r="D292" s="205" t="s">
        <v>2184</v>
      </c>
      <c r="E292" s="205" t="s">
        <v>2618</v>
      </c>
    </row>
    <row r="293" spans="1:5" ht="15">
      <c r="A293" s="205" t="s">
        <v>1305</v>
      </c>
      <c r="B293" s="207">
        <v>1109.5999999999999</v>
      </c>
      <c r="C293" s="205" t="s">
        <v>2925</v>
      </c>
      <c r="D293" s="205" t="s">
        <v>1306</v>
      </c>
      <c r="E293" s="205" t="s">
        <v>2540</v>
      </c>
    </row>
    <row r="294" spans="1:5" ht="15">
      <c r="A294" s="205" t="s">
        <v>1631</v>
      </c>
      <c r="B294" s="207">
        <v>1111.6199999999999</v>
      </c>
      <c r="C294" s="205" t="s">
        <v>2926</v>
      </c>
      <c r="D294" s="205" t="s">
        <v>1632</v>
      </c>
      <c r="E294" s="205" t="s">
        <v>2927</v>
      </c>
    </row>
    <row r="295" spans="1:5" ht="15">
      <c r="A295" s="205" t="s">
        <v>989</v>
      </c>
      <c r="B295" s="207">
        <v>1112.81</v>
      </c>
      <c r="C295" s="205" t="s">
        <v>2928</v>
      </c>
      <c r="D295" s="205" t="s">
        <v>990</v>
      </c>
      <c r="E295" s="205" t="s">
        <v>2929</v>
      </c>
    </row>
    <row r="296" spans="1:5" ht="15">
      <c r="A296" s="205">
        <v>67201</v>
      </c>
      <c r="B296" s="207">
        <v>1114.76</v>
      </c>
      <c r="C296" s="205" t="s">
        <v>2930</v>
      </c>
      <c r="D296" s="205" t="s">
        <v>1898</v>
      </c>
      <c r="E296" s="205" t="s">
        <v>2616</v>
      </c>
    </row>
    <row r="297" spans="1:5" ht="15">
      <c r="A297" s="205" t="s">
        <v>461</v>
      </c>
      <c r="B297" s="207">
        <v>1115.33</v>
      </c>
      <c r="C297" s="205" t="s">
        <v>2931</v>
      </c>
      <c r="D297" s="205" t="s">
        <v>1010</v>
      </c>
      <c r="E297" s="205" t="s">
        <v>2932</v>
      </c>
    </row>
    <row r="298" spans="1:5" ht="15">
      <c r="A298" s="205">
        <v>81130</v>
      </c>
      <c r="B298" s="207">
        <v>1115.79</v>
      </c>
      <c r="C298" s="205" t="s">
        <v>2933</v>
      </c>
      <c r="D298" s="205" t="s">
        <v>2435</v>
      </c>
      <c r="E298" s="205" t="s">
        <v>2934</v>
      </c>
    </row>
    <row r="299" spans="1:5" ht="15">
      <c r="A299" s="205" t="s">
        <v>2055</v>
      </c>
      <c r="B299" s="207">
        <v>1116.01</v>
      </c>
      <c r="C299" s="205" t="s">
        <v>2935</v>
      </c>
      <c r="D299" s="205" t="s">
        <v>2056</v>
      </c>
      <c r="E299" s="205" t="s">
        <v>2805</v>
      </c>
    </row>
    <row r="300" spans="1:5" ht="15">
      <c r="A300" s="205" t="s">
        <v>1982</v>
      </c>
      <c r="B300" s="207">
        <v>1116.3599999999999</v>
      </c>
      <c r="C300" s="205" t="s">
        <v>2936</v>
      </c>
      <c r="D300" s="205" t="s">
        <v>1983</v>
      </c>
      <c r="E300" s="205" t="s">
        <v>2618</v>
      </c>
    </row>
    <row r="301" spans="1:5" ht="15">
      <c r="A301" s="205">
        <v>232987</v>
      </c>
      <c r="B301" s="207">
        <v>1118.94</v>
      </c>
      <c r="C301" s="205" t="s">
        <v>2937</v>
      </c>
      <c r="D301" s="205" t="s">
        <v>2162</v>
      </c>
      <c r="E301" s="205" t="s">
        <v>2534</v>
      </c>
    </row>
    <row r="302" spans="1:5" ht="15">
      <c r="A302" s="205">
        <v>233943</v>
      </c>
      <c r="B302" s="207">
        <v>1119.6099999999999</v>
      </c>
      <c r="C302" s="205" t="s">
        <v>2938</v>
      </c>
      <c r="D302" s="205" t="s">
        <v>2239</v>
      </c>
      <c r="E302" s="205" t="s">
        <v>2635</v>
      </c>
    </row>
    <row r="303" spans="1:5" ht="15">
      <c r="A303" s="205">
        <v>232916</v>
      </c>
      <c r="B303" s="207">
        <v>1120.25</v>
      </c>
      <c r="C303" s="205" t="s">
        <v>2939</v>
      </c>
      <c r="D303" s="205" t="s">
        <v>2151</v>
      </c>
      <c r="E303" s="205" t="s">
        <v>2618</v>
      </c>
    </row>
    <row r="304" spans="1:5" ht="15">
      <c r="A304" s="205">
        <v>13470</v>
      </c>
      <c r="B304" s="207">
        <v>1120.27</v>
      </c>
      <c r="C304" s="205" t="s">
        <v>2940</v>
      </c>
      <c r="D304" s="205" t="s">
        <v>572</v>
      </c>
      <c r="E304" s="205" t="s">
        <v>2618</v>
      </c>
    </row>
    <row r="305" spans="1:5" ht="15">
      <c r="A305" s="205">
        <v>64251</v>
      </c>
      <c r="B305" s="207">
        <v>1120.29</v>
      </c>
      <c r="C305" s="205" t="s">
        <v>2941</v>
      </c>
      <c r="D305" s="205" t="s">
        <v>1231</v>
      </c>
      <c r="E305" s="205" t="s">
        <v>2537</v>
      </c>
    </row>
    <row r="306" spans="1:5" ht="15">
      <c r="A306" s="205" t="s">
        <v>385</v>
      </c>
      <c r="B306" s="207">
        <v>1121.3699999999999</v>
      </c>
      <c r="C306" s="205" t="s">
        <v>2942</v>
      </c>
      <c r="D306" s="205" t="s">
        <v>1278</v>
      </c>
      <c r="E306" s="205" t="s">
        <v>2540</v>
      </c>
    </row>
    <row r="307" spans="1:5" ht="15">
      <c r="A307" s="205" t="s">
        <v>1380</v>
      </c>
      <c r="B307" s="207">
        <v>1125.5899999999999</v>
      </c>
      <c r="C307" s="205" t="s">
        <v>2943</v>
      </c>
      <c r="D307" s="205" t="s">
        <v>1381</v>
      </c>
      <c r="E307" s="205" t="s">
        <v>2540</v>
      </c>
    </row>
    <row r="308" spans="1:5" ht="15">
      <c r="A308" s="205" t="s">
        <v>1710</v>
      </c>
      <c r="B308" s="207">
        <v>1126.04</v>
      </c>
      <c r="C308" s="205" t="s">
        <v>2944</v>
      </c>
      <c r="D308" s="205" t="s">
        <v>1711</v>
      </c>
      <c r="E308" s="205" t="s">
        <v>2705</v>
      </c>
    </row>
    <row r="309" spans="1:5" ht="15">
      <c r="A309" s="205">
        <v>3594</v>
      </c>
      <c r="B309" s="207">
        <v>1129.01</v>
      </c>
      <c r="C309" s="205" t="s">
        <v>2945</v>
      </c>
      <c r="D309" s="205" t="s">
        <v>1569</v>
      </c>
      <c r="E309" s="205" t="s">
        <v>2946</v>
      </c>
    </row>
    <row r="310" spans="1:5" ht="15">
      <c r="A310" s="205" t="s">
        <v>2011</v>
      </c>
      <c r="B310" s="207">
        <v>1129.7</v>
      </c>
      <c r="C310" s="205" t="s">
        <v>2947</v>
      </c>
      <c r="D310" s="205" t="s">
        <v>2012</v>
      </c>
      <c r="E310" s="205" t="s">
        <v>2807</v>
      </c>
    </row>
    <row r="311" spans="1:5" ht="15">
      <c r="A311" s="205" t="s">
        <v>624</v>
      </c>
      <c r="B311" s="207">
        <v>1133.27</v>
      </c>
      <c r="C311" s="205" t="s">
        <v>2948</v>
      </c>
      <c r="D311" s="205" t="s">
        <v>625</v>
      </c>
      <c r="E311" s="205" t="s">
        <v>2817</v>
      </c>
    </row>
    <row r="312" spans="1:5" ht="15">
      <c r="A312" s="205" t="s">
        <v>386</v>
      </c>
      <c r="B312" s="207">
        <v>1133.6400000000001</v>
      </c>
      <c r="C312" s="205" t="s">
        <v>2949</v>
      </c>
      <c r="D312" s="205" t="s">
        <v>1280</v>
      </c>
      <c r="E312" s="205" t="s">
        <v>2540</v>
      </c>
    </row>
    <row r="313" spans="1:5" ht="15">
      <c r="A313" s="205">
        <v>209990</v>
      </c>
      <c r="B313" s="207">
        <v>1134.1400000000001</v>
      </c>
      <c r="C313" s="205" t="s">
        <v>2950</v>
      </c>
      <c r="D313" s="205" t="s">
        <v>2216</v>
      </c>
      <c r="E313" s="205" t="s">
        <v>2588</v>
      </c>
    </row>
    <row r="314" spans="1:5" ht="15">
      <c r="A314" s="205" t="s">
        <v>245</v>
      </c>
      <c r="B314" s="207">
        <v>1135.1099999999999</v>
      </c>
      <c r="C314" s="205" t="s">
        <v>2951</v>
      </c>
      <c r="D314" s="205" t="s">
        <v>806</v>
      </c>
      <c r="E314" s="205" t="s">
        <v>2583</v>
      </c>
    </row>
    <row r="315" spans="1:5" ht="15">
      <c r="A315" s="205" t="s">
        <v>1436</v>
      </c>
      <c r="B315" s="207">
        <v>1136.08</v>
      </c>
      <c r="C315" s="205" t="s">
        <v>2952</v>
      </c>
      <c r="D315" s="205" t="s">
        <v>1437</v>
      </c>
      <c r="E315" s="205" t="s">
        <v>2540</v>
      </c>
    </row>
    <row r="316" spans="1:5" ht="15">
      <c r="A316" s="205">
        <v>81170</v>
      </c>
      <c r="B316" s="207">
        <v>1137.57</v>
      </c>
      <c r="C316" s="205" t="s">
        <v>2953</v>
      </c>
      <c r="D316" s="205" t="s">
        <v>2443</v>
      </c>
      <c r="E316" s="205" t="s">
        <v>2828</v>
      </c>
    </row>
    <row r="317" spans="1:5" ht="15">
      <c r="A317" s="205">
        <v>19208</v>
      </c>
      <c r="B317" s="207">
        <v>1138.1199999999999</v>
      </c>
      <c r="C317" s="205" t="s">
        <v>2954</v>
      </c>
      <c r="D317" s="205" t="s">
        <v>692</v>
      </c>
      <c r="E317" s="205" t="s">
        <v>2694</v>
      </c>
    </row>
    <row r="318" spans="1:5" ht="15">
      <c r="A318" s="205" t="s">
        <v>2047</v>
      </c>
      <c r="B318" s="207">
        <v>1138.54</v>
      </c>
      <c r="C318" s="205" t="s">
        <v>2955</v>
      </c>
      <c r="D318" s="205" t="s">
        <v>2048</v>
      </c>
      <c r="E318" s="205" t="s">
        <v>2767</v>
      </c>
    </row>
    <row r="319" spans="1:5" ht="15">
      <c r="A319" s="205">
        <v>65520</v>
      </c>
      <c r="B319" s="207">
        <v>1139.92</v>
      </c>
      <c r="C319" s="205" t="s">
        <v>2956</v>
      </c>
      <c r="D319" s="205" t="s">
        <v>2349</v>
      </c>
      <c r="E319" s="205" t="s">
        <v>2616</v>
      </c>
    </row>
    <row r="320" spans="1:5" ht="15">
      <c r="A320" s="205" t="s">
        <v>1965</v>
      </c>
      <c r="B320" s="207">
        <v>1143.0899999999999</v>
      </c>
      <c r="C320" s="205" t="s">
        <v>2957</v>
      </c>
      <c r="D320" s="205" t="s">
        <v>1966</v>
      </c>
      <c r="E320" s="205" t="s">
        <v>2550</v>
      </c>
    </row>
    <row r="321" spans="1:5" ht="15">
      <c r="A321" s="205" t="s">
        <v>931</v>
      </c>
      <c r="B321" s="207">
        <v>1146.42</v>
      </c>
      <c r="C321" s="205" t="s">
        <v>2958</v>
      </c>
      <c r="D321" s="205" t="s">
        <v>932</v>
      </c>
      <c r="E321" s="205" t="s">
        <v>2583</v>
      </c>
    </row>
    <row r="322" spans="1:5" ht="15">
      <c r="A322" s="205">
        <v>65101</v>
      </c>
      <c r="B322" s="207">
        <v>1152.9100000000001</v>
      </c>
      <c r="C322" s="205" t="s">
        <v>2959</v>
      </c>
      <c r="D322" s="205" t="s">
        <v>1194</v>
      </c>
      <c r="E322" s="205" t="s">
        <v>2618</v>
      </c>
    </row>
    <row r="323" spans="1:5" ht="15">
      <c r="A323" s="205" t="s">
        <v>1364</v>
      </c>
      <c r="B323" s="207">
        <v>1153.26</v>
      </c>
      <c r="C323" s="205" t="s">
        <v>2960</v>
      </c>
      <c r="D323" s="205" t="s">
        <v>1365</v>
      </c>
      <c r="E323" s="205" t="s">
        <v>2540</v>
      </c>
    </row>
    <row r="324" spans="1:5" ht="15">
      <c r="A324" s="205" t="s">
        <v>1781</v>
      </c>
      <c r="B324" s="207">
        <v>1153.4000000000001</v>
      </c>
      <c r="C324" s="205" t="s">
        <v>2961</v>
      </c>
      <c r="D324" s="205" t="s">
        <v>1782</v>
      </c>
      <c r="E324" s="205" t="s">
        <v>2847</v>
      </c>
    </row>
    <row r="325" spans="1:5" ht="15">
      <c r="A325" s="205" t="s">
        <v>2389</v>
      </c>
      <c r="B325" s="207">
        <v>1153.75</v>
      </c>
      <c r="C325" s="205" t="s">
        <v>2962</v>
      </c>
      <c r="D325" s="205" t="s">
        <v>2390</v>
      </c>
      <c r="E325" s="205" t="s">
        <v>2616</v>
      </c>
    </row>
    <row r="326" spans="1:5" ht="15">
      <c r="A326" s="205" t="s">
        <v>1387</v>
      </c>
      <c r="B326" s="207">
        <v>1154.3399999999999</v>
      </c>
      <c r="C326" s="205" t="s">
        <v>2963</v>
      </c>
      <c r="D326" s="205" t="s">
        <v>1388</v>
      </c>
      <c r="E326" s="205" t="s">
        <v>2540</v>
      </c>
    </row>
    <row r="327" spans="1:5" ht="15">
      <c r="A327" s="205">
        <v>232976</v>
      </c>
      <c r="B327" s="207">
        <v>1155.25</v>
      </c>
      <c r="C327" s="205" t="s">
        <v>2964</v>
      </c>
      <c r="D327" s="205" t="s">
        <v>2227</v>
      </c>
      <c r="E327" s="205" t="s">
        <v>2635</v>
      </c>
    </row>
    <row r="328" spans="1:5" ht="15">
      <c r="A328" s="205" t="s">
        <v>384</v>
      </c>
      <c r="B328" s="207">
        <v>1158.97</v>
      </c>
      <c r="C328" s="205" t="s">
        <v>2965</v>
      </c>
      <c r="D328" s="205" t="s">
        <v>1275</v>
      </c>
      <c r="E328" s="205" t="s">
        <v>2540</v>
      </c>
    </row>
    <row r="329" spans="1:5" ht="15">
      <c r="A329" s="205" t="s">
        <v>1988</v>
      </c>
      <c r="B329" s="207">
        <v>1159.3599999999999</v>
      </c>
      <c r="C329" s="205" t="s">
        <v>2966</v>
      </c>
      <c r="D329" s="205" t="s">
        <v>1989</v>
      </c>
      <c r="E329" s="205" t="s">
        <v>2583</v>
      </c>
    </row>
    <row r="330" spans="1:5" ht="15">
      <c r="A330" s="205">
        <v>12470</v>
      </c>
      <c r="B330" s="207">
        <v>1159.8</v>
      </c>
      <c r="C330" s="205" t="s">
        <v>2967</v>
      </c>
      <c r="D330" s="205" t="s">
        <v>567</v>
      </c>
      <c r="E330" s="205" t="s">
        <v>2618</v>
      </c>
    </row>
    <row r="331" spans="1:5" ht="15">
      <c r="A331" s="205">
        <v>65681</v>
      </c>
      <c r="B331" s="207">
        <v>1160.53</v>
      </c>
      <c r="C331" s="205" t="s">
        <v>2968</v>
      </c>
      <c r="D331" s="205" t="s">
        <v>2374</v>
      </c>
      <c r="E331" s="205" t="s">
        <v>2616</v>
      </c>
    </row>
    <row r="332" spans="1:5" ht="15">
      <c r="A332" s="205" t="s">
        <v>380</v>
      </c>
      <c r="B332" s="207">
        <v>1161.77</v>
      </c>
      <c r="C332" s="205" t="s">
        <v>2969</v>
      </c>
      <c r="D332" s="205" t="s">
        <v>1268</v>
      </c>
      <c r="E332" s="205" t="s">
        <v>2583</v>
      </c>
    </row>
    <row r="333" spans="1:5" ht="15">
      <c r="A333" s="205">
        <v>6356</v>
      </c>
      <c r="B333" s="207">
        <v>1162.44</v>
      </c>
      <c r="C333" s="205" t="s">
        <v>2970</v>
      </c>
      <c r="D333" s="205" t="s">
        <v>1537</v>
      </c>
      <c r="E333" s="205" t="s">
        <v>2578</v>
      </c>
    </row>
    <row r="334" spans="1:5" ht="15">
      <c r="A334" s="205" t="s">
        <v>402</v>
      </c>
      <c r="B334" s="207">
        <v>1162.6300000000001</v>
      </c>
      <c r="C334" s="205" t="s">
        <v>2971</v>
      </c>
      <c r="D334" s="205" t="s">
        <v>956</v>
      </c>
      <c r="E334" s="205" t="s">
        <v>2719</v>
      </c>
    </row>
    <row r="335" spans="1:5" ht="15">
      <c r="A335" s="205">
        <v>35601</v>
      </c>
      <c r="B335" s="207">
        <v>1164.23</v>
      </c>
      <c r="C335" s="205" t="s">
        <v>2972</v>
      </c>
      <c r="D335" s="205" t="s">
        <v>1168</v>
      </c>
      <c r="E335" s="205" t="s">
        <v>2618</v>
      </c>
    </row>
    <row r="336" spans="1:5" ht="15">
      <c r="A336" s="205">
        <v>209960</v>
      </c>
      <c r="B336" s="207">
        <v>1164.79</v>
      </c>
      <c r="C336" s="205" t="s">
        <v>2973</v>
      </c>
      <c r="D336" s="205" t="s">
        <v>2095</v>
      </c>
      <c r="E336" s="205" t="s">
        <v>2588</v>
      </c>
    </row>
    <row r="337" spans="1:5" ht="15">
      <c r="A337" s="205">
        <v>200170</v>
      </c>
      <c r="B337" s="207">
        <v>1167.43</v>
      </c>
      <c r="C337" s="205" t="s">
        <v>2974</v>
      </c>
      <c r="D337" s="205" t="s">
        <v>1641</v>
      </c>
      <c r="E337" s="205" t="s">
        <v>2705</v>
      </c>
    </row>
    <row r="338" spans="1:5" ht="15">
      <c r="A338" s="205">
        <v>65201</v>
      </c>
      <c r="B338" s="207">
        <v>1170.44</v>
      </c>
      <c r="C338" s="205" t="s">
        <v>2975</v>
      </c>
      <c r="D338" s="205" t="s">
        <v>1196</v>
      </c>
      <c r="E338" s="205" t="s">
        <v>2618</v>
      </c>
    </row>
    <row r="339" spans="1:5" ht="15">
      <c r="A339" s="205" t="s">
        <v>1996</v>
      </c>
      <c r="B339" s="207">
        <v>1179.9000000000001</v>
      </c>
      <c r="C339" s="205" t="s">
        <v>2976</v>
      </c>
      <c r="D339" s="205" t="s">
        <v>1997</v>
      </c>
      <c r="E339" s="205" t="s">
        <v>2665</v>
      </c>
    </row>
    <row r="340" spans="1:5" ht="15">
      <c r="A340" s="205" t="s">
        <v>1660</v>
      </c>
      <c r="B340" s="207">
        <v>1180.3900000000001</v>
      </c>
      <c r="C340" s="205" t="s">
        <v>2977</v>
      </c>
      <c r="D340" s="205" t="s">
        <v>1661</v>
      </c>
      <c r="E340" s="205" t="s">
        <v>2705</v>
      </c>
    </row>
    <row r="341" spans="1:5" ht="15">
      <c r="A341" s="205" t="s">
        <v>435</v>
      </c>
      <c r="B341" s="207">
        <v>1182.02</v>
      </c>
      <c r="C341" s="205" t="s">
        <v>2978</v>
      </c>
      <c r="D341" s="205" t="s">
        <v>1298</v>
      </c>
      <c r="E341" s="205" t="s">
        <v>2614</v>
      </c>
    </row>
    <row r="342" spans="1:5" ht="15">
      <c r="A342" s="205">
        <v>12621</v>
      </c>
      <c r="B342" s="207">
        <v>1182.04</v>
      </c>
      <c r="C342" s="205" t="s">
        <v>2979</v>
      </c>
      <c r="D342" s="205" t="s">
        <v>616</v>
      </c>
      <c r="E342" s="205" t="s">
        <v>2980</v>
      </c>
    </row>
    <row r="343" spans="1:5" ht="15">
      <c r="A343" s="205" t="s">
        <v>1376</v>
      </c>
      <c r="B343" s="207">
        <v>1182.93</v>
      </c>
      <c r="C343" s="205" t="s">
        <v>2981</v>
      </c>
      <c r="D343" s="205" t="s">
        <v>1377</v>
      </c>
      <c r="E343" s="205" t="s">
        <v>2540</v>
      </c>
    </row>
    <row r="344" spans="1:5" ht="15">
      <c r="A344" s="205">
        <v>66301</v>
      </c>
      <c r="B344" s="207">
        <v>1185.95</v>
      </c>
      <c r="C344" s="205" t="s">
        <v>2982</v>
      </c>
      <c r="D344" s="205" t="s">
        <v>1866</v>
      </c>
      <c r="E344" s="205" t="s">
        <v>2609</v>
      </c>
    </row>
    <row r="345" spans="1:5" ht="15">
      <c r="A345" s="205" t="s">
        <v>443</v>
      </c>
      <c r="B345" s="207">
        <v>1192.05</v>
      </c>
      <c r="C345" s="205" t="s">
        <v>2983</v>
      </c>
      <c r="D345" s="205" t="s">
        <v>916</v>
      </c>
      <c r="E345" s="205" t="s">
        <v>2724</v>
      </c>
    </row>
    <row r="346" spans="1:5" ht="15">
      <c r="A346" s="205" t="s">
        <v>1947</v>
      </c>
      <c r="B346" s="207">
        <v>1192.5</v>
      </c>
      <c r="C346" s="205" t="s">
        <v>2984</v>
      </c>
      <c r="D346" s="205" t="s">
        <v>1948</v>
      </c>
      <c r="E346" s="205" t="s">
        <v>2575</v>
      </c>
    </row>
    <row r="347" spans="1:5" ht="15">
      <c r="A347" s="205" t="s">
        <v>147</v>
      </c>
      <c r="B347" s="207">
        <v>1192.53</v>
      </c>
      <c r="C347" s="205" t="s">
        <v>2985</v>
      </c>
      <c r="D347" s="205" t="s">
        <v>873</v>
      </c>
      <c r="E347" s="205" t="s">
        <v>2578</v>
      </c>
    </row>
    <row r="348" spans="1:5" ht="15">
      <c r="A348" s="205">
        <v>40641</v>
      </c>
      <c r="B348" s="207">
        <v>1196.6300000000001</v>
      </c>
      <c r="C348" s="205" t="s">
        <v>2986</v>
      </c>
      <c r="D348" s="205" t="s">
        <v>1174</v>
      </c>
      <c r="E348" s="205" t="s">
        <v>2618</v>
      </c>
    </row>
    <row r="349" spans="1:5" ht="15">
      <c r="A349" s="205">
        <v>232992</v>
      </c>
      <c r="B349" s="207">
        <v>1199.79</v>
      </c>
      <c r="C349" s="205" t="s">
        <v>2987</v>
      </c>
      <c r="D349" s="205" t="s">
        <v>2231</v>
      </c>
      <c r="E349" s="205" t="s">
        <v>2635</v>
      </c>
    </row>
    <row r="350" spans="1:5" ht="15">
      <c r="A350" s="205" t="s">
        <v>2306</v>
      </c>
      <c r="B350" s="207">
        <v>1200.8800000000001</v>
      </c>
      <c r="C350" s="205" t="s">
        <v>2988</v>
      </c>
      <c r="D350" s="205" t="s">
        <v>2307</v>
      </c>
      <c r="E350" s="205" t="s">
        <v>2658</v>
      </c>
    </row>
    <row r="351" spans="1:5" ht="15">
      <c r="A351" s="205">
        <v>68201</v>
      </c>
      <c r="B351" s="207">
        <v>1204.47</v>
      </c>
      <c r="C351" s="205" t="s">
        <v>2989</v>
      </c>
      <c r="D351" s="205" t="s">
        <v>1225</v>
      </c>
      <c r="E351" s="205" t="s">
        <v>2618</v>
      </c>
    </row>
    <row r="352" spans="1:5" ht="15">
      <c r="A352" s="205">
        <v>233912</v>
      </c>
      <c r="B352" s="207">
        <v>1204.83</v>
      </c>
      <c r="C352" s="205" t="s">
        <v>2990</v>
      </c>
      <c r="D352" s="205" t="s">
        <v>2168</v>
      </c>
      <c r="E352" s="205" t="s">
        <v>2534</v>
      </c>
    </row>
    <row r="353" spans="1:5" ht="15">
      <c r="A353" s="205">
        <v>12643</v>
      </c>
      <c r="B353" s="207">
        <v>1207.07</v>
      </c>
      <c r="C353" s="205" t="s">
        <v>2991</v>
      </c>
      <c r="D353" s="205" t="s">
        <v>620</v>
      </c>
      <c r="E353" s="205" t="s">
        <v>2707</v>
      </c>
    </row>
    <row r="354" spans="1:5" ht="15">
      <c r="A354" s="205" t="s">
        <v>2338</v>
      </c>
      <c r="B354" s="207">
        <v>1210.96</v>
      </c>
      <c r="C354" s="205" t="s">
        <v>2992</v>
      </c>
      <c r="D354" s="205" t="s">
        <v>2339</v>
      </c>
      <c r="E354" s="205" t="s">
        <v>2616</v>
      </c>
    </row>
    <row r="355" spans="1:5" ht="15">
      <c r="A355" s="205">
        <v>12622</v>
      </c>
      <c r="B355" s="207">
        <v>1215.1300000000001</v>
      </c>
      <c r="C355" s="205" t="s">
        <v>2993</v>
      </c>
      <c r="D355" s="205" t="s">
        <v>618</v>
      </c>
      <c r="E355" s="205" t="s">
        <v>2980</v>
      </c>
    </row>
    <row r="356" spans="1:5" ht="15">
      <c r="A356" s="205">
        <v>233917</v>
      </c>
      <c r="B356" s="207">
        <v>1221.0999999999999</v>
      </c>
      <c r="C356" s="205" t="s">
        <v>2994</v>
      </c>
      <c r="D356" s="205" t="s">
        <v>2172</v>
      </c>
      <c r="E356" s="205" t="s">
        <v>2534</v>
      </c>
    </row>
    <row r="357" spans="1:5" ht="15">
      <c r="A357" s="205">
        <v>5530</v>
      </c>
      <c r="B357" s="207">
        <v>1222.27</v>
      </c>
      <c r="C357" s="205" t="s">
        <v>2995</v>
      </c>
      <c r="D357" s="205" t="s">
        <v>1580</v>
      </c>
      <c r="E357" s="205" t="s">
        <v>2614</v>
      </c>
    </row>
    <row r="358" spans="1:5" ht="15">
      <c r="A358" s="205" t="s">
        <v>951</v>
      </c>
      <c r="B358" s="207">
        <v>1222.92</v>
      </c>
      <c r="C358" s="205" t="s">
        <v>2996</v>
      </c>
      <c r="D358" s="205" t="s">
        <v>952</v>
      </c>
      <c r="E358" s="205" t="s">
        <v>2997</v>
      </c>
    </row>
    <row r="359" spans="1:5" ht="15">
      <c r="A359" s="205" t="s">
        <v>1328</v>
      </c>
      <c r="B359" s="207">
        <v>1223.3399999999999</v>
      </c>
      <c r="C359" s="205" t="s">
        <v>2998</v>
      </c>
      <c r="D359" s="205" t="s">
        <v>1329</v>
      </c>
      <c r="E359" s="205" t="s">
        <v>2916</v>
      </c>
    </row>
    <row r="360" spans="1:5" ht="15">
      <c r="A360" s="205">
        <v>68301</v>
      </c>
      <c r="B360" s="207">
        <v>1224.3900000000001</v>
      </c>
      <c r="C360" s="205" t="s">
        <v>2999</v>
      </c>
      <c r="D360" s="205" t="s">
        <v>1227</v>
      </c>
      <c r="E360" s="205" t="s">
        <v>2550</v>
      </c>
    </row>
    <row r="361" spans="1:5" ht="15">
      <c r="A361" s="205">
        <v>2650</v>
      </c>
      <c r="B361" s="207">
        <v>1225.78</v>
      </c>
      <c r="C361" s="205" t="s">
        <v>3000</v>
      </c>
      <c r="D361" s="205" t="s">
        <v>1522</v>
      </c>
      <c r="E361" s="205" t="s">
        <v>2583</v>
      </c>
    </row>
    <row r="362" spans="1:5" ht="15">
      <c r="A362" s="205">
        <v>231980</v>
      </c>
      <c r="B362" s="207">
        <v>1232.56</v>
      </c>
      <c r="C362" s="205" t="s">
        <v>3001</v>
      </c>
      <c r="D362" s="205" t="s">
        <v>2140</v>
      </c>
      <c r="E362" s="205" t="s">
        <v>2588</v>
      </c>
    </row>
    <row r="363" spans="1:5" ht="15">
      <c r="A363" s="205" t="s">
        <v>1057</v>
      </c>
      <c r="B363" s="207">
        <v>1235.17</v>
      </c>
      <c r="C363" s="205" t="s">
        <v>3002</v>
      </c>
      <c r="D363" s="205" t="s">
        <v>1058</v>
      </c>
      <c r="E363" s="205" t="s">
        <v>2884</v>
      </c>
    </row>
    <row r="364" spans="1:5" ht="15">
      <c r="A364" s="205" t="s">
        <v>1666</v>
      </c>
      <c r="B364" s="207">
        <v>1237.3599999999999</v>
      </c>
      <c r="C364" s="205" t="s">
        <v>3003</v>
      </c>
      <c r="D364" s="205" t="s">
        <v>1667</v>
      </c>
      <c r="E364" s="205" t="s">
        <v>2705</v>
      </c>
    </row>
    <row r="365" spans="1:5" ht="15">
      <c r="A365" s="205" t="s">
        <v>428</v>
      </c>
      <c r="B365" s="207">
        <v>1238.72</v>
      </c>
      <c r="C365" s="205" t="s">
        <v>3004</v>
      </c>
      <c r="D365" s="205" t="s">
        <v>1470</v>
      </c>
      <c r="E365" s="205" t="s">
        <v>2534</v>
      </c>
    </row>
    <row r="366" spans="1:5" ht="15">
      <c r="A366" s="205" t="s">
        <v>1968</v>
      </c>
      <c r="B366" s="207">
        <v>1240.54</v>
      </c>
      <c r="C366" s="205" t="s">
        <v>3005</v>
      </c>
      <c r="D366" s="205" t="s">
        <v>1969</v>
      </c>
      <c r="E366" s="205" t="s">
        <v>2550</v>
      </c>
    </row>
    <row r="367" spans="1:5" ht="15">
      <c r="A367" s="205" t="s">
        <v>1467</v>
      </c>
      <c r="B367" s="207">
        <v>1241.54</v>
      </c>
      <c r="C367" s="205" t="s">
        <v>3006</v>
      </c>
      <c r="D367" s="205" t="s">
        <v>1468</v>
      </c>
      <c r="E367" s="205" t="s">
        <v>2534</v>
      </c>
    </row>
    <row r="368" spans="1:5" ht="15">
      <c r="A368" s="205">
        <v>81150</v>
      </c>
      <c r="B368" s="207">
        <v>1248.46</v>
      </c>
      <c r="C368" s="205" t="s">
        <v>3007</v>
      </c>
      <c r="D368" s="205" t="s">
        <v>2437</v>
      </c>
      <c r="E368" s="205" t="s">
        <v>2934</v>
      </c>
    </row>
    <row r="369" spans="1:5" ht="15">
      <c r="A369" s="205" t="s">
        <v>130</v>
      </c>
      <c r="B369" s="207">
        <v>1253.27</v>
      </c>
      <c r="C369" s="205" t="s">
        <v>3008</v>
      </c>
      <c r="D369" s="205" t="s">
        <v>2460</v>
      </c>
      <c r="E369" s="205" t="s">
        <v>2575</v>
      </c>
    </row>
    <row r="370" spans="1:5" ht="15">
      <c r="A370" s="205">
        <v>231958</v>
      </c>
      <c r="B370" s="207">
        <v>1260.5899999999999</v>
      </c>
      <c r="C370" s="205" t="s">
        <v>3009</v>
      </c>
      <c r="D370" s="205" t="s">
        <v>2135</v>
      </c>
      <c r="E370" s="205" t="s">
        <v>2588</v>
      </c>
    </row>
    <row r="371" spans="1:5" ht="15">
      <c r="A371" s="205" t="s">
        <v>1669</v>
      </c>
      <c r="B371" s="207">
        <v>1266.3599999999999</v>
      </c>
      <c r="C371" s="205" t="s">
        <v>3010</v>
      </c>
      <c r="D371" s="205" t="s">
        <v>1670</v>
      </c>
      <c r="E371" s="205" t="s">
        <v>2705</v>
      </c>
    </row>
    <row r="372" spans="1:5" ht="15">
      <c r="A372" s="205">
        <v>810009</v>
      </c>
      <c r="B372" s="207">
        <v>1270.83</v>
      </c>
      <c r="C372" s="205" t="s">
        <v>3011</v>
      </c>
      <c r="D372" s="205" t="s">
        <v>3012</v>
      </c>
      <c r="E372" s="205" t="s">
        <v>2820</v>
      </c>
    </row>
    <row r="373" spans="1:5" ht="15">
      <c r="A373" s="205">
        <v>35101</v>
      </c>
      <c r="B373" s="207">
        <v>1274.6300000000001</v>
      </c>
      <c r="C373" s="205" t="s">
        <v>3013</v>
      </c>
      <c r="D373" s="205" t="s">
        <v>1161</v>
      </c>
      <c r="E373" s="205" t="s">
        <v>2618</v>
      </c>
    </row>
    <row r="374" spans="1:5" ht="15">
      <c r="A374" s="205">
        <v>14493</v>
      </c>
      <c r="B374" s="207">
        <v>1276.5999999999999</v>
      </c>
      <c r="C374" s="205" t="s">
        <v>3014</v>
      </c>
      <c r="D374" s="205" t="s">
        <v>575</v>
      </c>
      <c r="E374" s="205" t="s">
        <v>2618</v>
      </c>
    </row>
    <row r="375" spans="1:5" ht="15">
      <c r="A375" s="205">
        <v>57471</v>
      </c>
      <c r="B375" s="207">
        <v>1279.72</v>
      </c>
      <c r="C375" s="205" t="s">
        <v>3015</v>
      </c>
      <c r="D375" s="205" t="s">
        <v>736</v>
      </c>
      <c r="E375" s="205" t="s">
        <v>2614</v>
      </c>
    </row>
    <row r="376" spans="1:5" ht="15">
      <c r="A376" s="205">
        <v>233948</v>
      </c>
      <c r="B376" s="207">
        <v>1282.18</v>
      </c>
      <c r="C376" s="205" t="s">
        <v>3016</v>
      </c>
      <c r="D376" s="205" t="s">
        <v>2194</v>
      </c>
      <c r="E376" s="205" t="s">
        <v>2618</v>
      </c>
    </row>
    <row r="377" spans="1:5" ht="15">
      <c r="A377" s="205">
        <v>162120</v>
      </c>
      <c r="B377" s="207">
        <v>1283.96</v>
      </c>
      <c r="C377" s="205" t="s">
        <v>3017</v>
      </c>
      <c r="D377" s="205" t="s">
        <v>1707</v>
      </c>
      <c r="E377" s="205" t="s">
        <v>2705</v>
      </c>
    </row>
    <row r="378" spans="1:5" ht="15">
      <c r="A378" s="205" t="s">
        <v>2209</v>
      </c>
      <c r="B378" s="207">
        <v>1289.3599999999999</v>
      </c>
      <c r="C378" s="205" t="s">
        <v>3018</v>
      </c>
      <c r="D378" s="205" t="s">
        <v>2211</v>
      </c>
      <c r="E378" s="205" t="s">
        <v>2588</v>
      </c>
    </row>
    <row r="379" spans="1:5" ht="15">
      <c r="A379" s="205">
        <v>810179</v>
      </c>
      <c r="B379" s="207">
        <v>1290.5899999999999</v>
      </c>
      <c r="C379" s="205" t="s">
        <v>3019</v>
      </c>
      <c r="D379" s="205" t="s">
        <v>3020</v>
      </c>
      <c r="E379" s="205" t="s">
        <v>2820</v>
      </c>
    </row>
    <row r="380" spans="1:5" ht="15">
      <c r="A380" s="205">
        <v>119962</v>
      </c>
      <c r="B380" s="207">
        <v>1295.1199999999999</v>
      </c>
      <c r="C380" s="205" t="s">
        <v>3021</v>
      </c>
      <c r="D380" s="205" t="s">
        <v>2090</v>
      </c>
      <c r="E380" s="205" t="s">
        <v>2588</v>
      </c>
    </row>
    <row r="381" spans="1:5" ht="15">
      <c r="A381" s="205" t="s">
        <v>964</v>
      </c>
      <c r="B381" s="207">
        <v>1295.6099999999999</v>
      </c>
      <c r="C381" s="205" t="s">
        <v>3022</v>
      </c>
      <c r="D381" s="205" t="s">
        <v>965</v>
      </c>
      <c r="E381" s="205" t="s">
        <v>3023</v>
      </c>
    </row>
    <row r="382" spans="1:5" ht="15">
      <c r="A382" s="205">
        <v>65630</v>
      </c>
      <c r="B382" s="207">
        <v>1297.78</v>
      </c>
      <c r="C382" s="205" t="s">
        <v>3024</v>
      </c>
      <c r="D382" s="205" t="s">
        <v>2409</v>
      </c>
      <c r="E382" s="205" t="s">
        <v>2820</v>
      </c>
    </row>
    <row r="383" spans="1:5" ht="15">
      <c r="A383" s="205" t="s">
        <v>923</v>
      </c>
      <c r="B383" s="207">
        <v>1298.6099999999999</v>
      </c>
      <c r="C383" s="205" t="s">
        <v>3025</v>
      </c>
      <c r="D383" s="205" t="s">
        <v>924</v>
      </c>
      <c r="E383" s="205" t="s">
        <v>2583</v>
      </c>
    </row>
    <row r="384" spans="1:5" ht="15">
      <c r="A384" s="205">
        <v>81000</v>
      </c>
      <c r="B384" s="207">
        <v>1302.27</v>
      </c>
      <c r="C384" s="205" t="s">
        <v>3026</v>
      </c>
      <c r="D384" s="205" t="s">
        <v>2412</v>
      </c>
      <c r="E384" s="205" t="s">
        <v>3027</v>
      </c>
    </row>
    <row r="385" spans="1:5" ht="15">
      <c r="A385" s="205">
        <v>95389</v>
      </c>
      <c r="B385" s="207">
        <v>1304.6600000000001</v>
      </c>
      <c r="C385" s="205" t="s">
        <v>3028</v>
      </c>
      <c r="D385" s="205" t="s">
        <v>756</v>
      </c>
      <c r="E385" s="205" t="s">
        <v>2603</v>
      </c>
    </row>
    <row r="386" spans="1:5" ht="15">
      <c r="A386" s="205" t="s">
        <v>1972</v>
      </c>
      <c r="B386" s="207">
        <v>1311.27</v>
      </c>
      <c r="C386" s="205" t="s">
        <v>3029</v>
      </c>
      <c r="D386" s="205" t="s">
        <v>1973</v>
      </c>
      <c r="E386" s="205" t="s">
        <v>3030</v>
      </c>
    </row>
    <row r="387" spans="1:5" ht="15">
      <c r="A387" s="205" t="s">
        <v>2025</v>
      </c>
      <c r="B387" s="207">
        <v>1312.67</v>
      </c>
      <c r="C387" s="205" t="s">
        <v>3031</v>
      </c>
      <c r="D387" s="205" t="s">
        <v>2026</v>
      </c>
      <c r="E387" s="205" t="s">
        <v>3032</v>
      </c>
    </row>
    <row r="388" spans="1:5" ht="15">
      <c r="A388" s="205">
        <v>5458</v>
      </c>
      <c r="B388" s="207">
        <v>1314.49</v>
      </c>
      <c r="C388" s="205" t="s">
        <v>3033</v>
      </c>
      <c r="D388" s="205" t="s">
        <v>1573</v>
      </c>
      <c r="E388" s="205" t="s">
        <v>2750</v>
      </c>
    </row>
    <row r="389" spans="1:5" ht="15">
      <c r="A389" s="205">
        <v>63751</v>
      </c>
      <c r="B389" s="207">
        <v>1314.6</v>
      </c>
      <c r="C389" s="205" t="s">
        <v>3034</v>
      </c>
      <c r="D389" s="205" t="s">
        <v>1190</v>
      </c>
      <c r="E389" s="205" t="s">
        <v>2618</v>
      </c>
    </row>
    <row r="390" spans="1:5" ht="15">
      <c r="A390" s="205">
        <v>66391</v>
      </c>
      <c r="B390" s="207">
        <v>1314.98</v>
      </c>
      <c r="C390" s="205" t="s">
        <v>3035</v>
      </c>
      <c r="D390" s="205" t="s">
        <v>1868</v>
      </c>
      <c r="E390" s="205" t="s">
        <v>2550</v>
      </c>
    </row>
    <row r="391" spans="1:5" ht="15">
      <c r="A391" s="205">
        <v>231934</v>
      </c>
      <c r="B391" s="207">
        <v>1316.4</v>
      </c>
      <c r="C391" s="205" t="s">
        <v>3036</v>
      </c>
      <c r="D391" s="205" t="s">
        <v>2119</v>
      </c>
      <c r="E391" s="205" t="s">
        <v>2588</v>
      </c>
    </row>
    <row r="392" spans="1:5" ht="15">
      <c r="A392" s="205">
        <v>231935</v>
      </c>
      <c r="B392" s="207">
        <v>1316.44</v>
      </c>
      <c r="C392" s="205" t="s">
        <v>3037</v>
      </c>
      <c r="D392" s="205" t="s">
        <v>2121</v>
      </c>
      <c r="E392" s="205" t="s">
        <v>2588</v>
      </c>
    </row>
    <row r="393" spans="1:5" ht="15">
      <c r="A393" s="205">
        <v>67301</v>
      </c>
      <c r="B393" s="207">
        <v>1318.7</v>
      </c>
      <c r="C393" s="205" t="s">
        <v>3038</v>
      </c>
      <c r="D393" s="205" t="s">
        <v>1219</v>
      </c>
      <c r="E393" s="205" t="s">
        <v>2550</v>
      </c>
    </row>
    <row r="394" spans="1:5" ht="15">
      <c r="A394" s="205" t="s">
        <v>2014</v>
      </c>
      <c r="B394" s="207">
        <v>1321.61</v>
      </c>
      <c r="C394" s="205" t="s">
        <v>3039</v>
      </c>
      <c r="D394" s="205" t="s">
        <v>2015</v>
      </c>
      <c r="E394" s="205" t="s">
        <v>3040</v>
      </c>
    </row>
    <row r="395" spans="1:5" ht="15">
      <c r="A395" s="205">
        <v>81017</v>
      </c>
      <c r="B395" s="207">
        <v>1325.58</v>
      </c>
      <c r="C395" s="205" t="s">
        <v>3041</v>
      </c>
      <c r="D395" s="205" t="s">
        <v>2414</v>
      </c>
      <c r="E395" s="205" t="s">
        <v>3027</v>
      </c>
    </row>
    <row r="396" spans="1:5" ht="15">
      <c r="A396" s="205">
        <v>200000</v>
      </c>
      <c r="B396" s="207">
        <v>1328.41</v>
      </c>
      <c r="C396" s="205" t="s">
        <v>3042</v>
      </c>
      <c r="D396" s="205" t="s">
        <v>1636</v>
      </c>
      <c r="E396" s="205" t="s">
        <v>2705</v>
      </c>
    </row>
    <row r="397" spans="1:5" ht="15">
      <c r="A397" s="205">
        <v>810409</v>
      </c>
      <c r="B397" s="207">
        <v>1331.37</v>
      </c>
      <c r="C397" s="205" t="s">
        <v>3043</v>
      </c>
      <c r="D397" s="205" t="s">
        <v>3044</v>
      </c>
      <c r="E397" s="205" t="s">
        <v>2820</v>
      </c>
    </row>
    <row r="398" spans="1:5" ht="15">
      <c r="A398" s="205">
        <v>8310</v>
      </c>
      <c r="B398" s="207">
        <v>1334.69</v>
      </c>
      <c r="C398" s="205" t="s">
        <v>3045</v>
      </c>
      <c r="D398" s="205" t="s">
        <v>1548</v>
      </c>
      <c r="E398" s="205" t="s">
        <v>2750</v>
      </c>
    </row>
    <row r="399" spans="1:5" ht="15">
      <c r="A399" s="205" t="s">
        <v>1975</v>
      </c>
      <c r="B399" s="207">
        <v>1338.2</v>
      </c>
      <c r="C399" s="205" t="s">
        <v>3046</v>
      </c>
      <c r="D399" s="205" t="s">
        <v>1976</v>
      </c>
      <c r="E399" s="205" t="s">
        <v>2807</v>
      </c>
    </row>
    <row r="400" spans="1:5" ht="15">
      <c r="A400" s="205">
        <v>69000</v>
      </c>
      <c r="B400" s="207">
        <v>1338.21</v>
      </c>
      <c r="C400" s="205" t="s">
        <v>3047</v>
      </c>
      <c r="D400" s="205" t="s">
        <v>2424</v>
      </c>
      <c r="E400" s="205" t="s">
        <v>2719</v>
      </c>
    </row>
    <row r="401" spans="1:5" ht="15">
      <c r="A401" s="205">
        <v>231939</v>
      </c>
      <c r="B401" s="207">
        <v>1346.53</v>
      </c>
      <c r="C401" s="205" t="s">
        <v>3048</v>
      </c>
      <c r="D401" s="205" t="s">
        <v>2125</v>
      </c>
      <c r="E401" s="205" t="s">
        <v>2588</v>
      </c>
    </row>
    <row r="402" spans="1:5" ht="15">
      <c r="A402" s="205">
        <v>810579</v>
      </c>
      <c r="B402" s="207">
        <v>1352.63</v>
      </c>
      <c r="C402" s="205" t="s">
        <v>3049</v>
      </c>
      <c r="D402" s="205" t="s">
        <v>3050</v>
      </c>
      <c r="E402" s="205" t="s">
        <v>2820</v>
      </c>
    </row>
    <row r="403" spans="1:5" ht="15">
      <c r="A403" s="205">
        <v>157800</v>
      </c>
      <c r="B403" s="207">
        <v>1353.88</v>
      </c>
      <c r="C403" s="205" t="s">
        <v>3051</v>
      </c>
      <c r="D403" s="205" t="s">
        <v>1715</v>
      </c>
      <c r="E403" s="205" t="s">
        <v>2705</v>
      </c>
    </row>
    <row r="404" spans="1:5" ht="15">
      <c r="A404" s="205" t="s">
        <v>855</v>
      </c>
      <c r="B404" s="207">
        <v>1358.92</v>
      </c>
      <c r="C404" s="205" t="s">
        <v>3052</v>
      </c>
      <c r="D404" s="205" t="s">
        <v>856</v>
      </c>
      <c r="E404" s="205" t="s">
        <v>2575</v>
      </c>
    </row>
    <row r="405" spans="1:5" ht="15">
      <c r="A405" s="205">
        <v>60273</v>
      </c>
      <c r="B405" s="207">
        <v>1359.03</v>
      </c>
      <c r="C405" s="205" t="s">
        <v>3053</v>
      </c>
      <c r="D405" s="205" t="s">
        <v>778</v>
      </c>
      <c r="E405" s="205" t="s">
        <v>2614</v>
      </c>
    </row>
    <row r="406" spans="1:5" ht="15">
      <c r="A406" s="205">
        <v>810809</v>
      </c>
      <c r="B406" s="207">
        <v>1362.55</v>
      </c>
      <c r="C406" s="205" t="s">
        <v>3054</v>
      </c>
      <c r="D406" s="205" t="s">
        <v>2420</v>
      </c>
      <c r="E406" s="205" t="s">
        <v>2820</v>
      </c>
    </row>
    <row r="407" spans="1:5" ht="15">
      <c r="A407" s="205">
        <v>810979</v>
      </c>
      <c r="B407" s="207">
        <v>1364.58</v>
      </c>
      <c r="C407" s="205" t="s">
        <v>3055</v>
      </c>
      <c r="D407" s="205" t="s">
        <v>2422</v>
      </c>
      <c r="E407" s="205" t="s">
        <v>2820</v>
      </c>
    </row>
    <row r="408" spans="1:5" ht="15">
      <c r="A408" s="205">
        <v>81040</v>
      </c>
      <c r="B408" s="207">
        <v>1374.17</v>
      </c>
      <c r="C408" s="205" t="s">
        <v>3056</v>
      </c>
      <c r="D408" s="205" t="s">
        <v>2416</v>
      </c>
      <c r="E408" s="205" t="s">
        <v>3027</v>
      </c>
    </row>
    <row r="409" spans="1:5" ht="15">
      <c r="A409" s="205">
        <v>17540</v>
      </c>
      <c r="B409" s="207">
        <v>1378.17</v>
      </c>
      <c r="C409" s="205" t="s">
        <v>3057</v>
      </c>
      <c r="D409" s="205" t="s">
        <v>2403</v>
      </c>
      <c r="E409" s="205" t="s">
        <v>2820</v>
      </c>
    </row>
    <row r="410" spans="1:5" ht="15">
      <c r="A410" s="205">
        <v>233916</v>
      </c>
      <c r="B410" s="207">
        <v>1386.23</v>
      </c>
      <c r="C410" s="205" t="s">
        <v>3058</v>
      </c>
      <c r="D410" s="205" t="s">
        <v>2170</v>
      </c>
      <c r="E410" s="205" t="s">
        <v>2534</v>
      </c>
    </row>
    <row r="411" spans="1:5" ht="15">
      <c r="A411" s="205">
        <v>1805</v>
      </c>
      <c r="B411" s="207">
        <v>1386.73</v>
      </c>
      <c r="C411" s="205" t="s">
        <v>3059</v>
      </c>
      <c r="D411" s="205" t="s">
        <v>718</v>
      </c>
      <c r="E411" s="205" t="s">
        <v>2616</v>
      </c>
    </row>
    <row r="412" spans="1:5" ht="15">
      <c r="A412" s="205">
        <v>1984</v>
      </c>
      <c r="B412" s="207">
        <v>1389.9</v>
      </c>
      <c r="C412" s="205" t="s">
        <v>3060</v>
      </c>
      <c r="D412" s="205" t="s">
        <v>1546</v>
      </c>
      <c r="E412" s="205" t="s">
        <v>3061</v>
      </c>
    </row>
    <row r="413" spans="1:5" ht="15">
      <c r="A413" s="205">
        <v>71100</v>
      </c>
      <c r="B413" s="207">
        <v>1394.89</v>
      </c>
      <c r="C413" s="205" t="s">
        <v>3062</v>
      </c>
      <c r="D413" s="205" t="s">
        <v>1794</v>
      </c>
      <c r="E413" s="205" t="s">
        <v>2575</v>
      </c>
    </row>
    <row r="414" spans="1:5" ht="15">
      <c r="A414" s="205">
        <v>81057</v>
      </c>
      <c r="B414" s="207">
        <v>1402.81</v>
      </c>
      <c r="C414" s="205" t="s">
        <v>3063</v>
      </c>
      <c r="D414" s="205" t="s">
        <v>2418</v>
      </c>
      <c r="E414" s="205" t="s">
        <v>3027</v>
      </c>
    </row>
    <row r="415" spans="1:5" ht="15">
      <c r="A415" s="205">
        <v>65111</v>
      </c>
      <c r="B415" s="207">
        <v>1403.61</v>
      </c>
      <c r="C415" s="205" t="s">
        <v>3064</v>
      </c>
      <c r="D415" s="205" t="s">
        <v>2428</v>
      </c>
      <c r="E415" s="205" t="s">
        <v>2534</v>
      </c>
    </row>
    <row r="416" spans="1:5" ht="15">
      <c r="A416" s="205">
        <v>81080</v>
      </c>
      <c r="B416" s="207">
        <v>1411.37</v>
      </c>
      <c r="C416" s="205" t="s">
        <v>3065</v>
      </c>
      <c r="D416" s="205" t="s">
        <v>3066</v>
      </c>
      <c r="E416" s="205" t="s">
        <v>3027</v>
      </c>
    </row>
    <row r="417" spans="1:5" ht="15">
      <c r="A417" s="205">
        <v>52108</v>
      </c>
      <c r="B417" s="207">
        <v>1412.67</v>
      </c>
      <c r="C417" s="205" t="s">
        <v>3067</v>
      </c>
      <c r="D417" s="205" t="s">
        <v>687</v>
      </c>
      <c r="E417" s="205" t="s">
        <v>2575</v>
      </c>
    </row>
    <row r="418" spans="1:5" ht="15">
      <c r="A418" s="205">
        <v>81097</v>
      </c>
      <c r="B418" s="207">
        <v>1416.77</v>
      </c>
      <c r="C418" s="205" t="s">
        <v>3068</v>
      </c>
      <c r="D418" s="205" t="s">
        <v>3069</v>
      </c>
      <c r="E418" s="205" t="s">
        <v>3027</v>
      </c>
    </row>
    <row r="419" spans="1:5" ht="15">
      <c r="A419" s="205">
        <v>43900</v>
      </c>
      <c r="B419" s="207">
        <v>1420.73</v>
      </c>
      <c r="C419" s="205" t="s">
        <v>3070</v>
      </c>
      <c r="D419" s="205" t="s">
        <v>1180</v>
      </c>
      <c r="E419" s="205" t="s">
        <v>2618</v>
      </c>
    </row>
    <row r="420" spans="1:5" ht="15">
      <c r="A420" s="205">
        <v>1804</v>
      </c>
      <c r="B420" s="207">
        <v>1423.2</v>
      </c>
      <c r="C420" s="205" t="s">
        <v>3071</v>
      </c>
      <c r="D420" s="205" t="s">
        <v>716</v>
      </c>
      <c r="E420" s="205" t="s">
        <v>2616</v>
      </c>
    </row>
    <row r="421" spans="1:5" ht="15">
      <c r="A421" s="205">
        <v>40631</v>
      </c>
      <c r="B421" s="207">
        <v>1429.99</v>
      </c>
      <c r="C421" s="205" t="s">
        <v>3072</v>
      </c>
      <c r="D421" s="205" t="s">
        <v>1172</v>
      </c>
      <c r="E421" s="205" t="s">
        <v>2618</v>
      </c>
    </row>
    <row r="422" spans="1:5" ht="15">
      <c r="A422" s="205" t="s">
        <v>144</v>
      </c>
      <c r="B422" s="207">
        <v>1432.38</v>
      </c>
      <c r="C422" s="205" t="s">
        <v>3073</v>
      </c>
      <c r="D422" s="205" t="s">
        <v>879</v>
      </c>
      <c r="E422" s="205" t="s">
        <v>2578</v>
      </c>
    </row>
    <row r="423" spans="1:5" ht="15">
      <c r="A423" s="205">
        <v>12526</v>
      </c>
      <c r="B423" s="207">
        <v>1435.97</v>
      </c>
      <c r="C423" s="205" t="s">
        <v>3074</v>
      </c>
      <c r="D423" s="205" t="s">
        <v>570</v>
      </c>
      <c r="E423" s="205" t="s">
        <v>2618</v>
      </c>
    </row>
    <row r="424" spans="1:5" ht="15">
      <c r="A424" s="205">
        <v>42710</v>
      </c>
      <c r="B424" s="207">
        <v>1443.68</v>
      </c>
      <c r="C424" s="205" t="s">
        <v>3075</v>
      </c>
      <c r="D424" s="205" t="s">
        <v>1176</v>
      </c>
      <c r="E424" s="205" t="s">
        <v>2618</v>
      </c>
    </row>
    <row r="425" spans="1:5" ht="15">
      <c r="A425" s="205">
        <v>62002</v>
      </c>
      <c r="B425" s="207">
        <v>1449.39</v>
      </c>
      <c r="C425" s="205" t="s">
        <v>3076</v>
      </c>
      <c r="D425" s="205" t="s">
        <v>1184</v>
      </c>
      <c r="E425" s="205" t="s">
        <v>2618</v>
      </c>
    </row>
    <row r="426" spans="1:5" ht="15">
      <c r="A426" s="205">
        <v>1798</v>
      </c>
      <c r="B426" s="207">
        <v>1453.32</v>
      </c>
      <c r="C426" s="205" t="s">
        <v>3077</v>
      </c>
      <c r="D426" s="205" t="s">
        <v>1539</v>
      </c>
      <c r="E426" s="205" t="s">
        <v>3061</v>
      </c>
    </row>
    <row r="427" spans="1:5" ht="15">
      <c r="A427" s="205" t="s">
        <v>1395</v>
      </c>
      <c r="B427" s="207">
        <v>1457.14</v>
      </c>
      <c r="C427" s="205" t="s">
        <v>3078</v>
      </c>
      <c r="D427" s="205" t="s">
        <v>1396</v>
      </c>
      <c r="E427" s="205" t="s">
        <v>2540</v>
      </c>
    </row>
    <row r="428" spans="1:5" ht="15">
      <c r="A428" s="205">
        <v>3788</v>
      </c>
      <c r="B428" s="207">
        <v>1460.25</v>
      </c>
      <c r="C428" s="205" t="s">
        <v>3079</v>
      </c>
      <c r="D428" s="205" t="s">
        <v>1534</v>
      </c>
      <c r="E428" s="205" t="s">
        <v>2578</v>
      </c>
    </row>
    <row r="429" spans="1:5" ht="15">
      <c r="A429" s="205">
        <v>73070</v>
      </c>
      <c r="B429" s="207">
        <v>1460.39</v>
      </c>
      <c r="C429" s="205" t="s">
        <v>3080</v>
      </c>
      <c r="D429" s="205" t="s">
        <v>730</v>
      </c>
      <c r="E429" s="205" t="s">
        <v>2616</v>
      </c>
    </row>
    <row r="430" spans="1:5" ht="15">
      <c r="A430" s="205" t="s">
        <v>1485</v>
      </c>
      <c r="B430" s="207">
        <v>1461.71</v>
      </c>
      <c r="C430" s="205" t="s">
        <v>3081</v>
      </c>
      <c r="D430" s="205" t="s">
        <v>1486</v>
      </c>
      <c r="E430" s="205" t="s">
        <v>2583</v>
      </c>
    </row>
    <row r="431" spans="1:5" ht="15">
      <c r="A431" s="205" t="s">
        <v>1481</v>
      </c>
      <c r="B431" s="207">
        <v>1466.88</v>
      </c>
      <c r="C431" s="205" t="s">
        <v>3082</v>
      </c>
      <c r="D431" s="205" t="s">
        <v>1482</v>
      </c>
      <c r="E431" s="205" t="s">
        <v>2583</v>
      </c>
    </row>
    <row r="432" spans="1:5" ht="15">
      <c r="A432" s="205" t="s">
        <v>2008</v>
      </c>
      <c r="B432" s="207">
        <v>1476.32</v>
      </c>
      <c r="C432" s="205" t="s">
        <v>3083</v>
      </c>
      <c r="D432" s="205" t="s">
        <v>3084</v>
      </c>
      <c r="E432" s="205" t="s">
        <v>3030</v>
      </c>
    </row>
    <row r="433" spans="1:5" ht="15">
      <c r="A433" s="205" t="s">
        <v>1704</v>
      </c>
      <c r="B433" s="207">
        <v>1504.06</v>
      </c>
      <c r="C433" s="205" t="s">
        <v>3085</v>
      </c>
      <c r="D433" s="205" t="s">
        <v>1705</v>
      </c>
      <c r="E433" s="205" t="s">
        <v>2705</v>
      </c>
    </row>
    <row r="434" spans="1:5" ht="15">
      <c r="A434" s="205">
        <v>8325</v>
      </c>
      <c r="B434" s="207">
        <v>1508.31</v>
      </c>
      <c r="C434" s="205" t="s">
        <v>3086</v>
      </c>
      <c r="D434" s="205" t="s">
        <v>1550</v>
      </c>
      <c r="E434" s="205" t="s">
        <v>2583</v>
      </c>
    </row>
    <row r="435" spans="1:5" ht="15">
      <c r="A435" s="205">
        <v>63380</v>
      </c>
      <c r="B435" s="207">
        <v>1520.07</v>
      </c>
      <c r="C435" s="205" t="s">
        <v>3087</v>
      </c>
      <c r="D435" s="205" t="s">
        <v>2360</v>
      </c>
      <c r="E435" s="205" t="s">
        <v>2616</v>
      </c>
    </row>
    <row r="436" spans="1:5" ht="15">
      <c r="A436" s="205" t="s">
        <v>1391</v>
      </c>
      <c r="B436" s="207">
        <v>1526.92</v>
      </c>
      <c r="C436" s="205" t="s">
        <v>3088</v>
      </c>
      <c r="D436" s="205" t="s">
        <v>1392</v>
      </c>
      <c r="E436" s="205" t="s">
        <v>2614</v>
      </c>
    </row>
    <row r="437" spans="1:5" ht="15">
      <c r="A437" s="205">
        <v>169240</v>
      </c>
      <c r="B437" s="207">
        <v>1541.79</v>
      </c>
      <c r="C437" s="205" t="s">
        <v>3089</v>
      </c>
      <c r="D437" s="205" t="s">
        <v>1677</v>
      </c>
      <c r="E437" s="205" t="s">
        <v>2927</v>
      </c>
    </row>
    <row r="438" spans="1:5" ht="15">
      <c r="A438" s="205" t="s">
        <v>1406</v>
      </c>
      <c r="B438" s="207">
        <v>1546.85</v>
      </c>
      <c r="C438" s="205" t="s">
        <v>3090</v>
      </c>
      <c r="D438" s="205" t="s">
        <v>1407</v>
      </c>
      <c r="E438" s="205" t="s">
        <v>2534</v>
      </c>
    </row>
    <row r="439" spans="1:5" ht="15">
      <c r="A439" s="205" t="s">
        <v>387</v>
      </c>
      <c r="B439" s="207">
        <v>1562.83</v>
      </c>
      <c r="C439" s="205" t="s">
        <v>3091</v>
      </c>
      <c r="D439" s="205" t="s">
        <v>1282</v>
      </c>
      <c r="E439" s="205" t="s">
        <v>2540</v>
      </c>
    </row>
    <row r="440" spans="1:5" ht="15">
      <c r="A440" s="205">
        <v>62001</v>
      </c>
      <c r="B440" s="207">
        <v>1580.83</v>
      </c>
      <c r="C440" s="205" t="s">
        <v>3092</v>
      </c>
      <c r="D440" s="205" t="s">
        <v>1182</v>
      </c>
      <c r="E440" s="205" t="s">
        <v>2618</v>
      </c>
    </row>
    <row r="441" spans="1:5" ht="15">
      <c r="A441" s="205">
        <v>62003</v>
      </c>
      <c r="B441" s="207">
        <v>1587.97</v>
      </c>
      <c r="C441" s="205" t="s">
        <v>3093</v>
      </c>
      <c r="D441" s="205" t="s">
        <v>1186</v>
      </c>
      <c r="E441" s="205" t="s">
        <v>2618</v>
      </c>
    </row>
    <row r="442" spans="1:5" ht="15">
      <c r="A442" s="205">
        <v>6650</v>
      </c>
      <c r="B442" s="207">
        <v>1590.41</v>
      </c>
      <c r="C442" s="205" t="s">
        <v>3094</v>
      </c>
      <c r="D442" s="205" t="s">
        <v>1576</v>
      </c>
      <c r="E442" s="205" t="s">
        <v>3061</v>
      </c>
    </row>
    <row r="443" spans="1:5" ht="15">
      <c r="A443" s="205" t="s">
        <v>252</v>
      </c>
      <c r="B443" s="207">
        <v>1590.54</v>
      </c>
      <c r="C443" s="205" t="s">
        <v>3095</v>
      </c>
      <c r="D443" s="205" t="s">
        <v>817</v>
      </c>
      <c r="E443" s="205" t="s">
        <v>2665</v>
      </c>
    </row>
    <row r="444" spans="1:5" ht="15">
      <c r="A444" s="205">
        <v>203002</v>
      </c>
      <c r="B444" s="207">
        <v>1593.65</v>
      </c>
      <c r="C444" s="205" t="s">
        <v>3096</v>
      </c>
      <c r="D444" s="205" t="s">
        <v>2092</v>
      </c>
      <c r="E444" s="205" t="s">
        <v>2588</v>
      </c>
    </row>
    <row r="445" spans="1:5" ht="15">
      <c r="A445" s="205" t="s">
        <v>1455</v>
      </c>
      <c r="B445" s="207">
        <v>1601.46</v>
      </c>
      <c r="C445" s="205" t="s">
        <v>3097</v>
      </c>
      <c r="D445" s="205" t="s">
        <v>1456</v>
      </c>
      <c r="E445" s="205" t="s">
        <v>2578</v>
      </c>
    </row>
    <row r="446" spans="1:5" ht="15">
      <c r="A446" s="205">
        <v>233936</v>
      </c>
      <c r="B446" s="207">
        <v>1609.25</v>
      </c>
      <c r="C446" s="205" t="s">
        <v>3098</v>
      </c>
      <c r="D446" s="205" t="s">
        <v>2235</v>
      </c>
      <c r="E446" s="205" t="s">
        <v>2635</v>
      </c>
    </row>
    <row r="447" spans="1:5" ht="15">
      <c r="A447" s="205" t="s">
        <v>241</v>
      </c>
      <c r="B447" s="207">
        <v>1620.33</v>
      </c>
      <c r="C447" s="205" t="s">
        <v>3099</v>
      </c>
      <c r="D447" s="205" t="s">
        <v>793</v>
      </c>
      <c r="E447" s="205" t="s">
        <v>2578</v>
      </c>
    </row>
    <row r="448" spans="1:5" ht="15">
      <c r="A448" s="205">
        <v>8340</v>
      </c>
      <c r="B448" s="207">
        <v>1622.37</v>
      </c>
      <c r="C448" s="205" t="s">
        <v>3100</v>
      </c>
      <c r="D448" s="205" t="s">
        <v>1552</v>
      </c>
      <c r="E448" s="205" t="s">
        <v>2750</v>
      </c>
    </row>
    <row r="449" spans="1:5" ht="15">
      <c r="A449" s="205">
        <v>200070</v>
      </c>
      <c r="B449" s="207">
        <v>1630.49</v>
      </c>
      <c r="C449" s="205" t="s">
        <v>3101</v>
      </c>
      <c r="D449" s="205" t="s">
        <v>1639</v>
      </c>
      <c r="E449" s="205" t="s">
        <v>2705</v>
      </c>
    </row>
    <row r="450" spans="1:5" ht="15">
      <c r="A450" s="205">
        <v>63311</v>
      </c>
      <c r="B450" s="207">
        <v>1635.06</v>
      </c>
      <c r="C450" s="205" t="s">
        <v>3102</v>
      </c>
      <c r="D450" s="205" t="s">
        <v>1188</v>
      </c>
      <c r="E450" s="205" t="s">
        <v>2618</v>
      </c>
    </row>
    <row r="451" spans="1:5" ht="15">
      <c r="A451" s="205" t="s">
        <v>1448</v>
      </c>
      <c r="B451" s="207">
        <v>1642.21</v>
      </c>
      <c r="C451" s="205" t="s">
        <v>3103</v>
      </c>
      <c r="D451" s="205" t="s">
        <v>1449</v>
      </c>
      <c r="E451" s="205" t="s">
        <v>2578</v>
      </c>
    </row>
    <row r="452" spans="1:5" ht="15">
      <c r="A452" s="205" t="s">
        <v>1784</v>
      </c>
      <c r="B452" s="207">
        <v>1648.57</v>
      </c>
      <c r="C452" s="205" t="s">
        <v>3104</v>
      </c>
      <c r="D452" s="205" t="s">
        <v>1785</v>
      </c>
      <c r="E452" s="205" t="s">
        <v>2847</v>
      </c>
    </row>
    <row r="453" spans="1:5" ht="15">
      <c r="A453" s="205" t="s">
        <v>389</v>
      </c>
      <c r="B453" s="207">
        <v>1663.57</v>
      </c>
      <c r="C453" s="205" t="s">
        <v>3105</v>
      </c>
      <c r="D453" s="205" t="s">
        <v>1286</v>
      </c>
      <c r="E453" s="205" t="s">
        <v>2540</v>
      </c>
    </row>
    <row r="454" spans="1:5" ht="15">
      <c r="A454" s="205">
        <v>1898</v>
      </c>
      <c r="B454" s="207">
        <v>1669.33</v>
      </c>
      <c r="C454" s="205" t="s">
        <v>3106</v>
      </c>
      <c r="D454" s="205" t="s">
        <v>1542</v>
      </c>
      <c r="E454" s="205" t="s">
        <v>3061</v>
      </c>
    </row>
    <row r="455" spans="1:5" ht="15">
      <c r="A455" s="205" t="s">
        <v>290</v>
      </c>
      <c r="B455" s="207">
        <v>1670.3</v>
      </c>
      <c r="C455" s="205" t="s">
        <v>3107</v>
      </c>
      <c r="D455" s="205" t="s">
        <v>1007</v>
      </c>
      <c r="E455" s="205" t="s">
        <v>2562</v>
      </c>
    </row>
    <row r="456" spans="1:5" ht="15">
      <c r="A456" s="205">
        <v>200350</v>
      </c>
      <c r="B456" s="207">
        <v>1680.44</v>
      </c>
      <c r="C456" s="205" t="s">
        <v>3108</v>
      </c>
      <c r="D456" s="205" t="s">
        <v>1645</v>
      </c>
      <c r="E456" s="205" t="s">
        <v>2705</v>
      </c>
    </row>
    <row r="457" spans="1:5" ht="15">
      <c r="A457" s="205">
        <v>79480</v>
      </c>
      <c r="B457" s="207">
        <v>1683.77</v>
      </c>
      <c r="C457" s="205" t="s">
        <v>3109</v>
      </c>
      <c r="D457" s="205" t="s">
        <v>1818</v>
      </c>
      <c r="E457" s="205" t="s">
        <v>2892</v>
      </c>
    </row>
    <row r="458" spans="1:5" ht="15">
      <c r="A458" s="205">
        <v>8370</v>
      </c>
      <c r="B458" s="207">
        <v>1700.34</v>
      </c>
      <c r="C458" s="205" t="s">
        <v>3110</v>
      </c>
      <c r="D458" s="205" t="s">
        <v>1556</v>
      </c>
      <c r="E458" s="205" t="s">
        <v>2750</v>
      </c>
    </row>
    <row r="459" spans="1:5" ht="15">
      <c r="A459" s="205" t="s">
        <v>2432</v>
      </c>
      <c r="B459" s="207">
        <v>1711</v>
      </c>
      <c r="C459" s="205" t="s">
        <v>3111</v>
      </c>
      <c r="D459" s="205" t="s">
        <v>2433</v>
      </c>
      <c r="E459" s="205" t="s">
        <v>2616</v>
      </c>
    </row>
    <row r="460" spans="1:5" ht="15">
      <c r="A460" s="205" t="s">
        <v>1294</v>
      </c>
      <c r="B460" s="207">
        <v>1736.13</v>
      </c>
      <c r="C460" s="205" t="s">
        <v>3112</v>
      </c>
      <c r="D460" s="205" t="s">
        <v>1295</v>
      </c>
      <c r="E460" s="205" t="s">
        <v>2540</v>
      </c>
    </row>
    <row r="461" spans="1:5" ht="15">
      <c r="A461" s="205">
        <v>59632</v>
      </c>
      <c r="B461" s="207">
        <v>1738.73</v>
      </c>
      <c r="C461" s="205" t="s">
        <v>3113</v>
      </c>
      <c r="D461" s="205" t="s">
        <v>770</v>
      </c>
      <c r="E461" s="205" t="s">
        <v>2540</v>
      </c>
    </row>
    <row r="462" spans="1:5" ht="15">
      <c r="A462" s="205">
        <v>1943</v>
      </c>
      <c r="B462" s="207">
        <v>1751.24</v>
      </c>
      <c r="C462" s="205" t="s">
        <v>3114</v>
      </c>
      <c r="D462" s="205" t="s">
        <v>1544</v>
      </c>
      <c r="E462" s="205" t="s">
        <v>3061</v>
      </c>
    </row>
    <row r="463" spans="1:5" ht="15">
      <c r="A463" s="205" t="s">
        <v>1787</v>
      </c>
      <c r="B463" s="207">
        <v>1762.55</v>
      </c>
      <c r="C463" s="205" t="s">
        <v>3115</v>
      </c>
      <c r="D463" s="205" t="s">
        <v>1788</v>
      </c>
      <c r="E463" s="205" t="s">
        <v>2847</v>
      </c>
    </row>
    <row r="464" spans="1:5" ht="15">
      <c r="A464" s="205">
        <v>161130</v>
      </c>
      <c r="B464" s="207">
        <v>1765.66</v>
      </c>
      <c r="C464" s="205" t="s">
        <v>3116</v>
      </c>
      <c r="D464" s="205" t="s">
        <v>1842</v>
      </c>
      <c r="E464" s="205" t="s">
        <v>2575</v>
      </c>
    </row>
    <row r="465" spans="1:5" ht="15">
      <c r="A465" s="205">
        <v>5425</v>
      </c>
      <c r="B465" s="207">
        <v>1777.16</v>
      </c>
      <c r="C465" s="205" t="s">
        <v>3117</v>
      </c>
      <c r="D465" s="205" t="s">
        <v>1570</v>
      </c>
      <c r="E465" s="205" t="s">
        <v>2578</v>
      </c>
    </row>
    <row r="466" spans="1:5" ht="15">
      <c r="A466" s="205">
        <v>6513</v>
      </c>
      <c r="B466" s="207">
        <v>1777.96</v>
      </c>
      <c r="C466" s="205" t="s">
        <v>3118</v>
      </c>
      <c r="D466" s="205" t="s">
        <v>1562</v>
      </c>
      <c r="E466" s="205" t="s">
        <v>3119</v>
      </c>
    </row>
    <row r="467" spans="1:5" ht="15">
      <c r="A467" s="205" t="s">
        <v>2300</v>
      </c>
      <c r="B467" s="207">
        <v>1780.12</v>
      </c>
      <c r="C467" s="205" t="s">
        <v>3120</v>
      </c>
      <c r="D467" s="205" t="s">
        <v>2301</v>
      </c>
      <c r="E467" s="205" t="s">
        <v>2616</v>
      </c>
    </row>
    <row r="468" spans="1:5" ht="15">
      <c r="A468" s="205">
        <v>65680</v>
      </c>
      <c r="B468" s="207">
        <v>1781.4</v>
      </c>
      <c r="C468" s="205" t="s">
        <v>3121</v>
      </c>
      <c r="D468" s="205" t="s">
        <v>2370</v>
      </c>
      <c r="E468" s="205" t="s">
        <v>2661</v>
      </c>
    </row>
    <row r="469" spans="1:5" ht="15">
      <c r="A469" s="205">
        <v>231914</v>
      </c>
      <c r="B469" s="207">
        <v>1787.08</v>
      </c>
      <c r="C469" s="205" t="s">
        <v>3122</v>
      </c>
      <c r="D469" s="205" t="s">
        <v>2115</v>
      </c>
      <c r="E469" s="205" t="s">
        <v>2534</v>
      </c>
    </row>
    <row r="470" spans="1:5" ht="15">
      <c r="A470" s="205" t="s">
        <v>839</v>
      </c>
      <c r="B470" s="207">
        <v>1801.02</v>
      </c>
      <c r="C470" s="205" t="s">
        <v>3123</v>
      </c>
      <c r="D470" s="205" t="s">
        <v>840</v>
      </c>
      <c r="E470" s="205" t="s">
        <v>2578</v>
      </c>
    </row>
    <row r="471" spans="1:5" ht="15">
      <c r="A471" s="205">
        <v>97000</v>
      </c>
      <c r="B471" s="207">
        <v>1803.46</v>
      </c>
      <c r="C471" s="205" t="s">
        <v>3124</v>
      </c>
      <c r="D471" s="205" t="s">
        <v>732</v>
      </c>
      <c r="E471" s="205" t="s">
        <v>3125</v>
      </c>
    </row>
    <row r="472" spans="1:5" ht="15">
      <c r="A472" s="205">
        <v>65101</v>
      </c>
      <c r="B472" s="207">
        <v>1875.26</v>
      </c>
      <c r="C472" s="205" t="s">
        <v>3126</v>
      </c>
      <c r="D472" s="205" t="s">
        <v>2366</v>
      </c>
      <c r="E472" s="205" t="s">
        <v>2616</v>
      </c>
    </row>
    <row r="473" spans="1:5" ht="15">
      <c r="A473" s="205">
        <v>59636</v>
      </c>
      <c r="B473" s="207">
        <v>1896.72</v>
      </c>
      <c r="C473" s="205" t="s">
        <v>3127</v>
      </c>
      <c r="D473" s="205" t="s">
        <v>761</v>
      </c>
      <c r="E473" s="205" t="s">
        <v>2578</v>
      </c>
    </row>
    <row r="474" spans="1:5" ht="15">
      <c r="A474" s="205">
        <v>231937</v>
      </c>
      <c r="B474" s="207">
        <v>1960.1</v>
      </c>
      <c r="C474" s="205" t="s">
        <v>3128</v>
      </c>
      <c r="D474" s="205" t="s">
        <v>2123</v>
      </c>
      <c r="E474" s="205" t="s">
        <v>2618</v>
      </c>
    </row>
    <row r="475" spans="1:5" ht="15">
      <c r="A475" s="205">
        <v>35100</v>
      </c>
      <c r="B475" s="207">
        <v>1983.22</v>
      </c>
      <c r="C475" s="205" t="s">
        <v>3129</v>
      </c>
      <c r="D475" s="205" t="s">
        <v>1198</v>
      </c>
      <c r="E475" s="205" t="s">
        <v>2540</v>
      </c>
    </row>
    <row r="476" spans="1:5" ht="15">
      <c r="A476" s="205" t="s">
        <v>199</v>
      </c>
      <c r="B476" s="207">
        <v>1993.46</v>
      </c>
      <c r="C476" s="205" t="s">
        <v>3130</v>
      </c>
      <c r="D476" s="205" t="s">
        <v>887</v>
      </c>
      <c r="E476" s="205" t="s">
        <v>2578</v>
      </c>
    </row>
    <row r="477" spans="1:5" ht="15">
      <c r="A477" s="205">
        <v>232940</v>
      </c>
      <c r="B477" s="207">
        <v>2021.28</v>
      </c>
      <c r="C477" s="205" t="s">
        <v>3131</v>
      </c>
      <c r="D477" s="205" t="s">
        <v>2153</v>
      </c>
      <c r="E477" s="205" t="s">
        <v>2534</v>
      </c>
    </row>
    <row r="478" spans="1:5" ht="15">
      <c r="A478" s="205">
        <v>60110</v>
      </c>
      <c r="B478" s="207">
        <v>2056.33</v>
      </c>
      <c r="C478" s="205" t="s">
        <v>3132</v>
      </c>
      <c r="D478" s="205" t="s">
        <v>2380</v>
      </c>
      <c r="E478" s="205" t="s">
        <v>2616</v>
      </c>
    </row>
    <row r="479" spans="1:5" ht="15">
      <c r="A479" s="205">
        <v>59561</v>
      </c>
      <c r="B479" s="207">
        <v>2063.8200000000002</v>
      </c>
      <c r="C479" s="205" t="s">
        <v>3133</v>
      </c>
      <c r="D479" s="205" t="s">
        <v>766</v>
      </c>
      <c r="E479" s="205" t="s">
        <v>2578</v>
      </c>
    </row>
    <row r="480" spans="1:5" ht="15">
      <c r="A480" s="205">
        <v>200371</v>
      </c>
      <c r="B480" s="207">
        <v>2091.6</v>
      </c>
      <c r="C480" s="205" t="s">
        <v>3134</v>
      </c>
      <c r="D480" s="205" t="s">
        <v>1649</v>
      </c>
      <c r="E480" s="205" t="s">
        <v>2705</v>
      </c>
    </row>
    <row r="481" spans="1:5" ht="15">
      <c r="A481" s="205">
        <v>64531</v>
      </c>
      <c r="B481" s="207">
        <v>2118.48</v>
      </c>
      <c r="C481" s="205" t="s">
        <v>3135</v>
      </c>
      <c r="D481" s="205" t="s">
        <v>2341</v>
      </c>
      <c r="E481" s="205" t="s">
        <v>2661</v>
      </c>
    </row>
    <row r="482" spans="1:5" ht="15">
      <c r="A482" s="205" t="s">
        <v>2351</v>
      </c>
      <c r="B482" s="207">
        <v>2119.5</v>
      </c>
      <c r="C482" s="205" t="s">
        <v>3136</v>
      </c>
      <c r="D482" s="205" t="s">
        <v>2352</v>
      </c>
      <c r="E482" s="205" t="s">
        <v>2616</v>
      </c>
    </row>
    <row r="483" spans="1:5" ht="15">
      <c r="A483" s="205" t="s">
        <v>2354</v>
      </c>
      <c r="B483" s="207">
        <v>2125.0700000000002</v>
      </c>
      <c r="C483" s="205" t="s">
        <v>3137</v>
      </c>
      <c r="D483" s="205" t="s">
        <v>2355</v>
      </c>
      <c r="E483" s="205" t="s">
        <v>2616</v>
      </c>
    </row>
    <row r="484" spans="1:5" ht="15">
      <c r="A484" s="205">
        <v>63101</v>
      </c>
      <c r="B484" s="207">
        <v>2130.16</v>
      </c>
      <c r="C484" s="205" t="s">
        <v>3138</v>
      </c>
      <c r="D484" s="205" t="s">
        <v>1208</v>
      </c>
      <c r="E484" s="205" t="s">
        <v>2618</v>
      </c>
    </row>
    <row r="485" spans="1:5" ht="15">
      <c r="A485" s="205">
        <v>62201</v>
      </c>
      <c r="B485" s="207">
        <v>2139.09</v>
      </c>
      <c r="C485" s="205" t="s">
        <v>3139</v>
      </c>
      <c r="D485" s="205" t="s">
        <v>1796</v>
      </c>
      <c r="E485" s="205" t="s">
        <v>2575</v>
      </c>
    </row>
    <row r="486" spans="1:5" ht="15">
      <c r="A486" s="205" t="s">
        <v>1459</v>
      </c>
      <c r="B486" s="207">
        <v>2178.52</v>
      </c>
      <c r="C486" s="205" t="s">
        <v>3140</v>
      </c>
      <c r="D486" s="205" t="s">
        <v>1460</v>
      </c>
      <c r="E486" s="205" t="s">
        <v>2578</v>
      </c>
    </row>
    <row r="487" spans="1:5" ht="15">
      <c r="A487" s="205" t="s">
        <v>143</v>
      </c>
      <c r="B487" s="207">
        <v>2180.79</v>
      </c>
      <c r="C487" s="205" t="s">
        <v>3141</v>
      </c>
      <c r="D487" s="205" t="s">
        <v>993</v>
      </c>
      <c r="E487" s="205" t="s">
        <v>2562</v>
      </c>
    </row>
    <row r="488" spans="1:5" ht="15">
      <c r="A488" s="205">
        <v>12251</v>
      </c>
      <c r="B488" s="207">
        <v>2212.4299999999998</v>
      </c>
      <c r="C488" s="205" t="s">
        <v>3142</v>
      </c>
      <c r="D488" s="205" t="s">
        <v>557</v>
      </c>
      <c r="E488" s="205" t="s">
        <v>2618</v>
      </c>
    </row>
    <row r="489" spans="1:5" ht="15">
      <c r="A489" s="205">
        <v>200411</v>
      </c>
      <c r="B489" s="207">
        <v>2284.71</v>
      </c>
      <c r="C489" s="205" t="s">
        <v>3143</v>
      </c>
      <c r="D489" s="205" t="s">
        <v>1651</v>
      </c>
      <c r="E489" s="205" t="s">
        <v>2705</v>
      </c>
    </row>
    <row r="490" spans="1:5" ht="15">
      <c r="A490" s="205">
        <v>231944</v>
      </c>
      <c r="B490" s="207">
        <v>2286.9899999999998</v>
      </c>
      <c r="C490" s="205" t="s">
        <v>3144</v>
      </c>
      <c r="D490" s="205" t="s">
        <v>2131</v>
      </c>
      <c r="E490" s="205" t="s">
        <v>2588</v>
      </c>
    </row>
    <row r="491" spans="1:5" ht="15">
      <c r="A491" s="205">
        <v>63141</v>
      </c>
      <c r="B491" s="207">
        <v>2396.71</v>
      </c>
      <c r="C491" s="205" t="s">
        <v>3145</v>
      </c>
      <c r="D491" s="205" t="s">
        <v>2345</v>
      </c>
      <c r="E491" s="205" t="s">
        <v>2616</v>
      </c>
    </row>
    <row r="492" spans="1:5" ht="15">
      <c r="A492" s="205">
        <v>57188</v>
      </c>
      <c r="B492" s="207">
        <v>2407.1799999999998</v>
      </c>
      <c r="C492" s="205" t="s">
        <v>3146</v>
      </c>
      <c r="D492" s="205" t="s">
        <v>764</v>
      </c>
      <c r="E492" s="205" t="s">
        <v>2578</v>
      </c>
    </row>
    <row r="493" spans="1:5" ht="15">
      <c r="A493" s="205">
        <v>200260</v>
      </c>
      <c r="B493" s="207">
        <v>2465.36</v>
      </c>
      <c r="C493" s="205" t="s">
        <v>3147</v>
      </c>
      <c r="D493" s="205" t="s">
        <v>1643</v>
      </c>
      <c r="E493" s="205" t="s">
        <v>2705</v>
      </c>
    </row>
    <row r="494" spans="1:5" ht="15">
      <c r="A494" s="205">
        <v>42701</v>
      </c>
      <c r="B494" s="207">
        <v>2486.85</v>
      </c>
      <c r="C494" s="205" t="s">
        <v>3148</v>
      </c>
      <c r="D494" s="205" t="s">
        <v>1204</v>
      </c>
      <c r="E494" s="205" t="s">
        <v>2540</v>
      </c>
    </row>
    <row r="495" spans="1:5" ht="15">
      <c r="A495" s="205">
        <v>65500</v>
      </c>
      <c r="B495" s="207">
        <v>2585.29</v>
      </c>
      <c r="C495" s="205" t="s">
        <v>3149</v>
      </c>
      <c r="D495" s="205" t="s">
        <v>2343</v>
      </c>
      <c r="E495" s="205" t="s">
        <v>2616</v>
      </c>
    </row>
    <row r="496" spans="1:5" ht="15">
      <c r="A496" s="205">
        <v>6390</v>
      </c>
      <c r="B496" s="207">
        <v>2599.11</v>
      </c>
      <c r="C496" s="205" t="s">
        <v>3150</v>
      </c>
      <c r="D496" s="205" t="s">
        <v>1594</v>
      </c>
      <c r="E496" s="205" t="s">
        <v>2830</v>
      </c>
    </row>
    <row r="497" spans="1:5" ht="15">
      <c r="A497" s="205">
        <v>230964</v>
      </c>
      <c r="B497" s="207">
        <v>2649</v>
      </c>
      <c r="C497" s="205" t="s">
        <v>3151</v>
      </c>
      <c r="D497" s="205" t="s">
        <v>2099</v>
      </c>
      <c r="E497" s="205" t="s">
        <v>2588</v>
      </c>
    </row>
    <row r="498" spans="1:5" ht="15">
      <c r="A498" s="205" t="s">
        <v>166</v>
      </c>
      <c r="B498" s="207">
        <v>2837.83</v>
      </c>
      <c r="C498" s="205" t="s">
        <v>3152</v>
      </c>
      <c r="D498" s="205" t="s">
        <v>891</v>
      </c>
      <c r="E498" s="205" t="s">
        <v>2578</v>
      </c>
    </row>
    <row r="499" spans="1:5" ht="15">
      <c r="A499" s="205">
        <v>63301</v>
      </c>
      <c r="B499" s="207">
        <v>2854.05</v>
      </c>
      <c r="C499" s="205" t="s">
        <v>3153</v>
      </c>
      <c r="D499" s="205" t="s">
        <v>1210</v>
      </c>
      <c r="E499" s="205" t="s">
        <v>2540</v>
      </c>
    </row>
    <row r="500" spans="1:5" ht="15">
      <c r="A500" s="205">
        <v>60272</v>
      </c>
      <c r="B500" s="207">
        <v>2948.03</v>
      </c>
      <c r="C500" s="205" t="s">
        <v>3154</v>
      </c>
      <c r="D500" s="205" t="s">
        <v>776</v>
      </c>
      <c r="E500" s="205" t="s">
        <v>2540</v>
      </c>
    </row>
    <row r="501" spans="1:5" ht="15">
      <c r="A501" s="205" t="s">
        <v>198</v>
      </c>
      <c r="B501" s="207">
        <v>2978.79</v>
      </c>
      <c r="C501" s="205" t="s">
        <v>3155</v>
      </c>
      <c r="D501" s="205" t="s">
        <v>1000</v>
      </c>
      <c r="E501" s="205" t="s">
        <v>2562</v>
      </c>
    </row>
    <row r="502" spans="1:5" ht="15">
      <c r="A502" s="205">
        <v>99801</v>
      </c>
      <c r="B502" s="207">
        <v>3207.78</v>
      </c>
      <c r="C502" s="205" t="s">
        <v>3156</v>
      </c>
      <c r="D502" s="205" t="s">
        <v>743</v>
      </c>
      <c r="E502" s="205" t="s">
        <v>2844</v>
      </c>
    </row>
    <row r="503" spans="1:5" ht="15">
      <c r="A503" s="205">
        <v>200370</v>
      </c>
      <c r="B503" s="207">
        <v>3232.41</v>
      </c>
      <c r="C503" s="205" t="s">
        <v>3157</v>
      </c>
      <c r="D503" s="205" t="s">
        <v>1647</v>
      </c>
      <c r="E503" s="205" t="s">
        <v>2705</v>
      </c>
    </row>
    <row r="504" spans="1:5" ht="15">
      <c r="A504" s="205">
        <v>68101</v>
      </c>
      <c r="B504" s="207">
        <v>3265.76</v>
      </c>
      <c r="C504" s="205" t="s">
        <v>3158</v>
      </c>
      <c r="D504" s="205" t="s">
        <v>1223</v>
      </c>
      <c r="E504" s="205" t="s">
        <v>2618</v>
      </c>
    </row>
    <row r="505" spans="1:5" ht="15">
      <c r="A505" s="205">
        <v>68100</v>
      </c>
      <c r="B505" s="207">
        <v>3616.15</v>
      </c>
      <c r="C505" s="205" t="s">
        <v>3159</v>
      </c>
      <c r="D505" s="205" t="s">
        <v>1221</v>
      </c>
      <c r="E505" s="205" t="s">
        <v>2540</v>
      </c>
    </row>
    <row r="506" spans="1:5" ht="15">
      <c r="A506" s="205" t="s">
        <v>390</v>
      </c>
      <c r="B506" s="207">
        <v>3830.55</v>
      </c>
      <c r="C506" s="205" t="s">
        <v>3160</v>
      </c>
      <c r="D506" s="205" t="s">
        <v>1317</v>
      </c>
      <c r="E506" s="205" t="s">
        <v>2578</v>
      </c>
    </row>
    <row r="507" spans="1:5" ht="15">
      <c r="A507" s="205">
        <v>12284</v>
      </c>
      <c r="B507" s="207">
        <v>3857.45</v>
      </c>
      <c r="C507" s="205" t="s">
        <v>3161</v>
      </c>
      <c r="D507" s="205" t="s">
        <v>563</v>
      </c>
      <c r="E507" s="205" t="s">
        <v>2618</v>
      </c>
    </row>
    <row r="508" spans="1:5" ht="15">
      <c r="A508" s="205">
        <v>65650</v>
      </c>
      <c r="B508" s="207">
        <v>4215.47</v>
      </c>
      <c r="C508" s="205" t="s">
        <v>3162</v>
      </c>
      <c r="D508" s="205" t="s">
        <v>2368</v>
      </c>
      <c r="E508" s="205" t="s">
        <v>2616</v>
      </c>
    </row>
    <row r="509" spans="1:5" ht="15">
      <c r="A509" s="205" t="s">
        <v>260</v>
      </c>
      <c r="B509" s="207">
        <v>4243.63</v>
      </c>
      <c r="C509" s="205" t="s">
        <v>3163</v>
      </c>
      <c r="D509" s="205" t="s">
        <v>831</v>
      </c>
      <c r="E509" s="205" t="s">
        <v>2578</v>
      </c>
    </row>
    <row r="510" spans="1:5" ht="15">
      <c r="A510" s="205">
        <v>60155</v>
      </c>
      <c r="B510" s="207">
        <v>4506.37</v>
      </c>
      <c r="C510" s="205" t="s">
        <v>3164</v>
      </c>
      <c r="D510" s="205" t="s">
        <v>774</v>
      </c>
      <c r="E510" s="205" t="s">
        <v>2578</v>
      </c>
    </row>
    <row r="511" spans="1:5" ht="15">
      <c r="A511" s="205" t="s">
        <v>391</v>
      </c>
      <c r="B511" s="207">
        <v>5435.62</v>
      </c>
      <c r="C511" s="205" t="s">
        <v>3165</v>
      </c>
      <c r="D511" s="205" t="s">
        <v>1319</v>
      </c>
      <c r="E511" s="205" t="s">
        <v>2578</v>
      </c>
    </row>
    <row r="512" spans="1:5" ht="15">
      <c r="A512" s="205">
        <v>60154</v>
      </c>
      <c r="B512" s="207">
        <v>6638.52</v>
      </c>
      <c r="C512" s="205" t="s">
        <v>3166</v>
      </c>
      <c r="D512" s="205" t="s">
        <v>772</v>
      </c>
      <c r="E512" s="205" t="s">
        <v>2540</v>
      </c>
    </row>
    <row r="513" spans="1:5" ht="15">
      <c r="A513" s="205" t="s">
        <v>427</v>
      </c>
      <c r="B513" s="207">
        <v>20841.189999999999</v>
      </c>
      <c r="C513" s="205" t="s">
        <v>3167</v>
      </c>
      <c r="D513" s="205" t="s">
        <v>1301</v>
      </c>
      <c r="E513" s="205" t="s">
        <v>2534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36</vt:i4>
      </vt:variant>
      <vt:variant>
        <vt:lpstr>이름이 지정된 범위</vt:lpstr>
      </vt:variant>
      <vt:variant>
        <vt:i4>9</vt:i4>
      </vt:variant>
    </vt:vector>
  </HeadingPairs>
  <TitlesOfParts>
    <vt:vector size="45" baseType="lpstr">
      <vt:lpstr>딜티켓_1 </vt:lpstr>
      <vt:lpstr>딜티켓_2</vt:lpstr>
      <vt:lpstr>딜티켓(언와인딩)</vt:lpstr>
      <vt:lpstr>딜티켓(언와인딩)_2</vt:lpstr>
      <vt:lpstr>딜티켓(언와인딩)_3</vt:lpstr>
      <vt:lpstr>딜티켓(언와인딩)_4</vt:lpstr>
      <vt:lpstr>컨펌지(일반수식)</vt:lpstr>
      <vt:lpstr>컨펌지(수기)</vt:lpstr>
      <vt:lpstr>컨펌지(정산)</vt:lpstr>
      <vt:lpstr>컨펌1-A (2)</vt:lpstr>
      <vt:lpstr>컨펌1-B</vt:lpstr>
      <vt:lpstr>펀드목록</vt:lpstr>
      <vt:lpstr>환전펀드(전체운용사)</vt:lpstr>
      <vt:lpstr>다올</vt:lpstr>
      <vt:lpstr>현대인베</vt:lpstr>
      <vt:lpstr>유진</vt:lpstr>
      <vt:lpstr>골든</vt:lpstr>
      <vt:lpstr>유리</vt:lpstr>
      <vt:lpstr>한투</vt:lpstr>
      <vt:lpstr>카디안</vt:lpstr>
      <vt:lpstr>우리</vt:lpstr>
      <vt:lpstr>키움</vt:lpstr>
      <vt:lpstr>한화</vt:lpstr>
      <vt:lpstr>IM에셋</vt:lpstr>
      <vt:lpstr>브이자산운용</vt:lpstr>
      <vt:lpstr>IBK</vt:lpstr>
      <vt:lpstr>현대</vt:lpstr>
      <vt:lpstr>DB</vt:lpstr>
      <vt:lpstr>KB</vt:lpstr>
      <vt:lpstr>삼성</vt:lpstr>
      <vt:lpstr>신한</vt:lpstr>
      <vt:lpstr>흥국</vt:lpstr>
      <vt:lpstr>하나UBS</vt:lpstr>
      <vt:lpstr>미래</vt:lpstr>
      <vt:lpstr>조회설정</vt:lpstr>
      <vt:lpstr>기준가</vt:lpstr>
      <vt:lpstr>'딜티켓(언와인딩)'!Print_Area</vt:lpstr>
      <vt:lpstr>'딜티켓(언와인딩)_2'!Print_Area</vt:lpstr>
      <vt:lpstr>'딜티켓(언와인딩)_3'!Print_Area</vt:lpstr>
      <vt:lpstr>'딜티켓(언와인딩)_4'!Print_Area</vt:lpstr>
      <vt:lpstr>'딜티켓_1 '!Print_Area</vt:lpstr>
      <vt:lpstr>딜티켓_2!Print_Area</vt:lpstr>
      <vt:lpstr>'컨펌지(수기)'!Print_Area</vt:lpstr>
      <vt:lpstr>'컨펌지(일반수식)'!Print_Area</vt:lpstr>
      <vt:lpstr>'컨펌지(정산)'!Print_Area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2170480</cp:lastModifiedBy>
  <cp:revision>0</cp:revision>
  <cp:lastPrinted>2026-09-29T04:37:37Z</cp:lastPrinted>
  <dcterms:created xsi:type="dcterms:W3CDTF">2012-03-28T00:33:51Z</dcterms:created>
  <dcterms:modified xsi:type="dcterms:W3CDTF">2026-09-29T05:07:19Z</dcterms:modified>
  <dc:language>en-US</dc:language>
</cp:coreProperties>
</file>